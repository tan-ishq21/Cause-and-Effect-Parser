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defaultThemeVersion="124226"/>
  <mc:AlternateContent xmlns:mc="http://schemas.openxmlformats.org/markup-compatibility/2006">
    <mc:Choice Requires="x15">
      <x15ac:absPath xmlns:x15ac="http://schemas.microsoft.com/office/spreadsheetml/2010/11/ac" url="https://siemensenergyag.sharepoint.com/teams/M_NEBAutomation/Shared Documents/Reference/20_Elyzer-P300/Safety Matrix/"/>
    </mc:Choice>
  </mc:AlternateContent>
  <xr:revisionPtr revIDLastSave="8770" documentId="13_ncr:1_{7154C6B1-1696-4F0A-9DE4-1ACA2581EA0E}" xr6:coauthVersionLast="47" xr6:coauthVersionMax="47" xr10:uidLastSave="{4C569EE8-B1BE-4E95-9809-D6A5B87AF050}"/>
  <bookViews>
    <workbookView xWindow="67080" yWindow="-6705" windowWidth="38640" windowHeight="21120" tabRatio="705" activeTab="4" xr2:uid="{00000000-000D-0000-FFFF-FFFF00000000}"/>
  </bookViews>
  <sheets>
    <sheet name="Cover Sheet" sheetId="12" r:id="rId1"/>
    <sheet name="Version History" sheetId="20" r:id="rId2"/>
    <sheet name="Ely System - SIS" sheetId="1" r:id="rId3"/>
    <sheet name="Ely System - Operational" sheetId="4" r:id="rId4"/>
    <sheet name="Ely System - Message only" sheetId="15" r:id="rId5"/>
    <sheet name="var. level limits (intern)" sheetId="19" r:id="rId6"/>
    <sheet name="Query" sheetId="7" state="hidden" r:id="rId7"/>
    <sheet name="Remarks &amp; Abbreviations" sheetId="11" r:id="rId8"/>
  </sheets>
  <definedNames>
    <definedName name="_xlnm._FilterDatabase" localSheetId="4" hidden="1">'Ely System - Message only'!$B$2:$R$2</definedName>
    <definedName name="_xlnm._FilterDatabase" localSheetId="3" hidden="1">'Ely System - Operational'!$A$6:$BH$229</definedName>
    <definedName name="_xlnm._FilterDatabase" localSheetId="2" hidden="1">'Ely System - SIS'!$A$6:$BQ$213</definedName>
    <definedName name="_xlnm._FilterDatabase" localSheetId="6" hidden="1">Query!$A$1:$BN$800</definedName>
    <definedName name="_xlnm.Print_Area" localSheetId="0">'Cover Sheet'!$A$1:$G$30</definedName>
    <definedName name="_xlnm.Print_Area" localSheetId="4">'Ely System - Message only'!$B$1:$Q$121</definedName>
    <definedName name="_xlnm.Print_Area" localSheetId="3">'Ely System - Operational'!$A$1:$BG$156</definedName>
    <definedName name="_xlnm.Print_Area" localSheetId="2">'Ely System - SIS'!$A$1:$BP$178</definedName>
    <definedName name="_xlnm.Print_Area" localSheetId="1">'Version History'!$A$1:$E$10</definedName>
    <definedName name="_xlnm.Print_Titles" localSheetId="0">'Cover Sheet'!$1:$5</definedName>
    <definedName name="_xlnm.Print_Titles" localSheetId="4">'Ely System - Message only'!$1:$2</definedName>
    <definedName name="_xlnm.Print_Titles" localSheetId="3">'Ely System - Operational'!$1:$6</definedName>
    <definedName name="_xlnm.Print_Titles" localSheetId="2">'Ely System - SIS'!$1:$6</definedName>
    <definedName name="_xlnm.Print_Titles" localSheetId="7">'Remarks &amp; Abbreviations'!$1:$5</definedName>
    <definedName name="Query">Query!$A$1:$BF$598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9" i="15" l="1"/>
  <c r="A118" i="15"/>
  <c r="A36" i="15"/>
  <c r="BD51" i="1" l="1"/>
  <c r="AK51" i="1"/>
  <c r="AE51" i="1"/>
  <c r="AD51" i="1"/>
  <c r="AF51" i="1" s="1"/>
  <c r="BD25" i="1"/>
  <c r="AK25" i="1"/>
  <c r="BD205" i="1"/>
  <c r="BD190" i="1"/>
  <c r="BD189" i="1"/>
  <c r="BD186" i="1"/>
  <c r="BD185" i="1"/>
  <c r="AK205" i="1"/>
  <c r="AK190" i="1"/>
  <c r="AK189" i="1"/>
  <c r="AK186" i="1"/>
  <c r="AK185" i="1"/>
  <c r="BD8" i="1"/>
  <c r="AK8" i="1"/>
  <c r="A66" i="15"/>
  <c r="A4" i="15" l="1"/>
  <c r="A5" i="15"/>
  <c r="A6" i="15" s="1"/>
  <c r="A7" i="15" s="1"/>
  <c r="A8" i="15" s="1"/>
  <c r="A9" i="15" s="1"/>
  <c r="A10" i="15" s="1"/>
  <c r="A17" i="15"/>
  <c r="A11" i="15"/>
  <c r="A12" i="15" s="1"/>
  <c r="A13" i="15" s="1"/>
  <c r="A14" i="15" s="1"/>
  <c r="A15" i="15" s="1"/>
  <c r="A16" i="15" s="1"/>
  <c r="A18" i="15"/>
  <c r="A19" i="15"/>
  <c r="A20" i="15"/>
  <c r="A21" i="15"/>
  <c r="A22" i="15" s="1"/>
  <c r="A23" i="15"/>
  <c r="A24" i="15" s="1"/>
  <c r="A25" i="15"/>
  <c r="A26" i="15" s="1"/>
  <c r="A27" i="15" s="1"/>
  <c r="A28" i="15" s="1"/>
  <c r="A29" i="15"/>
  <c r="A30" i="15"/>
  <c r="A31" i="15"/>
  <c r="A32" i="15"/>
  <c r="A33" i="15"/>
  <c r="A41" i="15" s="1"/>
  <c r="A34" i="15"/>
  <c r="A42" i="15" s="1"/>
  <c r="A37" i="15"/>
  <c r="A43" i="15" s="1"/>
  <c r="A38" i="15"/>
  <c r="A52" i="15"/>
  <c r="A53" i="15" s="1"/>
  <c r="A54" i="15" s="1"/>
  <c r="A55" i="15"/>
  <c r="A56" i="15"/>
  <c r="A57" i="15" s="1"/>
  <c r="A61" i="15"/>
  <c r="A35" i="15"/>
  <c r="A58" i="15"/>
  <c r="A59" i="15"/>
  <c r="A62" i="15" s="1"/>
  <c r="A63" i="15" s="1"/>
  <c r="A65" i="15" s="1"/>
  <c r="A67" i="15" s="1"/>
  <c r="A68" i="15"/>
  <c r="A69" i="15"/>
  <c r="A70" i="15" s="1"/>
  <c r="A71" i="15"/>
  <c r="A72" i="15"/>
  <c r="A74" i="15" s="1"/>
  <c r="A73" i="15"/>
  <c r="A76" i="15"/>
  <c r="A78" i="15"/>
  <c r="A79" i="15" s="1"/>
  <c r="A80" i="15" s="1"/>
  <c r="A81" i="15" s="1"/>
  <c r="A82" i="15" s="1"/>
  <c r="A48" i="15"/>
  <c r="A49" i="15" s="1"/>
  <c r="A50" i="15" s="1"/>
  <c r="A51" i="15"/>
  <c r="A85" i="15"/>
  <c r="A86" i="15" s="1"/>
  <c r="A87" i="15" s="1"/>
  <c r="A90" i="15"/>
  <c r="A91" i="15"/>
  <c r="A92" i="15" s="1"/>
  <c r="A93" i="15" s="1"/>
  <c r="A94" i="15" s="1"/>
  <c r="A95" i="15" s="1"/>
  <c r="A96" i="15"/>
  <c r="A97" i="15" s="1"/>
  <c r="A98" i="15" s="1"/>
  <c r="A99" i="15"/>
  <c r="A100" i="15"/>
  <c r="A101" i="15" s="1"/>
  <c r="A102" i="15"/>
  <c r="A103" i="15" s="1"/>
  <c r="A104" i="15" s="1"/>
  <c r="A105" i="15"/>
  <c r="A106" i="15"/>
  <c r="A107" i="15"/>
  <c r="A108" i="15"/>
  <c r="A109" i="15"/>
  <c r="A110" i="15"/>
  <c r="A111" i="15"/>
  <c r="A112" i="15"/>
  <c r="A113" i="15"/>
  <c r="A122" i="15"/>
  <c r="A123" i="15" s="1"/>
  <c r="A124" i="15" s="1"/>
  <c r="A125" i="15"/>
  <c r="A126" i="15"/>
  <c r="A127" i="15" s="1"/>
  <c r="A128" i="15"/>
  <c r="A129" i="15" s="1"/>
  <c r="A130" i="15"/>
  <c r="A131" i="15" s="1"/>
  <c r="A132" i="15" s="1"/>
  <c r="A133" i="15" s="1"/>
  <c r="A134" i="15" s="1"/>
  <c r="A135" i="15"/>
  <c r="A136" i="15"/>
  <c r="A137" i="15" s="1"/>
  <c r="A138" i="15"/>
  <c r="A139" i="15" s="1"/>
  <c r="A140" i="15"/>
  <c r="A141" i="15" s="1"/>
  <c r="A142" i="15" s="1"/>
  <c r="A144" i="15"/>
  <c r="A145" i="15"/>
  <c r="A146" i="15"/>
  <c r="A147" i="15"/>
  <c r="A148" i="15"/>
  <c r="A149" i="15"/>
  <c r="A150" i="15"/>
  <c r="A151" i="15"/>
  <c r="A152" i="15"/>
  <c r="A44" i="15" l="1"/>
  <c r="A45" i="15" s="1"/>
  <c r="A46" i="15" s="1"/>
  <c r="A47" i="15" s="1"/>
  <c r="A83" i="15"/>
  <c r="A84" i="15"/>
  <c r="A75" i="15"/>
  <c r="A77" i="15" s="1"/>
  <c r="AK157" i="1"/>
  <c r="AE200" i="1"/>
  <c r="AD200" i="1"/>
  <c r="AF200" i="1" s="1"/>
  <c r="BD170" i="1"/>
  <c r="BD160" i="1"/>
  <c r="BD155" i="1"/>
  <c r="BD30" i="1"/>
  <c r="BD179" i="1"/>
  <c r="BD128" i="1"/>
  <c r="BD97" i="1"/>
  <c r="BD64" i="1"/>
  <c r="BD38" i="1"/>
  <c r="BD16" i="1"/>
  <c r="BD11" i="1"/>
  <c r="AK170" i="1"/>
  <c r="AK169" i="1"/>
  <c r="AK168" i="1"/>
  <c r="AK167" i="1"/>
  <c r="AK166" i="1"/>
  <c r="AK165" i="1"/>
  <c r="AK164" i="1"/>
  <c r="AK163" i="1"/>
  <c r="AK162" i="1"/>
  <c r="AK161" i="1"/>
  <c r="AK160" i="1"/>
  <c r="AK158" i="1"/>
  <c r="AK156" i="1"/>
  <c r="AK155" i="1"/>
  <c r="AK30" i="1"/>
  <c r="AK179" i="1"/>
  <c r="AK128" i="1"/>
  <c r="AK97" i="1"/>
  <c r="AK64" i="1"/>
  <c r="AK38" i="1"/>
  <c r="AK16" i="1"/>
  <c r="AK11" i="1"/>
  <c r="AK7" i="1"/>
  <c r="AE185" i="1"/>
  <c r="AD185" i="1"/>
  <c r="AF185" i="1" s="1"/>
  <c r="AE179" i="1"/>
  <c r="AD179" i="1"/>
  <c r="AF179" i="1" s="1"/>
  <c r="AE205" i="1"/>
  <c r="AD205" i="1"/>
  <c r="AF205" i="1" s="1"/>
  <c r="AE197" i="1"/>
  <c r="AD197" i="1"/>
  <c r="AF197" i="1" s="1"/>
  <c r="AE196" i="1"/>
  <c r="AD196" i="1"/>
  <c r="AF196" i="1" s="1"/>
  <c r="AE194" i="1"/>
  <c r="AD194" i="1"/>
  <c r="AF194" i="1" s="1"/>
  <c r="AE193" i="1"/>
  <c r="AD193" i="1"/>
  <c r="AF193" i="1" s="1"/>
  <c r="AE192" i="1"/>
  <c r="AD192" i="1"/>
  <c r="AF192" i="1" s="1"/>
  <c r="AE191" i="1"/>
  <c r="AD191" i="1"/>
  <c r="AF191" i="1" s="1"/>
  <c r="AE204" i="1"/>
  <c r="AD204" i="1"/>
  <c r="AF204" i="1" s="1"/>
  <c r="AE203" i="1"/>
  <c r="AD203" i="1"/>
  <c r="AF203" i="1" s="1"/>
  <c r="AE202" i="1"/>
  <c r="AD202" i="1"/>
  <c r="AF202" i="1" s="1"/>
  <c r="AE201" i="1"/>
  <c r="AD201" i="1"/>
  <c r="AF201" i="1" s="1"/>
  <c r="AE190" i="1"/>
  <c r="AD190" i="1"/>
  <c r="AF190" i="1" s="1"/>
  <c r="BQ23" i="1" l="1"/>
  <c r="F23" i="1"/>
  <c r="AD155" i="1"/>
  <c r="C14" i="19"/>
  <c r="C16" i="19"/>
  <c r="BN23" i="1" l="1"/>
  <c r="BN24" i="1"/>
  <c r="C15" i="19" l="1"/>
  <c r="C13" i="19"/>
  <c r="C12" i="19"/>
  <c r="C11" i="19"/>
  <c r="AD15" i="1" l="1"/>
  <c r="AD14" i="1"/>
  <c r="AD12" i="1"/>
  <c r="Z119" i="1"/>
  <c r="Z117" i="1"/>
  <c r="Z116" i="1"/>
  <c r="Z115" i="1"/>
  <c r="Z114" i="1"/>
  <c r="Z113" i="1"/>
  <c r="Z112" i="1"/>
  <c r="Z88" i="1"/>
  <c r="Z87" i="1"/>
  <c r="Z86" i="1"/>
  <c r="Z85" i="1"/>
  <c r="Z84" i="1"/>
  <c r="Z83" i="1"/>
  <c r="Z82" i="1"/>
  <c r="Z81" i="1"/>
  <c r="AE128" i="1" l="1"/>
  <c r="AD128" i="1"/>
  <c r="AF128" i="1" s="1"/>
  <c r="AD160" i="1" l="1"/>
  <c r="AF160" i="1" s="1"/>
  <c r="AE160" i="1"/>
  <c r="AD161" i="1"/>
  <c r="AF161" i="1" s="1"/>
  <c r="AE161" i="1"/>
  <c r="AE170" i="1"/>
  <c r="AE169" i="1"/>
  <c r="AE168" i="1"/>
  <c r="AE167" i="1"/>
  <c r="AE166" i="1"/>
  <c r="AE164" i="1"/>
  <c r="AE163" i="1"/>
  <c r="AE162" i="1"/>
  <c r="AE155" i="1"/>
  <c r="AE30" i="1"/>
  <c r="AE97" i="1"/>
  <c r="AE88" i="1"/>
  <c r="AE87" i="1"/>
  <c r="AE86" i="1"/>
  <c r="AE85" i="1"/>
  <c r="AE84" i="1"/>
  <c r="AE83" i="1"/>
  <c r="AE82" i="1"/>
  <c r="AE81" i="1"/>
  <c r="AE64" i="1"/>
  <c r="AE38" i="1"/>
  <c r="AD169" i="1" l="1"/>
  <c r="AF169" i="1" s="1"/>
  <c r="AD168" i="1"/>
  <c r="AF168" i="1" s="1"/>
  <c r="AD167" i="1"/>
  <c r="AF167" i="1" s="1"/>
  <c r="AD170" i="1" l="1"/>
  <c r="AF170" i="1" s="1"/>
  <c r="AF88" i="1"/>
  <c r="AF87" i="1"/>
  <c r="AF86" i="1"/>
  <c r="AF85" i="1"/>
  <c r="AF84" i="1"/>
  <c r="AF83" i="1"/>
  <c r="AF82" i="1"/>
  <c r="AF81" i="1"/>
  <c r="AD162" i="1"/>
  <c r="AD163" i="1"/>
  <c r="AD164" i="1"/>
  <c r="AD166" i="1"/>
  <c r="AD21" i="1"/>
  <c r="AD38" i="1"/>
  <c r="AD17" i="1"/>
  <c r="AD64" i="1"/>
  <c r="BD7" i="1" l="1"/>
  <c r="AD97" i="1" l="1"/>
  <c r="AF97" i="1" s="1"/>
  <c r="AF64" i="1"/>
  <c r="AF38" i="1"/>
  <c r="AD30" i="1"/>
  <c r="AF30" i="1" s="1"/>
  <c r="AF166" i="1"/>
  <c r="AF164" i="1"/>
  <c r="AF163" i="1"/>
  <c r="AF162" i="1"/>
  <c r="AF155" i="1"/>
  <c r="BK21" i="7" l="1" a="1"/>
  <c r="BK21" i="7" s="1"/>
  <c r="BK22" i="7" a="1"/>
  <c r="BK22" i="7" s="1"/>
  <c r="BK23" i="7" a="1"/>
  <c r="BK23" i="7" s="1"/>
  <c r="BK24" i="7" a="1"/>
  <c r="BK24" i="7" s="1"/>
  <c r="BK25" i="7" a="1"/>
  <c r="BK25" i="7" s="1"/>
  <c r="BK26" i="7" a="1"/>
  <c r="BK26" i="7" s="1"/>
  <c r="BK27" i="7" a="1"/>
  <c r="BK27" i="7" s="1"/>
  <c r="BK240" i="7" a="1"/>
  <c r="BK240" i="7" s="1"/>
  <c r="BK256" i="7" a="1"/>
  <c r="BK256" i="7" s="1"/>
  <c r="BK28" i="7" a="1"/>
  <c r="BK28" i="7" s="1"/>
  <c r="BK29" i="7" a="1"/>
  <c r="BK29" i="7" s="1"/>
  <c r="BK30" i="7" a="1"/>
  <c r="BK30" i="7" s="1"/>
  <c r="BK31" i="7" a="1"/>
  <c r="BK31" i="7" s="1"/>
  <c r="BK257" i="7" a="1"/>
  <c r="BK257" i="7" s="1"/>
  <c r="BK651" i="7" a="1"/>
  <c r="BK651" i="7" s="1"/>
  <c r="BK258" i="7" a="1"/>
  <c r="BK258" i="7" s="1"/>
  <c r="BK259" i="7" a="1"/>
  <c r="BK259" i="7" s="1"/>
  <c r="BK652" i="7" a="1"/>
  <c r="BK652" i="7" s="1"/>
  <c r="BK260" i="7" a="1"/>
  <c r="BK260" i="7" s="1"/>
  <c r="BK32" i="7" a="1"/>
  <c r="BK32" i="7" s="1"/>
  <c r="BK33" i="7" a="1"/>
  <c r="BK33" i="7" s="1"/>
  <c r="BK261" i="7" a="1"/>
  <c r="BK261" i="7" s="1"/>
  <c r="BK262" i="7" a="1"/>
  <c r="BK262" i="7" s="1"/>
  <c r="BK34" i="7" a="1"/>
  <c r="BK34" i="7" s="1"/>
  <c r="BK263" i="7" a="1"/>
  <c r="BK263" i="7" s="1"/>
  <c r="BK264" i="7" a="1"/>
  <c r="BK264" i="7" s="1"/>
  <c r="BK35" i="7" a="1"/>
  <c r="BK35" i="7" s="1"/>
  <c r="BK36" i="7" a="1"/>
  <c r="BK36" i="7" s="1"/>
  <c r="BK265" i="7" a="1"/>
  <c r="BK265" i="7" s="1"/>
  <c r="BK266" i="7" a="1"/>
  <c r="BK266" i="7" s="1"/>
  <c r="BK37" i="7" a="1"/>
  <c r="BK37" i="7" s="1"/>
  <c r="BK267" i="7" a="1"/>
  <c r="BK267" i="7" s="1"/>
  <c r="BK268" i="7" a="1"/>
  <c r="BK268" i="7" s="1"/>
  <c r="BK38" i="7" a="1"/>
  <c r="BK38" i="7" s="1"/>
  <c r="BK39" i="7" a="1"/>
  <c r="BK39" i="7" s="1"/>
  <c r="BK269" i="7" a="1"/>
  <c r="BK269" i="7" s="1"/>
  <c r="BK270" i="7" a="1"/>
  <c r="BK270" i="7" s="1"/>
  <c r="BK40" i="7" a="1"/>
  <c r="BK40" i="7" s="1"/>
  <c r="BK271" i="7" a="1"/>
  <c r="BK271" i="7" s="1"/>
  <c r="BK272" i="7" a="1"/>
  <c r="BK272" i="7" s="1"/>
  <c r="BK41" i="7" a="1"/>
  <c r="BK41" i="7" s="1"/>
  <c r="BK42" i="7" a="1"/>
  <c r="BK42" i="7" s="1"/>
  <c r="BK273" i="7" a="1"/>
  <c r="BK273" i="7" s="1"/>
  <c r="BK274" i="7" a="1"/>
  <c r="BK274" i="7" s="1"/>
  <c r="BK43" i="7" a="1"/>
  <c r="BK43" i="7" s="1"/>
  <c r="BK275" i="7" a="1"/>
  <c r="BK275" i="7" s="1"/>
  <c r="BK276" i="7" a="1"/>
  <c r="BK276" i="7" s="1"/>
  <c r="BK44" i="7" a="1"/>
  <c r="BK44" i="7" s="1"/>
  <c r="BK45" i="7" a="1"/>
  <c r="BK45" i="7" s="1"/>
  <c r="BK46" i="7" a="1"/>
  <c r="BK46" i="7" s="1"/>
  <c r="BK47" i="7" a="1"/>
  <c r="BK47" i="7" s="1"/>
  <c r="BK48" i="7" a="1"/>
  <c r="BK48" i="7" s="1"/>
  <c r="BK49" i="7" a="1"/>
  <c r="BK49" i="7" s="1"/>
  <c r="BK50" i="7" a="1"/>
  <c r="BK50" i="7" s="1"/>
  <c r="BK277" i="7" a="1"/>
  <c r="BK277" i="7" s="1"/>
  <c r="BK653" i="7" a="1"/>
  <c r="BK653" i="7" s="1"/>
  <c r="BK278" i="7" a="1"/>
  <c r="BK278" i="7" s="1"/>
  <c r="BK654" i="7" a="1"/>
  <c r="BK654" i="7" s="1"/>
  <c r="BK787" i="7" a="1"/>
  <c r="BK787" i="7" s="1"/>
  <c r="BK279" i="7" a="1"/>
  <c r="BK279" i="7" s="1"/>
  <c r="BK280" i="7" a="1"/>
  <c r="BK280" i="7" s="1"/>
  <c r="BK281" i="7" a="1"/>
  <c r="BK281" i="7" s="1"/>
  <c r="BK282" i="7" a="1"/>
  <c r="BK282" i="7" s="1"/>
  <c r="BK283" i="7" a="1"/>
  <c r="BK283" i="7" s="1"/>
  <c r="BK284" i="7" a="1"/>
  <c r="BK284" i="7" s="1"/>
  <c r="BK285" i="7" a="1"/>
  <c r="BK285" i="7" s="1"/>
  <c r="BK286" i="7" a="1"/>
  <c r="BK286" i="7" s="1"/>
  <c r="BK287" i="7" a="1"/>
  <c r="BK287" i="7" s="1"/>
  <c r="BK288" i="7" a="1"/>
  <c r="BK288" i="7" s="1"/>
  <c r="BK289" i="7" a="1"/>
  <c r="BK289" i="7" s="1"/>
  <c r="BK290" i="7" a="1"/>
  <c r="BK290" i="7" s="1"/>
  <c r="BK291" i="7" a="1"/>
  <c r="BK291" i="7" s="1"/>
  <c r="BK292" i="7" a="1"/>
  <c r="BK292" i="7" s="1"/>
  <c r="BK293" i="7" a="1"/>
  <c r="BK293" i="7" s="1"/>
  <c r="BK294" i="7" a="1"/>
  <c r="BK294" i="7" s="1"/>
  <c r="BK295" i="7" a="1"/>
  <c r="BK295" i="7" s="1"/>
  <c r="BK296" i="7" a="1"/>
  <c r="BK296" i="7" s="1"/>
  <c r="BK297" i="7" a="1"/>
  <c r="BK297" i="7" s="1"/>
  <c r="BK298" i="7" a="1"/>
  <c r="BK298" i="7" s="1"/>
  <c r="BK299" i="7" a="1"/>
  <c r="BK299" i="7" s="1"/>
  <c r="BK300" i="7" a="1"/>
  <c r="BK300" i="7" s="1"/>
  <c r="BK301" i="7" a="1"/>
  <c r="BK301" i="7" s="1"/>
  <c r="BK302" i="7" a="1"/>
  <c r="BK302" i="7" s="1"/>
  <c r="BK303" i="7" a="1"/>
  <c r="BK303" i="7" s="1"/>
  <c r="BK304" i="7" a="1"/>
  <c r="BK304" i="7" s="1"/>
  <c r="BK305" i="7" a="1"/>
  <c r="BK305" i="7" s="1"/>
  <c r="BK306" i="7" a="1"/>
  <c r="BK306" i="7" s="1"/>
  <c r="BK307" i="7" a="1"/>
  <c r="BK307" i="7" s="1"/>
  <c r="BK308" i="7" a="1"/>
  <c r="BK308" i="7" s="1"/>
  <c r="BK309" i="7" a="1"/>
  <c r="BK309" i="7" s="1"/>
  <c r="BK310" i="7" a="1"/>
  <c r="BK310" i="7" s="1"/>
  <c r="BK311" i="7" a="1"/>
  <c r="BK311" i="7" s="1"/>
  <c r="BK312" i="7" a="1"/>
  <c r="BK312" i="7" s="1"/>
  <c r="BK313" i="7" a="1"/>
  <c r="BK313" i="7" s="1"/>
  <c r="BK314" i="7" a="1"/>
  <c r="BK314" i="7" s="1"/>
  <c r="BK315" i="7" a="1"/>
  <c r="BK315" i="7" s="1"/>
  <c r="BK316" i="7" a="1"/>
  <c r="BK316" i="7" s="1"/>
  <c r="BK317" i="7" a="1"/>
  <c r="BK317" i="7" s="1"/>
  <c r="BK318" i="7" a="1"/>
  <c r="BK318" i="7" s="1"/>
  <c r="BK319" i="7" a="1"/>
  <c r="BK319" i="7" s="1"/>
  <c r="BK320" i="7" a="1"/>
  <c r="BK320" i="7" s="1"/>
  <c r="BK321" i="7" a="1"/>
  <c r="BK321" i="7" s="1"/>
  <c r="BK322" i="7" a="1"/>
  <c r="BK322" i="7" s="1"/>
  <c r="BK323" i="7" a="1"/>
  <c r="BK323" i="7" s="1"/>
  <c r="BK324" i="7" a="1"/>
  <c r="BK324" i="7" s="1"/>
  <c r="BK325" i="7" a="1"/>
  <c r="BK325" i="7" s="1"/>
  <c r="BK326" i="7" a="1"/>
  <c r="BK326" i="7" s="1"/>
  <c r="BK327" i="7" a="1"/>
  <c r="BK327" i="7" s="1"/>
  <c r="BK328" i="7" a="1"/>
  <c r="BK328" i="7" s="1"/>
  <c r="BK329" i="7" a="1"/>
  <c r="BK329" i="7" s="1"/>
  <c r="BK330" i="7" a="1"/>
  <c r="BK330" i="7" s="1"/>
  <c r="BK331" i="7" a="1"/>
  <c r="BK331" i="7" s="1"/>
  <c r="BK332" i="7" a="1"/>
  <c r="BK332" i="7" s="1"/>
  <c r="BK333" i="7" a="1"/>
  <c r="BK333" i="7" s="1"/>
  <c r="BK334" i="7" a="1"/>
  <c r="BK334" i="7" s="1"/>
  <c r="BK335" i="7" a="1"/>
  <c r="BK335" i="7" s="1"/>
  <c r="BK336" i="7" a="1"/>
  <c r="BK336" i="7" s="1"/>
  <c r="BK337" i="7" a="1"/>
  <c r="BK337" i="7" s="1"/>
  <c r="BK338" i="7" a="1"/>
  <c r="BK338" i="7" s="1"/>
  <c r="BK339" i="7" a="1"/>
  <c r="BK339" i="7" s="1"/>
  <c r="BK340" i="7" a="1"/>
  <c r="BK340" i="7" s="1"/>
  <c r="BK341" i="7" a="1"/>
  <c r="BK341" i="7" s="1"/>
  <c r="BK342" i="7" a="1"/>
  <c r="BK342" i="7" s="1"/>
  <c r="BK343" i="7" a="1"/>
  <c r="BK343" i="7" s="1"/>
  <c r="BK344" i="7" a="1"/>
  <c r="BK344" i="7" s="1"/>
  <c r="BK345" i="7" a="1"/>
  <c r="BK345" i="7" s="1"/>
  <c r="BK346" i="7" a="1"/>
  <c r="BK346" i="7" s="1"/>
  <c r="BK347" i="7" a="1"/>
  <c r="BK347" i="7" s="1"/>
  <c r="BK655" i="7" a="1"/>
  <c r="BK655" i="7" s="1"/>
  <c r="BK348" i="7" a="1"/>
  <c r="BK348" i="7" s="1"/>
  <c r="BK656" i="7" a="1"/>
  <c r="BK656" i="7" s="1"/>
  <c r="BK349" i="7" a="1"/>
  <c r="BK349" i="7" s="1"/>
  <c r="BK657" i="7" a="1"/>
  <c r="BK657" i="7" s="1"/>
  <c r="BK350" i="7" a="1"/>
  <c r="BK350" i="7" s="1"/>
  <c r="BK658" i="7" a="1"/>
  <c r="BK658" i="7" s="1"/>
  <c r="BK351" i="7" a="1"/>
  <c r="BK351" i="7" s="1"/>
  <c r="BK659" i="7" a="1"/>
  <c r="BK659" i="7" s="1"/>
  <c r="BK352" i="7" a="1"/>
  <c r="BK352" i="7" s="1"/>
  <c r="BK660" i="7" a="1"/>
  <c r="BK660" i="7" s="1"/>
  <c r="BK353" i="7" a="1"/>
  <c r="BK353" i="7" s="1"/>
  <c r="BK661" i="7" a="1"/>
  <c r="BK661" i="7" s="1"/>
  <c r="BK354" i="7" a="1"/>
  <c r="BK354" i="7" s="1"/>
  <c r="BK662" i="7" a="1"/>
  <c r="BK662" i="7" s="1"/>
  <c r="BK355" i="7" a="1"/>
  <c r="BK355" i="7" s="1"/>
  <c r="BK663" i="7" a="1"/>
  <c r="BK663" i="7" s="1"/>
  <c r="BK356" i="7" a="1"/>
  <c r="BK356" i="7" s="1"/>
  <c r="BK664" i="7" a="1"/>
  <c r="BK664" i="7" s="1"/>
  <c r="BK357" i="7" a="1"/>
  <c r="BK357" i="7" s="1"/>
  <c r="BK665" i="7" a="1"/>
  <c r="BK665" i="7" s="1"/>
  <c r="BK358" i="7" a="1"/>
  <c r="BK358" i="7" s="1"/>
  <c r="BK666" i="7" a="1"/>
  <c r="BK666" i="7" s="1"/>
  <c r="BK359" i="7" a="1"/>
  <c r="BK359" i="7" s="1"/>
  <c r="BK667" i="7" a="1"/>
  <c r="BK667" i="7" s="1"/>
  <c r="BK360" i="7" a="1"/>
  <c r="BK360" i="7" s="1"/>
  <c r="BK668" i="7" a="1"/>
  <c r="BK668" i="7" s="1"/>
  <c r="BK361" i="7" a="1"/>
  <c r="BK361" i="7" s="1"/>
  <c r="BK669" i="7" a="1"/>
  <c r="BK669" i="7" s="1"/>
  <c r="BK362" i="7" a="1"/>
  <c r="BK362" i="7" s="1"/>
  <c r="BK670" i="7" a="1"/>
  <c r="BK670" i="7" s="1"/>
  <c r="BK363" i="7" a="1"/>
  <c r="BK363" i="7" s="1"/>
  <c r="BK671" i="7" a="1"/>
  <c r="BK671" i="7" s="1"/>
  <c r="BK364" i="7" a="1"/>
  <c r="BK364" i="7" s="1"/>
  <c r="BK672" i="7" a="1"/>
  <c r="BK672" i="7" s="1"/>
  <c r="BK365" i="7" a="1"/>
  <c r="BK365" i="7" s="1"/>
  <c r="BK673" i="7" a="1"/>
  <c r="BK673" i="7" s="1"/>
  <c r="BK366" i="7" a="1"/>
  <c r="BK366" i="7" s="1"/>
  <c r="BK674" i="7" a="1"/>
  <c r="BK674" i="7" s="1"/>
  <c r="BK367" i="7" a="1"/>
  <c r="BK367" i="7" s="1"/>
  <c r="BK368" i="7" a="1"/>
  <c r="BK368" i="7" s="1"/>
  <c r="BK369" i="7" a="1"/>
  <c r="BK369" i="7" s="1"/>
  <c r="BK370" i="7" a="1"/>
  <c r="BK370" i="7" s="1"/>
  <c r="BK371" i="7" a="1"/>
  <c r="BK371" i="7" s="1"/>
  <c r="BK372" i="7" a="1"/>
  <c r="BK372" i="7" s="1"/>
  <c r="BK373" i="7" a="1"/>
  <c r="BK373" i="7" s="1"/>
  <c r="BK375" i="7" a="1"/>
  <c r="BK375" i="7" s="1"/>
  <c r="BK374" i="7" a="1"/>
  <c r="BK374" i="7" s="1"/>
  <c r="BK377" i="7" a="1"/>
  <c r="BK377" i="7" s="1"/>
  <c r="BK51" i="7" a="1"/>
  <c r="BK51" i="7" s="1"/>
  <c r="BK376" i="7" a="1"/>
  <c r="BK376" i="7" s="1"/>
  <c r="BK379" i="7" a="1"/>
  <c r="BK379" i="7" s="1"/>
  <c r="BK52" i="7" a="1"/>
  <c r="BK52" i="7" s="1"/>
  <c r="BK378" i="7" a="1"/>
  <c r="BK378" i="7" s="1"/>
  <c r="BK53" i="7" a="1"/>
  <c r="BK53" i="7" s="1"/>
  <c r="BK54" i="7" a="1"/>
  <c r="BK54" i="7" s="1"/>
  <c r="BK55" i="7" a="1"/>
  <c r="BK55" i="7" s="1"/>
  <c r="BK56" i="7" a="1"/>
  <c r="BK56" i="7" s="1"/>
  <c r="BK381" i="7" a="1"/>
  <c r="BK381" i="7" s="1"/>
  <c r="BK380" i="7" a="1"/>
  <c r="BK380" i="7" s="1"/>
  <c r="BK382" i="7" a="1"/>
  <c r="BK382" i="7" s="1"/>
  <c r="BK383" i="7" a="1"/>
  <c r="BK383" i="7" s="1"/>
  <c r="BK675" i="7" a="1"/>
  <c r="BK675" i="7" s="1"/>
  <c r="BK384" i="7" a="1"/>
  <c r="BK384" i="7" s="1"/>
  <c r="BK385" i="7" a="1"/>
  <c r="BK385" i="7" s="1"/>
  <c r="BK386" i="7" a="1"/>
  <c r="BK386" i="7" s="1"/>
  <c r="BK387" i="7" a="1"/>
  <c r="BK387" i="7" s="1"/>
  <c r="BK388" i="7" a="1"/>
  <c r="BK388" i="7" s="1"/>
  <c r="BK389" i="7" a="1"/>
  <c r="BK389" i="7" s="1"/>
  <c r="BK676" i="7" a="1"/>
  <c r="BK676" i="7" s="1"/>
  <c r="BK677" i="7" a="1"/>
  <c r="BK677" i="7" s="1"/>
  <c r="BK390" i="7" a="1"/>
  <c r="BK390" i="7" s="1"/>
  <c r="BK391" i="7" a="1"/>
  <c r="BK391" i="7" s="1"/>
  <c r="BK788" i="7" a="1"/>
  <c r="BK788" i="7" s="1"/>
  <c r="BK789" i="7" a="1"/>
  <c r="BK789" i="7" s="1"/>
  <c r="BK790" i="7" a="1"/>
  <c r="BK790" i="7" s="1"/>
  <c r="BK392" i="7" a="1"/>
  <c r="BK392" i="7" s="1"/>
  <c r="BK678" i="7" a="1"/>
  <c r="BK678" i="7" s="1"/>
  <c r="BK679" i="7" a="1"/>
  <c r="BK679" i="7" s="1"/>
  <c r="BK393" i="7" a="1"/>
  <c r="BK393" i="7" s="1"/>
  <c r="BK791" i="7" a="1"/>
  <c r="BK791" i="7" s="1"/>
  <c r="BK792" i="7" a="1"/>
  <c r="BK792" i="7" s="1"/>
  <c r="BK793" i="7" a="1"/>
  <c r="BK793" i="7" s="1"/>
  <c r="BK394" i="7" a="1"/>
  <c r="BK394" i="7" s="1"/>
  <c r="BK680" i="7" a="1"/>
  <c r="BK680" i="7" s="1"/>
  <c r="BK681" i="7" a="1"/>
  <c r="BK681" i="7" s="1"/>
  <c r="BK395" i="7" a="1"/>
  <c r="BK395" i="7" s="1"/>
  <c r="BK794" i="7" a="1"/>
  <c r="BK794" i="7" s="1"/>
  <c r="BK795" i="7" a="1"/>
  <c r="BK795" i="7" s="1"/>
  <c r="BK796" i="7" a="1"/>
  <c r="BK796" i="7" s="1"/>
  <c r="BK396" i="7" a="1"/>
  <c r="BK396" i="7" s="1"/>
  <c r="BK682" i="7" a="1"/>
  <c r="BK682" i="7" s="1"/>
  <c r="BK683" i="7" a="1"/>
  <c r="BK683" i="7" s="1"/>
  <c r="BK397" i="7" a="1"/>
  <c r="BK397" i="7" s="1"/>
  <c r="BK797" i="7" a="1"/>
  <c r="BK797" i="7" s="1"/>
  <c r="BK798" i="7" a="1"/>
  <c r="BK798" i="7" s="1"/>
  <c r="BK799" i="7" a="1"/>
  <c r="BK799" i="7" s="1"/>
  <c r="BK398" i="7" a="1"/>
  <c r="BK398" i="7" s="1"/>
  <c r="BK684" i="7" a="1"/>
  <c r="BK684" i="7" s="1"/>
  <c r="BK685" i="7" a="1"/>
  <c r="BK685" i="7" s="1"/>
  <c r="BK399" i="7" a="1"/>
  <c r="BK399" i="7" s="1"/>
  <c r="BK400" i="7" a="1"/>
  <c r="BK400" i="7" s="1"/>
  <c r="BK401" i="7" a="1"/>
  <c r="BK401" i="7" s="1"/>
  <c r="BK402" i="7" a="1"/>
  <c r="BK402" i="7" s="1"/>
  <c r="BK403" i="7" a="1"/>
  <c r="BK403" i="7" s="1"/>
  <c r="BK404" i="7" a="1"/>
  <c r="BK404" i="7" s="1"/>
  <c r="BK686" i="7" a="1"/>
  <c r="BK686" i="7" s="1"/>
  <c r="BK405" i="7" a="1"/>
  <c r="BK405" i="7" s="1"/>
  <c r="BK687" i="7" a="1"/>
  <c r="BK687" i="7" s="1"/>
  <c r="BK406" i="7" a="1"/>
  <c r="BK406" i="7" s="1"/>
  <c r="BK688" i="7" a="1"/>
  <c r="BK688" i="7" s="1"/>
  <c r="BK407" i="7" a="1"/>
  <c r="BK407" i="7" s="1"/>
  <c r="BK689" i="7" a="1"/>
  <c r="BK689" i="7" s="1"/>
  <c r="BK408" i="7" a="1"/>
  <c r="BK408" i="7" s="1"/>
  <c r="BK409" i="7" a="1"/>
  <c r="BK409" i="7" s="1"/>
  <c r="BK410" i="7" a="1"/>
  <c r="BK410" i="7" s="1"/>
  <c r="BK411" i="7" a="1"/>
  <c r="BK411" i="7" s="1"/>
  <c r="BK412" i="7" a="1"/>
  <c r="BK412" i="7" s="1"/>
  <c r="BK413" i="7" a="1"/>
  <c r="BK413" i="7" s="1"/>
  <c r="BK414" i="7" a="1"/>
  <c r="BK414" i="7" s="1"/>
  <c r="BK415" i="7" a="1"/>
  <c r="BK415" i="7" s="1"/>
  <c r="BK690" i="7" a="1"/>
  <c r="BK690" i="7" s="1"/>
  <c r="BK416" i="7" a="1"/>
  <c r="BK416" i="7" s="1"/>
  <c r="BK691" i="7" a="1"/>
  <c r="BK691" i="7" s="1"/>
  <c r="BK417" i="7" a="1"/>
  <c r="BK417" i="7" s="1"/>
  <c r="BK692" i="7" a="1"/>
  <c r="BK692" i="7" s="1"/>
  <c r="BK418" i="7" a="1"/>
  <c r="BK418" i="7" s="1"/>
  <c r="BK693" i="7" a="1"/>
  <c r="BK693" i="7" s="1"/>
  <c r="BK419" i="7" a="1"/>
  <c r="BK419" i="7" s="1"/>
  <c r="BK420" i="7" a="1"/>
  <c r="BK420" i="7" s="1"/>
  <c r="BK421" i="7" a="1"/>
  <c r="BK421" i="7" s="1"/>
  <c r="BK57" i="7" a="1"/>
  <c r="BK57" i="7" s="1"/>
  <c r="BK58" i="7" a="1"/>
  <c r="BK58" i="7" s="1"/>
  <c r="BK59" i="7" a="1"/>
  <c r="BK59" i="7" s="1"/>
  <c r="BK60" i="7" a="1"/>
  <c r="BK60" i="7" s="1"/>
  <c r="BK61" i="7" a="1"/>
  <c r="BK61" i="7" s="1"/>
  <c r="BK62" i="7" a="1"/>
  <c r="BK62" i="7" s="1"/>
  <c r="BK63" i="7" a="1"/>
  <c r="BK63" i="7" s="1"/>
  <c r="BK64" i="7" a="1"/>
  <c r="BK64" i="7" s="1"/>
  <c r="BK65" i="7" a="1"/>
  <c r="BK65" i="7" s="1"/>
  <c r="BK66" i="7" a="1"/>
  <c r="BK66" i="7" s="1"/>
  <c r="BK241" i="7" a="1"/>
  <c r="BK241" i="7" s="1"/>
  <c r="BK422" i="7" a="1"/>
  <c r="BK422" i="7" s="1"/>
  <c r="BK67" i="7" a="1"/>
  <c r="BK67" i="7" s="1"/>
  <c r="BK68" i="7" a="1"/>
  <c r="BK68" i="7" s="1"/>
  <c r="BK69" i="7" a="1"/>
  <c r="BK69" i="7" s="1"/>
  <c r="BK70" i="7" a="1"/>
  <c r="BK70" i="7" s="1"/>
  <c r="BK71" i="7" a="1"/>
  <c r="BK71" i="7" s="1"/>
  <c r="BK72" i="7" a="1"/>
  <c r="BK72" i="7" s="1"/>
  <c r="BK73" i="7" a="1"/>
  <c r="BK73" i="7" s="1"/>
  <c r="BK74" i="7" a="1"/>
  <c r="BK74" i="7" s="1"/>
  <c r="BK75" i="7" a="1"/>
  <c r="BK75" i="7" s="1"/>
  <c r="BK694" i="7" a="1"/>
  <c r="BK694" i="7" s="1"/>
  <c r="BK695" i="7" a="1"/>
  <c r="BK695" i="7" s="1"/>
  <c r="BK696" i="7" a="1"/>
  <c r="BK696" i="7" s="1"/>
  <c r="BK697" i="7" a="1"/>
  <c r="BK697" i="7" s="1"/>
  <c r="BK698" i="7" a="1"/>
  <c r="BK698" i="7" s="1"/>
  <c r="BK699" i="7" a="1"/>
  <c r="BK699" i="7" s="1"/>
  <c r="BK700" i="7" a="1"/>
  <c r="BK700" i="7" s="1"/>
  <c r="BK701" i="7" a="1"/>
  <c r="BK701" i="7" s="1"/>
  <c r="BK76" i="7" a="1"/>
  <c r="BK76" i="7" s="1"/>
  <c r="BK77" i="7" a="1"/>
  <c r="BK77" i="7" s="1"/>
  <c r="BK78" i="7" a="1"/>
  <c r="BK78" i="7" s="1"/>
  <c r="BK423" i="7" a="1"/>
  <c r="BK423" i="7" s="1"/>
  <c r="BK424" i="7" a="1"/>
  <c r="BK424" i="7" s="1"/>
  <c r="BK425" i="7" a="1"/>
  <c r="BK425" i="7" s="1"/>
  <c r="BK79" i="7" a="1"/>
  <c r="BK79" i="7" s="1"/>
  <c r="BK80" i="7" a="1"/>
  <c r="BK80" i="7" s="1"/>
  <c r="BK81" i="7" a="1"/>
  <c r="BK81" i="7" s="1"/>
  <c r="BK82" i="7" a="1"/>
  <c r="BK82" i="7" s="1"/>
  <c r="BK83" i="7" a="1"/>
  <c r="BK83" i="7" s="1"/>
  <c r="BK84" i="7" a="1"/>
  <c r="BK84" i="7" s="1"/>
  <c r="BK85" i="7" a="1"/>
  <c r="BK85" i="7" s="1"/>
  <c r="BK86" i="7" a="1"/>
  <c r="BK86" i="7" s="1"/>
  <c r="BK242" i="7" a="1"/>
  <c r="BK242" i="7" s="1"/>
  <c r="BK426" i="7" a="1"/>
  <c r="BK426" i="7" s="1"/>
  <c r="BK87" i="7" a="1"/>
  <c r="BK87" i="7" s="1"/>
  <c r="BK88" i="7" a="1"/>
  <c r="BK88" i="7" s="1"/>
  <c r="BK89" i="7" a="1"/>
  <c r="BK89" i="7" s="1"/>
  <c r="BK90" i="7" a="1"/>
  <c r="BK90" i="7" s="1"/>
  <c r="BK91" i="7" a="1"/>
  <c r="BK91" i="7" s="1"/>
  <c r="BK92" i="7" a="1"/>
  <c r="BK92" i="7" s="1"/>
  <c r="BK93" i="7" a="1"/>
  <c r="BK93" i="7" s="1"/>
  <c r="BK94" i="7" a="1"/>
  <c r="BK94" i="7" s="1"/>
  <c r="BK95" i="7" a="1"/>
  <c r="BK95" i="7" s="1"/>
  <c r="BK702" i="7" a="1"/>
  <c r="BK702" i="7" s="1"/>
  <c r="BK703" i="7" a="1"/>
  <c r="BK703" i="7" s="1"/>
  <c r="BK704" i="7" a="1"/>
  <c r="BK704" i="7" s="1"/>
  <c r="BK705" i="7" a="1"/>
  <c r="BK705" i="7" s="1"/>
  <c r="BK706" i="7" a="1"/>
  <c r="BK706" i="7" s="1"/>
  <c r="BK707" i="7" a="1"/>
  <c r="BK707" i="7" s="1"/>
  <c r="BK708" i="7" a="1"/>
  <c r="BK708" i="7" s="1"/>
  <c r="BK709" i="7" a="1"/>
  <c r="BK709" i="7" s="1"/>
  <c r="BK96" i="7" a="1"/>
  <c r="BK96" i="7" s="1"/>
  <c r="BK97" i="7" a="1"/>
  <c r="BK97" i="7" s="1"/>
  <c r="BK98" i="7" a="1"/>
  <c r="BK98" i="7" s="1"/>
  <c r="BK427" i="7" a="1"/>
  <c r="BK427" i="7" s="1"/>
  <c r="BK428" i="7" a="1"/>
  <c r="BK428" i="7" s="1"/>
  <c r="BK429" i="7" a="1"/>
  <c r="BK429" i="7" s="1"/>
  <c r="BK99" i="7" a="1"/>
  <c r="BK99" i="7" s="1"/>
  <c r="BK100" i="7" a="1"/>
  <c r="BK100" i="7" s="1"/>
  <c r="BK101" i="7" a="1"/>
  <c r="BK101" i="7" s="1"/>
  <c r="BK102" i="7" a="1"/>
  <c r="BK102" i="7" s="1"/>
  <c r="BK103" i="7" a="1"/>
  <c r="BK103" i="7" s="1"/>
  <c r="BK104" i="7" a="1"/>
  <c r="BK104" i="7" s="1"/>
  <c r="BK105" i="7" a="1"/>
  <c r="BK105" i="7" s="1"/>
  <c r="BK106" i="7" a="1"/>
  <c r="BK106" i="7" s="1"/>
  <c r="BK243" i="7" a="1"/>
  <c r="BK243" i="7" s="1"/>
  <c r="BK430" i="7" a="1"/>
  <c r="BK430" i="7" s="1"/>
  <c r="BK107" i="7" a="1"/>
  <c r="BK107" i="7" s="1"/>
  <c r="BK108" i="7" a="1"/>
  <c r="BK108" i="7" s="1"/>
  <c r="BK109" i="7" a="1"/>
  <c r="BK109" i="7" s="1"/>
  <c r="BK110" i="7" a="1"/>
  <c r="BK110" i="7" s="1"/>
  <c r="BK111" i="7" a="1"/>
  <c r="BK111" i="7" s="1"/>
  <c r="BK112" i="7" a="1"/>
  <c r="BK112" i="7" s="1"/>
  <c r="BK113" i="7" a="1"/>
  <c r="BK113" i="7" s="1"/>
  <c r="BK114" i="7" a="1"/>
  <c r="BK114" i="7" s="1"/>
  <c r="BK115" i="7" a="1"/>
  <c r="BK115" i="7" s="1"/>
  <c r="BK710" i="7" a="1"/>
  <c r="BK710" i="7" s="1"/>
  <c r="BK711" i="7" a="1"/>
  <c r="BK711" i="7" s="1"/>
  <c r="BK712" i="7" a="1"/>
  <c r="BK712" i="7" s="1"/>
  <c r="BK713" i="7" a="1"/>
  <c r="BK713" i="7" s="1"/>
  <c r="BK714" i="7" a="1"/>
  <c r="BK714" i="7" s="1"/>
  <c r="BK715" i="7" a="1"/>
  <c r="BK715" i="7" s="1"/>
  <c r="BK716" i="7" a="1"/>
  <c r="BK716" i="7" s="1"/>
  <c r="BK717" i="7" a="1"/>
  <c r="BK717" i="7" s="1"/>
  <c r="BK116" i="7" a="1"/>
  <c r="BK116" i="7" s="1"/>
  <c r="BK117" i="7" a="1"/>
  <c r="BK117" i="7" s="1"/>
  <c r="BK118" i="7" a="1"/>
  <c r="BK118" i="7" s="1"/>
  <c r="BK431" i="7" a="1"/>
  <c r="BK431" i="7" s="1"/>
  <c r="BK432" i="7" a="1"/>
  <c r="BK432" i="7" s="1"/>
  <c r="BK433" i="7" a="1"/>
  <c r="BK433" i="7" s="1"/>
  <c r="BK119" i="7" a="1"/>
  <c r="BK119" i="7" s="1"/>
  <c r="BK120" i="7" a="1"/>
  <c r="BK120" i="7" s="1"/>
  <c r="BK121" i="7" a="1"/>
  <c r="BK121" i="7" s="1"/>
  <c r="BK122" i="7" a="1"/>
  <c r="BK122" i="7" s="1"/>
  <c r="BK123" i="7" a="1"/>
  <c r="BK123" i="7" s="1"/>
  <c r="BK124" i="7" a="1"/>
  <c r="BK124" i="7" s="1"/>
  <c r="BK125" i="7" a="1"/>
  <c r="BK125" i="7" s="1"/>
  <c r="BK126" i="7" a="1"/>
  <c r="BK126" i="7" s="1"/>
  <c r="BK244" i="7" a="1"/>
  <c r="BK244" i="7" s="1"/>
  <c r="BK434" i="7" a="1"/>
  <c r="BK434" i="7" s="1"/>
  <c r="BK127" i="7" a="1"/>
  <c r="BK127" i="7" s="1"/>
  <c r="BK128" i="7" a="1"/>
  <c r="BK128" i="7" s="1"/>
  <c r="BK129" i="7" a="1"/>
  <c r="BK129" i="7" s="1"/>
  <c r="BK130" i="7" a="1"/>
  <c r="BK130" i="7" s="1"/>
  <c r="BK131" i="7" a="1"/>
  <c r="BK131" i="7" s="1"/>
  <c r="BK132" i="7" a="1"/>
  <c r="BK132" i="7" s="1"/>
  <c r="BK133" i="7" a="1"/>
  <c r="BK133" i="7" s="1"/>
  <c r="BK134" i="7" a="1"/>
  <c r="BK134" i="7" s="1"/>
  <c r="BK135" i="7" a="1"/>
  <c r="BK135" i="7" s="1"/>
  <c r="BK718" i="7" a="1"/>
  <c r="BK718" i="7" s="1"/>
  <c r="BK719" i="7" a="1"/>
  <c r="BK719" i="7" s="1"/>
  <c r="BK720" i="7" a="1"/>
  <c r="BK720" i="7" s="1"/>
  <c r="BK721" i="7" a="1"/>
  <c r="BK721" i="7" s="1"/>
  <c r="BK722" i="7" a="1"/>
  <c r="BK722" i="7" s="1"/>
  <c r="BK723" i="7" a="1"/>
  <c r="BK723" i="7" s="1"/>
  <c r="BK724" i="7" a="1"/>
  <c r="BK724" i="7" s="1"/>
  <c r="BK725" i="7" a="1"/>
  <c r="BK725" i="7" s="1"/>
  <c r="BK136" i="7" a="1"/>
  <c r="BK136" i="7" s="1"/>
  <c r="BK137" i="7" a="1"/>
  <c r="BK137" i="7" s="1"/>
  <c r="BK138" i="7" a="1"/>
  <c r="BK138" i="7" s="1"/>
  <c r="BK435" i="7" a="1"/>
  <c r="BK435" i="7" s="1"/>
  <c r="BK436" i="7" a="1"/>
  <c r="BK436" i="7" s="1"/>
  <c r="BK437" i="7" a="1"/>
  <c r="BK437" i="7" s="1"/>
  <c r="BK139" i="7" a="1"/>
  <c r="BK139" i="7" s="1"/>
  <c r="BK140" i="7" a="1"/>
  <c r="BK140" i="7" s="1"/>
  <c r="BK141" i="7" a="1"/>
  <c r="BK141" i="7" s="1"/>
  <c r="BK142" i="7" a="1"/>
  <c r="BK142" i="7" s="1"/>
  <c r="BK143" i="7" a="1"/>
  <c r="BK143" i="7" s="1"/>
  <c r="BK144" i="7" a="1"/>
  <c r="BK144" i="7" s="1"/>
  <c r="BK145" i="7" a="1"/>
  <c r="BK145" i="7" s="1"/>
  <c r="BK146" i="7" a="1"/>
  <c r="BK146" i="7" s="1"/>
  <c r="BK245" i="7" a="1"/>
  <c r="BK245" i="7" s="1"/>
  <c r="BK438" i="7" a="1"/>
  <c r="BK438" i="7" s="1"/>
  <c r="BK147" i="7" a="1"/>
  <c r="BK147" i="7" s="1"/>
  <c r="BK148" i="7" a="1"/>
  <c r="BK148" i="7" s="1"/>
  <c r="BK149" i="7" a="1"/>
  <c r="BK149" i="7" s="1"/>
  <c r="BK150" i="7" a="1"/>
  <c r="BK150" i="7" s="1"/>
  <c r="BK151" i="7" a="1"/>
  <c r="BK151" i="7" s="1"/>
  <c r="BK152" i="7" a="1"/>
  <c r="BK152" i="7" s="1"/>
  <c r="BK153" i="7" a="1"/>
  <c r="BK153" i="7" s="1"/>
  <c r="BK154" i="7" a="1"/>
  <c r="BK154" i="7" s="1"/>
  <c r="BK155" i="7" a="1"/>
  <c r="BK155" i="7" s="1"/>
  <c r="BK726" i="7" a="1"/>
  <c r="BK726" i="7" s="1"/>
  <c r="BK727" i="7" a="1"/>
  <c r="BK727" i="7" s="1"/>
  <c r="BK728" i="7" a="1"/>
  <c r="BK728" i="7" s="1"/>
  <c r="BK729" i="7" a="1"/>
  <c r="BK729" i="7" s="1"/>
  <c r="BK730" i="7" a="1"/>
  <c r="BK730" i="7" s="1"/>
  <c r="BK731" i="7" a="1"/>
  <c r="BK731" i="7" s="1"/>
  <c r="BK732" i="7" a="1"/>
  <c r="BK732" i="7" s="1"/>
  <c r="BK733" i="7" a="1"/>
  <c r="BK733" i="7" s="1"/>
  <c r="BK156" i="7" a="1"/>
  <c r="BK156" i="7" s="1"/>
  <c r="BK157" i="7" a="1"/>
  <c r="BK157" i="7" s="1"/>
  <c r="BK158" i="7" a="1"/>
  <c r="BK158" i="7" s="1"/>
  <c r="BK439" i="7" a="1"/>
  <c r="BK439" i="7" s="1"/>
  <c r="BK440" i="7" a="1"/>
  <c r="BK440" i="7" s="1"/>
  <c r="BK441" i="7" a="1"/>
  <c r="BK441" i="7" s="1"/>
  <c r="BK159" i="7" a="1"/>
  <c r="BK159" i="7" s="1"/>
  <c r="BK160" i="7" a="1"/>
  <c r="BK160" i="7" s="1"/>
  <c r="BK161" i="7" a="1"/>
  <c r="BK161" i="7" s="1"/>
  <c r="BK162" i="7" a="1"/>
  <c r="BK162" i="7" s="1"/>
  <c r="BK163" i="7" a="1"/>
  <c r="BK163" i="7" s="1"/>
  <c r="BK164" i="7" a="1"/>
  <c r="BK164" i="7" s="1"/>
  <c r="BK165" i="7" a="1"/>
  <c r="BK165" i="7" s="1"/>
  <c r="BK166" i="7" a="1"/>
  <c r="BK166" i="7" s="1"/>
  <c r="BK246" i="7" a="1"/>
  <c r="BK246" i="7" s="1"/>
  <c r="BK442" i="7" a="1"/>
  <c r="BK442" i="7" s="1"/>
  <c r="BK167" i="7" a="1"/>
  <c r="BK167" i="7" s="1"/>
  <c r="BK168" i="7" a="1"/>
  <c r="BK168" i="7" s="1"/>
  <c r="BK169" i="7" a="1"/>
  <c r="BK169" i="7" s="1"/>
  <c r="BK170" i="7" a="1"/>
  <c r="BK170" i="7" s="1"/>
  <c r="BK171" i="7" a="1"/>
  <c r="BK171" i="7" s="1"/>
  <c r="BK172" i="7" a="1"/>
  <c r="BK172" i="7" s="1"/>
  <c r="BK173" i="7" a="1"/>
  <c r="BK173" i="7" s="1"/>
  <c r="BK174" i="7" a="1"/>
  <c r="BK174" i="7" s="1"/>
  <c r="BK175" i="7" a="1"/>
  <c r="BK175" i="7" s="1"/>
  <c r="BK734" i="7" a="1"/>
  <c r="BK734" i="7" s="1"/>
  <c r="BK735" i="7" a="1"/>
  <c r="BK735" i="7" s="1"/>
  <c r="BK736" i="7" a="1"/>
  <c r="BK736" i="7" s="1"/>
  <c r="BK737" i="7" a="1"/>
  <c r="BK737" i="7" s="1"/>
  <c r="BK738" i="7" a="1"/>
  <c r="BK738" i="7" s="1"/>
  <c r="BK739" i="7" a="1"/>
  <c r="BK739" i="7" s="1"/>
  <c r="BK740" i="7" a="1"/>
  <c r="BK740" i="7" s="1"/>
  <c r="BK741" i="7" a="1"/>
  <c r="BK741" i="7" s="1"/>
  <c r="BK176" i="7" a="1"/>
  <c r="BK176" i="7" s="1"/>
  <c r="BK177" i="7" a="1"/>
  <c r="BK177" i="7" s="1"/>
  <c r="BK178" i="7" a="1"/>
  <c r="BK178" i="7" s="1"/>
  <c r="BK443" i="7" a="1"/>
  <c r="BK443" i="7" s="1"/>
  <c r="BK444" i="7" a="1"/>
  <c r="BK444" i="7" s="1"/>
  <c r="BK445" i="7" a="1"/>
  <c r="BK445" i="7" s="1"/>
  <c r="BK179" i="7" a="1"/>
  <c r="BK179" i="7" s="1"/>
  <c r="BK180" i="7" a="1"/>
  <c r="BK180" i="7" s="1"/>
  <c r="BK181" i="7" a="1"/>
  <c r="BK181" i="7" s="1"/>
  <c r="BK2" i="7" a="1"/>
  <c r="BK2" i="7" s="1"/>
  <c r="BK191" i="7" a="1"/>
  <c r="BK191" i="7" s="1"/>
  <c r="BK182" i="7" a="1"/>
  <c r="BK182" i="7" s="1"/>
  <c r="BK192" i="7" a="1"/>
  <c r="BK192" i="7" s="1"/>
  <c r="BK446" i="7" a="1"/>
  <c r="BK446" i="7" s="1"/>
  <c r="BK447" i="7" a="1"/>
  <c r="BK447" i="7" s="1"/>
  <c r="BK449" i="7" a="1"/>
  <c r="BK449" i="7" s="1"/>
  <c r="BK448" i="7" a="1"/>
  <c r="BK448" i="7" s="1"/>
  <c r="BK451" i="7" a="1"/>
  <c r="BK451" i="7" s="1"/>
  <c r="BK452" i="7" a="1"/>
  <c r="BK452" i="7" s="1"/>
  <c r="BK450" i="7" a="1"/>
  <c r="BK450" i="7" s="1"/>
  <c r="BK453" i="7" a="1"/>
  <c r="BK453" i="7" s="1"/>
  <c r="BK454" i="7" a="1"/>
  <c r="BK454" i="7" s="1"/>
  <c r="BK455" i="7" a="1"/>
  <c r="BK455" i="7" s="1"/>
  <c r="BK456" i="7" a="1"/>
  <c r="BK456" i="7" s="1"/>
  <c r="BK457" i="7" a="1"/>
  <c r="BK457" i="7" s="1"/>
  <c r="BK458" i="7" a="1"/>
  <c r="BK458" i="7" s="1"/>
  <c r="BK461" i="7" a="1"/>
  <c r="BK461" i="7" s="1"/>
  <c r="BK459" i="7" a="1"/>
  <c r="BK459" i="7" s="1"/>
  <c r="BK460" i="7" a="1"/>
  <c r="BK460" i="7" s="1"/>
  <c r="BK464" i="7" a="1"/>
  <c r="BK464" i="7" s="1"/>
  <c r="BK462" i="7" a="1"/>
  <c r="BK462" i="7" s="1"/>
  <c r="BK463" i="7" a="1"/>
  <c r="BK463" i="7" s="1"/>
  <c r="BK467" i="7" a="1"/>
  <c r="BK467" i="7" s="1"/>
  <c r="BK465" i="7" a="1"/>
  <c r="BK465" i="7" s="1"/>
  <c r="BK466" i="7" a="1"/>
  <c r="BK466" i="7" s="1"/>
  <c r="BK470" i="7" a="1"/>
  <c r="BK470" i="7" s="1"/>
  <c r="BK468" i="7" a="1"/>
  <c r="BK468" i="7" s="1"/>
  <c r="BK469" i="7" a="1"/>
  <c r="BK469" i="7" s="1"/>
  <c r="BK473" i="7" a="1"/>
  <c r="BK473" i="7" s="1"/>
  <c r="BK471" i="7" a="1"/>
  <c r="BK471" i="7" s="1"/>
  <c r="BK472" i="7" a="1"/>
  <c r="BK472" i="7" s="1"/>
  <c r="BK476" i="7" a="1"/>
  <c r="BK476" i="7" s="1"/>
  <c r="BK474" i="7" a="1"/>
  <c r="BK474" i="7" s="1"/>
  <c r="BK475" i="7" a="1"/>
  <c r="BK475" i="7" s="1"/>
  <c r="BK479" i="7" a="1"/>
  <c r="BK479" i="7" s="1"/>
  <c r="BK477" i="7" a="1"/>
  <c r="BK477" i="7" s="1"/>
  <c r="BK478" i="7" a="1"/>
  <c r="BK478" i="7" s="1"/>
  <c r="BK480" i="7" a="1"/>
  <c r="BK480" i="7" s="1"/>
  <c r="BK482" i="7" a="1"/>
  <c r="BK482" i="7" s="1"/>
  <c r="BK481" i="7" a="1"/>
  <c r="BK481" i="7" s="1"/>
  <c r="BK483" i="7" a="1"/>
  <c r="BK483" i="7" s="1"/>
  <c r="BK491" i="7" a="1"/>
  <c r="BK491" i="7" s="1"/>
  <c r="BK489" i="7" a="1"/>
  <c r="BK489" i="7" s="1"/>
  <c r="BK490" i="7" a="1"/>
  <c r="BK490" i="7" s="1"/>
  <c r="BK492" i="7" a="1"/>
  <c r="BK492" i="7" s="1"/>
  <c r="BK494" i="7" a="1"/>
  <c r="BK494" i="7" s="1"/>
  <c r="BK493" i="7" a="1"/>
  <c r="BK493" i="7" s="1"/>
  <c r="BK495" i="7" a="1"/>
  <c r="BK495" i="7" s="1"/>
  <c r="BK496" i="7" a="1"/>
  <c r="BK496" i="7" s="1"/>
  <c r="BK497" i="7" a="1"/>
  <c r="BK497" i="7" s="1"/>
  <c r="BK498" i="7" a="1"/>
  <c r="BK498" i="7" s="1"/>
  <c r="BK183" i="7" a="1"/>
  <c r="BK183" i="7" s="1"/>
  <c r="BK484" i="7" a="1"/>
  <c r="BK484" i="7" s="1"/>
  <c r="BK485" i="7" a="1"/>
  <c r="BK485" i="7" s="1"/>
  <c r="BK486" i="7" a="1"/>
  <c r="BK486" i="7" s="1"/>
  <c r="BK754" i="7" a="1"/>
  <c r="BK754" i="7" s="1"/>
  <c r="BK184" i="7" a="1"/>
  <c r="BK184" i="7" s="1"/>
  <c r="BK247" i="7" a="1"/>
  <c r="BK247" i="7" s="1"/>
  <c r="BK487" i="7" a="1"/>
  <c r="BK487" i="7" s="1"/>
  <c r="BK185" i="7" a="1"/>
  <c r="BK185" i="7" s="1"/>
  <c r="BK248" i="7" a="1"/>
  <c r="BK248" i="7" s="1"/>
  <c r="BK488" i="7" a="1"/>
  <c r="BK488" i="7" s="1"/>
  <c r="BK186" i="7" a="1"/>
  <c r="BK186" i="7" s="1"/>
  <c r="BK187" i="7" a="1"/>
  <c r="BK187" i="7" s="1"/>
  <c r="BK188" i="7" a="1"/>
  <c r="BK188" i="7" s="1"/>
  <c r="BK189" i="7" a="1"/>
  <c r="BK189" i="7" s="1"/>
  <c r="BK190" i="7" a="1"/>
  <c r="BK190" i="7" s="1"/>
  <c r="BK500" i="7" a="1"/>
  <c r="BK500" i="7" s="1"/>
  <c r="BK499" i="7" a="1"/>
  <c r="BK499" i="7" s="1"/>
  <c r="BK502" i="7" a="1"/>
  <c r="BK502" i="7" s="1"/>
  <c r="BK501" i="7" a="1"/>
  <c r="BK501" i="7" s="1"/>
  <c r="BK503" i="7" a="1"/>
  <c r="BK503" i="7" s="1"/>
  <c r="BK504" i="7" a="1"/>
  <c r="BK504" i="7" s="1"/>
  <c r="BK506" i="7" a="1"/>
  <c r="BK506" i="7" s="1"/>
  <c r="BK507" i="7" a="1"/>
  <c r="BK507" i="7" s="1"/>
  <c r="BK505" i="7" a="1"/>
  <c r="BK505" i="7" s="1"/>
  <c r="BK509" i="7" a="1"/>
  <c r="BK509" i="7" s="1"/>
  <c r="BK510" i="7" a="1"/>
  <c r="BK510" i="7" s="1"/>
  <c r="BK508" i="7" a="1"/>
  <c r="BK508" i="7" s="1"/>
  <c r="BK511" i="7" a="1"/>
  <c r="BK511" i="7" s="1"/>
  <c r="BK512" i="7" a="1"/>
  <c r="BK512" i="7" s="1"/>
  <c r="BK513" i="7" a="1"/>
  <c r="BK513" i="7" s="1"/>
  <c r="BK514" i="7" a="1"/>
  <c r="BK514" i="7" s="1"/>
  <c r="BK515" i="7" a="1"/>
  <c r="BK515" i="7" s="1"/>
  <c r="BK516" i="7" a="1"/>
  <c r="BK516" i="7" s="1"/>
  <c r="BK519" i="7" a="1"/>
  <c r="BK519" i="7" s="1"/>
  <c r="BK517" i="7" a="1"/>
  <c r="BK517" i="7" s="1"/>
  <c r="BK518" i="7" a="1"/>
  <c r="BK518" i="7" s="1"/>
  <c r="BK743" i="7" a="1"/>
  <c r="BK743" i="7" s="1"/>
  <c r="BK520" i="7" a="1"/>
  <c r="BK520" i="7" s="1"/>
  <c r="BK742" i="7" a="1"/>
  <c r="BK742" i="7" s="1"/>
  <c r="BK746" i="7" a="1"/>
  <c r="BK746" i="7" s="1"/>
  <c r="BK744" i="7" a="1"/>
  <c r="BK744" i="7" s="1"/>
  <c r="BK745" i="7" a="1"/>
  <c r="BK745" i="7" s="1"/>
  <c r="BK749" i="7" a="1"/>
  <c r="BK749" i="7" s="1"/>
  <c r="BK747" i="7" a="1"/>
  <c r="BK747" i="7" s="1"/>
  <c r="BK748" i="7" a="1"/>
  <c r="BK748" i="7" s="1"/>
  <c r="BK752" i="7" a="1"/>
  <c r="BK752" i="7" s="1"/>
  <c r="BK750" i="7" a="1"/>
  <c r="BK750" i="7" s="1"/>
  <c r="BK751" i="7" a="1"/>
  <c r="BK751" i="7" s="1"/>
  <c r="BK756" i="7" a="1"/>
  <c r="BK756" i="7" s="1"/>
  <c r="BK753" i="7" a="1"/>
  <c r="BK753" i="7" s="1"/>
  <c r="BK755" i="7" a="1"/>
  <c r="BK755" i="7" s="1"/>
  <c r="BK757" i="7" a="1"/>
  <c r="BK757" i="7" s="1"/>
  <c r="BK758" i="7" a="1"/>
  <c r="BK758" i="7" s="1"/>
  <c r="BK760" i="7" a="1"/>
  <c r="BK760" i="7" s="1"/>
  <c r="BK759" i="7" a="1"/>
  <c r="BK759" i="7" s="1"/>
  <c r="BK761" i="7" a="1"/>
  <c r="BK761" i="7" s="1"/>
  <c r="BK762" i="7" a="1"/>
  <c r="BK762" i="7" s="1"/>
  <c r="BK763" i="7" a="1"/>
  <c r="BK763" i="7" s="1"/>
  <c r="BK193" i="7" a="1"/>
  <c r="BK193" i="7" s="1"/>
  <c r="BK521" i="7" a="1"/>
  <c r="BK521" i="7" s="1"/>
  <c r="BK194" i="7" a="1"/>
  <c r="BK194" i="7" s="1"/>
  <c r="BK249" i="7" a="1"/>
  <c r="BK249" i="7" s="1"/>
  <c r="BK522" i="7" a="1"/>
  <c r="BK522" i="7" s="1"/>
  <c r="BK195" i="7" a="1"/>
  <c r="BK195" i="7" s="1"/>
  <c r="BK196" i="7" a="1"/>
  <c r="BK196" i="7" s="1"/>
  <c r="BK197" i="7" a="1"/>
  <c r="BK197" i="7" s="1"/>
  <c r="BK523" i="7" a="1"/>
  <c r="BK523" i="7" s="1"/>
  <c r="BK764" i="7" a="1"/>
  <c r="BK764" i="7" s="1"/>
  <c r="BK524" i="7" a="1"/>
  <c r="BK524" i="7" s="1"/>
  <c r="BK198" i="7" a="1"/>
  <c r="BK198" i="7" s="1"/>
  <c r="BK250" i="7" a="1"/>
  <c r="BK250" i="7" s="1"/>
  <c r="BK525" i="7" a="1"/>
  <c r="BK525" i="7" s="1"/>
  <c r="BK199" i="7" a="1"/>
  <c r="BK199" i="7" s="1"/>
  <c r="BK200" i="7" a="1"/>
  <c r="BK200" i="7" s="1"/>
  <c r="BK201" i="7" a="1"/>
  <c r="BK201" i="7" s="1"/>
  <c r="BK202" i="7" a="1"/>
  <c r="BK202" i="7" s="1"/>
  <c r="BK203" i="7" a="1"/>
  <c r="BK203" i="7" s="1"/>
  <c r="BK204" i="7" a="1"/>
  <c r="BK204" i="7" s="1"/>
  <c r="BK205" i="7" a="1"/>
  <c r="BK205" i="7" s="1"/>
  <c r="BK206" i="7" a="1"/>
  <c r="BK206" i="7" s="1"/>
  <c r="BK207" i="7" a="1"/>
  <c r="BK207" i="7" s="1"/>
  <c r="BK208" i="7" a="1"/>
  <c r="BK208" i="7" s="1"/>
  <c r="BK765" i="7" a="1"/>
  <c r="BK765" i="7" s="1"/>
  <c r="BK766" i="7" a="1"/>
  <c r="BK766" i="7" s="1"/>
  <c r="BK209" i="7" a="1"/>
  <c r="BK209" i="7" s="1"/>
  <c r="BK251" i="7" a="1"/>
  <c r="BK251" i="7" s="1"/>
  <c r="BK210" i="7" a="1"/>
  <c r="BK210" i="7" s="1"/>
  <c r="BK211" i="7" a="1"/>
  <c r="BK211" i="7" s="1"/>
  <c r="BK212" i="7" a="1"/>
  <c r="BK212" i="7" s="1"/>
  <c r="BK252" i="7" a="1"/>
  <c r="BK252" i="7" s="1"/>
  <c r="BK526" i="7" a="1"/>
  <c r="BK526" i="7" s="1"/>
  <c r="BK213" i="7" a="1"/>
  <c r="BK213" i="7" s="1"/>
  <c r="BK253" i="7" a="1"/>
  <c r="BK253" i="7" s="1"/>
  <c r="BK527" i="7" a="1"/>
  <c r="BK527" i="7" s="1"/>
  <c r="BK214" i="7" a="1"/>
  <c r="BK214" i="7" s="1"/>
  <c r="BK215" i="7" a="1"/>
  <c r="BK215" i="7" s="1"/>
  <c r="BK216" i="7" a="1"/>
  <c r="BK216" i="7" s="1"/>
  <c r="BK528" i="7" a="1"/>
  <c r="BK528" i="7" s="1"/>
  <c r="BK529" i="7" a="1"/>
  <c r="BK529" i="7" s="1"/>
  <c r="BK767" i="7" a="1"/>
  <c r="BK767" i="7" s="1"/>
  <c r="BK530" i="7" a="1"/>
  <c r="BK530" i="7" s="1"/>
  <c r="BK531" i="7" a="1"/>
  <c r="BK531" i="7" s="1"/>
  <c r="BK768" i="7" a="1"/>
  <c r="BK768" i="7" s="1"/>
  <c r="BK217" i="7" a="1"/>
  <c r="BK217" i="7" s="1"/>
  <c r="BK254" i="7" a="1"/>
  <c r="BK254" i="7" s="1"/>
  <c r="BK532" i="7" a="1"/>
  <c r="BK532" i="7" s="1"/>
  <c r="BK218" i="7" a="1"/>
  <c r="BK218" i="7" s="1"/>
  <c r="BK219" i="7" a="1"/>
  <c r="BK219" i="7" s="1"/>
  <c r="BK533" i="7" a="1"/>
  <c r="BK533" i="7" s="1"/>
  <c r="BK534" i="7" a="1"/>
  <c r="BK534" i="7" s="1"/>
  <c r="BK769" i="7" a="1"/>
  <c r="BK769" i="7" s="1"/>
  <c r="BK535" i="7" a="1"/>
  <c r="BK535" i="7" s="1"/>
  <c r="BK536" i="7" a="1"/>
  <c r="BK536" i="7" s="1"/>
  <c r="BK770" i="7" a="1"/>
  <c r="BK770" i="7" s="1"/>
  <c r="BK220" i="7" a="1"/>
  <c r="BK220" i="7" s="1"/>
  <c r="BK255" i="7" a="1"/>
  <c r="BK255" i="7" s="1"/>
  <c r="BK537" i="7" a="1"/>
  <c r="BK537" i="7" s="1"/>
  <c r="BK538" i="7" a="1"/>
  <c r="BK538" i="7" s="1"/>
  <c r="BK539" i="7" a="1"/>
  <c r="BK539" i="7" s="1"/>
  <c r="BK540" i="7" a="1"/>
  <c r="BK540" i="7" s="1"/>
  <c r="BK541" i="7" a="1"/>
  <c r="BK541" i="7" s="1"/>
  <c r="BK542" i="7" a="1"/>
  <c r="BK542" i="7" s="1"/>
  <c r="BK543" i="7" a="1"/>
  <c r="BK543" i="7" s="1"/>
  <c r="BK544" i="7" a="1"/>
  <c r="BK544" i="7" s="1"/>
  <c r="BK545" i="7" a="1"/>
  <c r="BK545" i="7" s="1"/>
  <c r="BK546" i="7" a="1"/>
  <c r="BK546" i="7" s="1"/>
  <c r="BK547" i="7" a="1"/>
  <c r="BK547" i="7" s="1"/>
  <c r="BK548" i="7" a="1"/>
  <c r="BK548" i="7" s="1"/>
  <c r="BK549" i="7" a="1"/>
  <c r="BK549" i="7" s="1"/>
  <c r="BK550" i="7" a="1"/>
  <c r="BK550" i="7" s="1"/>
  <c r="BK551" i="7" a="1"/>
  <c r="BK551" i="7" s="1"/>
  <c r="BK552" i="7" a="1"/>
  <c r="BK552" i="7" s="1"/>
  <c r="BK553" i="7" a="1"/>
  <c r="BK553" i="7" s="1"/>
  <c r="BK554" i="7" a="1"/>
  <c r="BK554" i="7" s="1"/>
  <c r="BK555" i="7" a="1"/>
  <c r="BK555" i="7" s="1"/>
  <c r="BK556" i="7" a="1"/>
  <c r="BK556" i="7" s="1"/>
  <c r="BK557" i="7" a="1"/>
  <c r="BK557" i="7" s="1"/>
  <c r="BK558" i="7" a="1"/>
  <c r="BK558" i="7" s="1"/>
  <c r="BK559" i="7" a="1"/>
  <c r="BK559" i="7" s="1"/>
  <c r="BK560" i="7" a="1"/>
  <c r="BK560" i="7" s="1"/>
  <c r="BK561" i="7" a="1"/>
  <c r="BK561" i="7" s="1"/>
  <c r="BK562" i="7" a="1"/>
  <c r="BK562" i="7" s="1"/>
  <c r="BK563" i="7" a="1"/>
  <c r="BK563" i="7" s="1"/>
  <c r="BK564" i="7" a="1"/>
  <c r="BK564" i="7" s="1"/>
  <c r="BK565" i="7" a="1"/>
  <c r="BK565" i="7" s="1"/>
  <c r="BK566" i="7" a="1"/>
  <c r="BK566" i="7" s="1"/>
  <c r="BK567" i="7" a="1"/>
  <c r="BK567" i="7" s="1"/>
  <c r="BK568" i="7" a="1"/>
  <c r="BK568" i="7" s="1"/>
  <c r="BK569" i="7" a="1"/>
  <c r="BK569" i="7" s="1"/>
  <c r="BK570" i="7" a="1"/>
  <c r="BK570" i="7" s="1"/>
  <c r="BK571" i="7" a="1"/>
  <c r="BK571" i="7" s="1"/>
  <c r="BK572" i="7" a="1"/>
  <c r="BK572" i="7" s="1"/>
  <c r="BK573" i="7" a="1"/>
  <c r="BK573" i="7" s="1"/>
  <c r="BK574" i="7" a="1"/>
  <c r="BK574" i="7" s="1"/>
  <c r="BK575" i="7" a="1"/>
  <c r="BK575" i="7" s="1"/>
  <c r="BK576" i="7" a="1"/>
  <c r="BK576" i="7" s="1"/>
  <c r="BK577" i="7" a="1"/>
  <c r="BK577" i="7" s="1"/>
  <c r="BK578" i="7" a="1"/>
  <c r="BK578" i="7" s="1"/>
  <c r="BK579" i="7" a="1"/>
  <c r="BK579" i="7" s="1"/>
  <c r="BK580" i="7" a="1"/>
  <c r="BK580" i="7" s="1"/>
  <c r="BK581" i="7" a="1"/>
  <c r="BK581" i="7" s="1"/>
  <c r="BK582" i="7" a="1"/>
  <c r="BK582" i="7" s="1"/>
  <c r="BK583" i="7" a="1"/>
  <c r="BK583" i="7" s="1"/>
  <c r="BK584" i="7" a="1"/>
  <c r="BK584" i="7" s="1"/>
  <c r="BK585" i="7" a="1"/>
  <c r="BK585" i="7" s="1"/>
  <c r="BK586" i="7" a="1"/>
  <c r="BK586" i="7" s="1"/>
  <c r="BK587" i="7" a="1"/>
  <c r="BK587" i="7" s="1"/>
  <c r="BK588" i="7" a="1"/>
  <c r="BK588" i="7" s="1"/>
  <c r="BK589" i="7" a="1"/>
  <c r="BK589" i="7" s="1"/>
  <c r="BK590" i="7" a="1"/>
  <c r="BK590" i="7" s="1"/>
  <c r="BK591" i="7" a="1"/>
  <c r="BK591" i="7" s="1"/>
  <c r="BK592" i="7" a="1"/>
  <c r="BK592" i="7" s="1"/>
  <c r="BK593" i="7" a="1"/>
  <c r="BK593" i="7" s="1"/>
  <c r="BK594" i="7" a="1"/>
  <c r="BK594" i="7" s="1"/>
  <c r="BK595" i="7" a="1"/>
  <c r="BK595" i="7" s="1"/>
  <c r="BK596" i="7" a="1"/>
  <c r="BK596" i="7" s="1"/>
  <c r="BK597" i="7" a="1"/>
  <c r="BK597" i="7" s="1"/>
  <c r="BK598" i="7" a="1"/>
  <c r="BK598" i="7" s="1"/>
  <c r="BK599" i="7" a="1"/>
  <c r="BK599" i="7" s="1"/>
  <c r="BK600" i="7" a="1"/>
  <c r="BK600" i="7" s="1"/>
  <c r="BK601" i="7" a="1"/>
  <c r="BK601" i="7" s="1"/>
  <c r="BK602" i="7" a="1"/>
  <c r="BK602" i="7" s="1"/>
  <c r="BK603" i="7" a="1"/>
  <c r="BK603" i="7" s="1"/>
  <c r="BK604" i="7" a="1"/>
  <c r="BK604" i="7" s="1"/>
  <c r="BK605" i="7" a="1"/>
  <c r="BK605" i="7" s="1"/>
  <c r="BK606" i="7" a="1"/>
  <c r="BK606" i="7" s="1"/>
  <c r="BK607" i="7" a="1"/>
  <c r="BK607" i="7" s="1"/>
  <c r="BK608" i="7" a="1"/>
  <c r="BK608" i="7" s="1"/>
  <c r="BK609" i="7" a="1"/>
  <c r="BK609" i="7" s="1"/>
  <c r="BK610" i="7" a="1"/>
  <c r="BK610" i="7" s="1"/>
  <c r="BK611" i="7" a="1"/>
  <c r="BK611" i="7" s="1"/>
  <c r="BK612" i="7" a="1"/>
  <c r="BK612" i="7" s="1"/>
  <c r="BK613" i="7" a="1"/>
  <c r="BK613" i="7" s="1"/>
  <c r="BK614" i="7" a="1"/>
  <c r="BK614" i="7" s="1"/>
  <c r="BK615" i="7" a="1"/>
  <c r="BK615" i="7" s="1"/>
  <c r="BK616" i="7" a="1"/>
  <c r="BK616" i="7" s="1"/>
  <c r="BK617" i="7" a="1"/>
  <c r="BK617" i="7" s="1"/>
  <c r="BK618" i="7" a="1"/>
  <c r="BK618" i="7" s="1"/>
  <c r="BK771" i="7" a="1"/>
  <c r="BK771" i="7" s="1"/>
  <c r="BK772" i="7" a="1"/>
  <c r="BK772" i="7" s="1"/>
  <c r="BK773" i="7" a="1"/>
  <c r="BK773" i="7" s="1"/>
  <c r="BK800" i="7" a="1"/>
  <c r="BK800" i="7" s="1"/>
  <c r="BK221" i="7" a="1"/>
  <c r="BK221" i="7" s="1"/>
  <c r="BK222" i="7" a="1"/>
  <c r="BK222" i="7" s="1"/>
  <c r="BK223" i="7" a="1"/>
  <c r="BK223" i="7" s="1"/>
  <c r="BK619" i="7" a="1"/>
  <c r="BK619" i="7" s="1"/>
  <c r="BK620" i="7" a="1"/>
  <c r="BK620" i="7" s="1"/>
  <c r="BK224" i="7" a="1"/>
  <c r="BK224" i="7" s="1"/>
  <c r="BK225" i="7" a="1"/>
  <c r="BK225" i="7" s="1"/>
  <c r="BK226" i="7" a="1"/>
  <c r="BK226" i="7" s="1"/>
  <c r="BK621" i="7" a="1"/>
  <c r="BK621" i="7" s="1"/>
  <c r="BK622" i="7" a="1"/>
  <c r="BK622" i="7" s="1"/>
  <c r="BK774" i="7" a="1"/>
  <c r="BK774" i="7" s="1"/>
  <c r="BK623" i="7" a="1"/>
  <c r="BK623" i="7" s="1"/>
  <c r="BK624" i="7" a="1"/>
  <c r="BK624" i="7" s="1"/>
  <c r="BK775" i="7" a="1"/>
  <c r="BK775" i="7" s="1"/>
  <c r="BK625" i="7" a="1"/>
  <c r="BK625" i="7" s="1"/>
  <c r="BK626" i="7" a="1"/>
  <c r="BK626" i="7" s="1"/>
  <c r="BK776" i="7" a="1"/>
  <c r="BK776" i="7" s="1"/>
  <c r="BK627" i="7" a="1"/>
  <c r="BK627" i="7" s="1"/>
  <c r="BK628" i="7" a="1"/>
  <c r="BK628" i="7" s="1"/>
  <c r="BK777" i="7" a="1"/>
  <c r="BK777" i="7" s="1"/>
  <c r="BK227" i="7" a="1"/>
  <c r="BK227" i="7" s="1"/>
  <c r="BK629" i="7" a="1"/>
  <c r="BK629" i="7" s="1"/>
  <c r="BK630" i="7" a="1"/>
  <c r="BK630" i="7" s="1"/>
  <c r="BK778" i="7" a="1"/>
  <c r="BK778" i="7" s="1"/>
  <c r="BK631" i="7" a="1"/>
  <c r="BK631" i="7" s="1"/>
  <c r="BK632" i="7" a="1"/>
  <c r="BK632" i="7" s="1"/>
  <c r="BK779" i="7" a="1"/>
  <c r="BK779" i="7" s="1"/>
  <c r="BK633" i="7" a="1"/>
  <c r="BK633" i="7" s="1"/>
  <c r="BK634" i="7" a="1"/>
  <c r="BK634" i="7" s="1"/>
  <c r="BK780" i="7" a="1"/>
  <c r="BK780" i="7" s="1"/>
  <c r="BK228" i="7" a="1"/>
  <c r="BK228" i="7" s="1"/>
  <c r="BK229" i="7" a="1"/>
  <c r="BK229" i="7" s="1"/>
  <c r="BK230" i="7" a="1"/>
  <c r="BK230" i="7" s="1"/>
  <c r="BK635" i="7" a="1"/>
  <c r="BK635" i="7" s="1"/>
  <c r="BK636" i="7" a="1"/>
  <c r="BK636" i="7" s="1"/>
  <c r="BK781" i="7" a="1"/>
  <c r="BK781" i="7" s="1"/>
  <c r="BK637" i="7" a="1"/>
  <c r="BK637" i="7" s="1"/>
  <c r="BK638" i="7" a="1"/>
  <c r="BK638" i="7" s="1"/>
  <c r="BK782" i="7" a="1"/>
  <c r="BK782" i="7" s="1"/>
  <c r="BK639" i="7" a="1"/>
  <c r="BK639" i="7" s="1"/>
  <c r="BK640" i="7" a="1"/>
  <c r="BK640" i="7" s="1"/>
  <c r="BK783" i="7" a="1"/>
  <c r="BK783" i="7" s="1"/>
  <c r="BK231" i="7" a="1"/>
  <c r="BK231" i="7" s="1"/>
  <c r="BK232" i="7" a="1"/>
  <c r="BK232" i="7" s="1"/>
  <c r="BK233" i="7" a="1"/>
  <c r="BK233" i="7" s="1"/>
  <c r="BK641" i="7" a="1"/>
  <c r="BK641" i="7" s="1"/>
  <c r="BK642" i="7" a="1"/>
  <c r="BK642" i="7" s="1"/>
  <c r="BK784" i="7" a="1"/>
  <c r="BK784" i="7" s="1"/>
  <c r="BK643" i="7" a="1"/>
  <c r="BK643" i="7" s="1"/>
  <c r="BK644" i="7" a="1"/>
  <c r="BK644" i="7" s="1"/>
  <c r="BK785" i="7" a="1"/>
  <c r="BK785" i="7" s="1"/>
  <c r="BK645" i="7" a="1"/>
  <c r="BK645" i="7" s="1"/>
  <c r="BK646" i="7" a="1"/>
  <c r="BK646" i="7" s="1"/>
  <c r="BK786" i="7" a="1"/>
  <c r="BK786" i="7" s="1"/>
  <c r="BK650" i="7" a="1"/>
  <c r="BK650" i="7" s="1"/>
  <c r="BO1" i="7" l="1" a="1"/>
  <c r="BO1" i="7" s="1"/>
  <c r="B4" i="7" l="1"/>
  <c r="B5" i="7"/>
  <c r="B647" i="7"/>
  <c r="B648" i="7"/>
  <c r="B6" i="7"/>
  <c r="B7" i="7"/>
  <c r="B8" i="7"/>
  <c r="B9" i="7"/>
  <c r="B10" i="7"/>
  <c r="B11" i="7"/>
  <c r="B12" i="7"/>
  <c r="B13" i="7"/>
  <c r="B14" i="7"/>
  <c r="B15" i="7"/>
  <c r="B16" i="7"/>
  <c r="B234" i="7"/>
  <c r="B235" i="7"/>
  <c r="B236" i="7"/>
  <c r="B237" i="7"/>
  <c r="B238" i="7"/>
  <c r="B239" i="7"/>
  <c r="B17" i="7"/>
  <c r="B18" i="7"/>
  <c r="B19" i="7"/>
  <c r="B20" i="7"/>
  <c r="B649" i="7"/>
  <c r="B650" i="7"/>
  <c r="B21" i="7"/>
  <c r="B27" i="7"/>
  <c r="B240" i="7"/>
  <c r="B256" i="7"/>
  <c r="B22" i="7"/>
  <c r="B23" i="7"/>
  <c r="B24" i="7"/>
  <c r="B25" i="7"/>
  <c r="B26" i="7"/>
  <c r="B28" i="7"/>
  <c r="B29" i="7"/>
  <c r="B30" i="7"/>
  <c r="B31" i="7"/>
  <c r="B257" i="7"/>
  <c r="B259" i="7"/>
  <c r="B651" i="7"/>
  <c r="B652" i="7"/>
  <c r="B258" i="7"/>
  <c r="B260" i="7"/>
  <c r="B32" i="7"/>
  <c r="B33" i="7"/>
  <c r="B261" i="7"/>
  <c r="B34" i="7"/>
  <c r="B262" i="7"/>
  <c r="B263" i="7"/>
  <c r="B35" i="7"/>
  <c r="B264" i="7"/>
  <c r="B36" i="7"/>
  <c r="B265" i="7"/>
  <c r="B37" i="7"/>
  <c r="B266" i="7"/>
  <c r="B267" i="7"/>
  <c r="B38" i="7"/>
  <c r="B268" i="7"/>
  <c r="B39" i="7"/>
  <c r="B269" i="7"/>
  <c r="B40" i="7"/>
  <c r="B270" i="7"/>
  <c r="B271" i="7"/>
  <c r="B41" i="7"/>
  <c r="B272" i="7"/>
  <c r="B42" i="7"/>
  <c r="B273" i="7"/>
  <c r="B43" i="7"/>
  <c r="B274" i="7"/>
  <c r="B275" i="7"/>
  <c r="B44" i="7"/>
  <c r="B276" i="7"/>
  <c r="B45" i="7"/>
  <c r="B46" i="7"/>
  <c r="B47" i="7"/>
  <c r="B48" i="7"/>
  <c r="B49" i="7"/>
  <c r="B50" i="7"/>
  <c r="B277" i="7"/>
  <c r="B653" i="7"/>
  <c r="B278" i="7"/>
  <c r="B654" i="7"/>
  <c r="B787" i="7"/>
  <c r="B279" i="7"/>
  <c r="B280" i="7"/>
  <c r="B281" i="7"/>
  <c r="B282" i="7"/>
  <c r="B312" i="7"/>
  <c r="B290" i="7"/>
  <c r="B291" i="7"/>
  <c r="B292" i="7"/>
  <c r="B293" i="7"/>
  <c r="B294" i="7"/>
  <c r="B295" i="7"/>
  <c r="B296" i="7"/>
  <c r="B297" i="7"/>
  <c r="B298" i="7"/>
  <c r="B285" i="7"/>
  <c r="B299" i="7"/>
  <c r="B300" i="7"/>
  <c r="B286" i="7"/>
  <c r="B287" i="7"/>
  <c r="B288" i="7"/>
  <c r="B313" i="7"/>
  <c r="B289" i="7"/>
  <c r="B304" i="7"/>
  <c r="B305" i="7"/>
  <c r="B306" i="7"/>
  <c r="B307" i="7"/>
  <c r="B308" i="7"/>
  <c r="B309" i="7"/>
  <c r="B310" i="7"/>
  <c r="B311" i="7"/>
  <c r="B314" i="7"/>
  <c r="B315" i="7"/>
  <c r="B283" i="7"/>
  <c r="B284" i="7"/>
  <c r="B301" i="7"/>
  <c r="B302" i="7"/>
  <c r="B303" i="7"/>
  <c r="B323" i="7"/>
  <c r="B324" i="7"/>
  <c r="B325" i="7"/>
  <c r="B326" i="7"/>
  <c r="B327" i="7"/>
  <c r="B328" i="7"/>
  <c r="B329" i="7"/>
  <c r="B330" i="7"/>
  <c r="B331" i="7"/>
  <c r="B318" i="7"/>
  <c r="B332" i="7"/>
  <c r="B333" i="7"/>
  <c r="B319" i="7"/>
  <c r="B320" i="7"/>
  <c r="B321" i="7"/>
  <c r="B322" i="7"/>
  <c r="B337" i="7"/>
  <c r="B338" i="7"/>
  <c r="B339" i="7"/>
  <c r="B340" i="7"/>
  <c r="B341" i="7"/>
  <c r="B342" i="7"/>
  <c r="B343" i="7"/>
  <c r="B344" i="7"/>
  <c r="B345" i="7"/>
  <c r="B346" i="7"/>
  <c r="B316" i="7"/>
  <c r="B317" i="7"/>
  <c r="B334" i="7"/>
  <c r="B335" i="7"/>
  <c r="B336" i="7"/>
  <c r="B347" i="7"/>
  <c r="B349" i="7"/>
  <c r="B655" i="7"/>
  <c r="B657" i="7"/>
  <c r="B348" i="7"/>
  <c r="B656" i="7"/>
  <c r="B350" i="7"/>
  <c r="B658" i="7"/>
  <c r="B351" i="7"/>
  <c r="B353" i="7"/>
  <c r="B659" i="7"/>
  <c r="B661" i="7"/>
  <c r="B352" i="7"/>
  <c r="B660" i="7"/>
  <c r="B354" i="7"/>
  <c r="B662" i="7"/>
  <c r="B355" i="7"/>
  <c r="B357" i="7"/>
  <c r="B663" i="7"/>
  <c r="B665" i="7"/>
  <c r="B356" i="7"/>
  <c r="B664" i="7"/>
  <c r="B358" i="7"/>
  <c r="B666" i="7"/>
  <c r="B359" i="7"/>
  <c r="B361" i="7"/>
  <c r="B667" i="7"/>
  <c r="B669" i="7"/>
  <c r="B360" i="7"/>
  <c r="B668" i="7"/>
  <c r="B362" i="7"/>
  <c r="B670" i="7"/>
  <c r="B363" i="7"/>
  <c r="B671" i="7"/>
  <c r="B364" i="7"/>
  <c r="B672" i="7"/>
  <c r="B365" i="7"/>
  <c r="B673" i="7"/>
  <c r="B366" i="7"/>
  <c r="B674" i="7"/>
  <c r="B369" i="7"/>
  <c r="B370" i="7"/>
  <c r="B371" i="7"/>
  <c r="B372" i="7"/>
  <c r="B373" i="7"/>
  <c r="B367" i="7"/>
  <c r="B368" i="7"/>
  <c r="B375" i="7"/>
  <c r="B374" i="7"/>
  <c r="B377" i="7"/>
  <c r="B376" i="7"/>
  <c r="B379" i="7"/>
  <c r="B378" i="7"/>
  <c r="B384" i="7"/>
  <c r="B385" i="7"/>
  <c r="B386" i="7"/>
  <c r="B387" i="7"/>
  <c r="B382" i="7"/>
  <c r="B51" i="7"/>
  <c r="B52" i="7"/>
  <c r="B388" i="7"/>
  <c r="B389" i="7"/>
  <c r="B676" i="7"/>
  <c r="B381" i="7"/>
  <c r="B380" i="7"/>
  <c r="B383" i="7"/>
  <c r="B675" i="7"/>
  <c r="B677" i="7"/>
  <c r="B390" i="7"/>
  <c r="B391" i="7"/>
  <c r="B53" i="7"/>
  <c r="B54" i="7"/>
  <c r="B55" i="7"/>
  <c r="B56" i="7"/>
  <c r="B788" i="7"/>
  <c r="B789" i="7"/>
  <c r="B790" i="7"/>
  <c r="B679" i="7"/>
  <c r="B392" i="7"/>
  <c r="B678" i="7"/>
  <c r="B393" i="7"/>
  <c r="B791" i="7"/>
  <c r="B792" i="7"/>
  <c r="B793" i="7"/>
  <c r="B681" i="7"/>
  <c r="B394" i="7"/>
  <c r="B680" i="7"/>
  <c r="B395" i="7"/>
  <c r="B794" i="7"/>
  <c r="B795" i="7"/>
  <c r="B796" i="7"/>
  <c r="B683" i="7"/>
  <c r="B396" i="7"/>
  <c r="B682" i="7"/>
  <c r="B397" i="7"/>
  <c r="B797" i="7"/>
  <c r="B798" i="7"/>
  <c r="B799" i="7"/>
  <c r="B685" i="7"/>
  <c r="B398" i="7"/>
  <c r="B684" i="7"/>
  <c r="B399" i="7"/>
  <c r="B406" i="7"/>
  <c r="B407" i="7"/>
  <c r="B404" i="7"/>
  <c r="B405" i="7"/>
  <c r="B402" i="7"/>
  <c r="B403" i="7"/>
  <c r="B410" i="7"/>
  <c r="B400" i="7"/>
  <c r="B408" i="7"/>
  <c r="B409" i="7"/>
  <c r="B688" i="7"/>
  <c r="B689" i="7"/>
  <c r="B686" i="7"/>
  <c r="B687" i="7"/>
  <c r="B401" i="7"/>
  <c r="B417" i="7"/>
  <c r="B418" i="7"/>
  <c r="B415" i="7"/>
  <c r="B416" i="7"/>
  <c r="B413" i="7"/>
  <c r="B414" i="7"/>
  <c r="B421" i="7"/>
  <c r="B411" i="7"/>
  <c r="B419" i="7"/>
  <c r="B420" i="7"/>
  <c r="B692" i="7"/>
  <c r="B693" i="7"/>
  <c r="B690" i="7"/>
  <c r="B691" i="7"/>
  <c r="B412" i="7"/>
  <c r="B57" i="7"/>
  <c r="B58" i="7"/>
  <c r="B66" i="7"/>
  <c r="B241" i="7"/>
  <c r="B422" i="7"/>
  <c r="B59" i="7"/>
  <c r="B60" i="7"/>
  <c r="B61" i="7"/>
  <c r="B62" i="7"/>
  <c r="B63" i="7"/>
  <c r="B64" i="7"/>
  <c r="B65" i="7"/>
  <c r="B67" i="7"/>
  <c r="B68" i="7"/>
  <c r="B69" i="7"/>
  <c r="B70" i="7"/>
  <c r="B71" i="7"/>
  <c r="B72" i="7"/>
  <c r="B73" i="7"/>
  <c r="B74" i="7"/>
  <c r="B75" i="7"/>
  <c r="B76" i="7"/>
  <c r="B77" i="7"/>
  <c r="B78" i="7"/>
  <c r="B694" i="7"/>
  <c r="B695" i="7"/>
  <c r="B696" i="7"/>
  <c r="B697" i="7"/>
  <c r="B698" i="7"/>
  <c r="B699" i="7"/>
  <c r="B700" i="7"/>
  <c r="B701" i="7"/>
  <c r="B423" i="7"/>
  <c r="B424" i="7"/>
  <c r="B425" i="7"/>
  <c r="B86" i="7"/>
  <c r="B242" i="7"/>
  <c r="B426" i="7"/>
  <c r="B79" i="7"/>
  <c r="B80" i="7"/>
  <c r="B81" i="7"/>
  <c r="B82" i="7"/>
  <c r="B83" i="7"/>
  <c r="B84" i="7"/>
  <c r="B85" i="7"/>
  <c r="B87" i="7"/>
  <c r="B88" i="7"/>
  <c r="B89" i="7"/>
  <c r="B90" i="7"/>
  <c r="B91" i="7"/>
  <c r="B92" i="7"/>
  <c r="B93" i="7"/>
  <c r="B94" i="7"/>
  <c r="B95" i="7"/>
  <c r="B96" i="7"/>
  <c r="B97" i="7"/>
  <c r="B98" i="7"/>
  <c r="B702" i="7"/>
  <c r="B703" i="7"/>
  <c r="B704" i="7"/>
  <c r="B705" i="7"/>
  <c r="B706" i="7"/>
  <c r="B707" i="7"/>
  <c r="B708" i="7"/>
  <c r="B709" i="7"/>
  <c r="B427" i="7"/>
  <c r="B428" i="7"/>
  <c r="B429" i="7"/>
  <c r="B106" i="7"/>
  <c r="B243" i="7"/>
  <c r="B430" i="7"/>
  <c r="B99" i="7"/>
  <c r="B100" i="7"/>
  <c r="B101" i="7"/>
  <c r="B102" i="7"/>
  <c r="B103" i="7"/>
  <c r="B104" i="7"/>
  <c r="B105" i="7"/>
  <c r="B107" i="7"/>
  <c r="B108" i="7"/>
  <c r="B109" i="7"/>
  <c r="B110" i="7"/>
  <c r="B111" i="7"/>
  <c r="B112" i="7"/>
  <c r="B113" i="7"/>
  <c r="B114" i="7"/>
  <c r="B115" i="7"/>
  <c r="B116" i="7"/>
  <c r="B117" i="7"/>
  <c r="B118" i="7"/>
  <c r="B710" i="7"/>
  <c r="B711" i="7"/>
  <c r="B712" i="7"/>
  <c r="B713" i="7"/>
  <c r="B714" i="7"/>
  <c r="B715" i="7"/>
  <c r="B716" i="7"/>
  <c r="B717" i="7"/>
  <c r="B431" i="7"/>
  <c r="B432" i="7"/>
  <c r="B433" i="7"/>
  <c r="B126" i="7"/>
  <c r="B244" i="7"/>
  <c r="B434" i="7"/>
  <c r="B119" i="7"/>
  <c r="B120" i="7"/>
  <c r="B121" i="7"/>
  <c r="B122" i="7"/>
  <c r="B123" i="7"/>
  <c r="B124" i="7"/>
  <c r="B125" i="7"/>
  <c r="B127" i="7"/>
  <c r="B128" i="7"/>
  <c r="B129" i="7"/>
  <c r="B130" i="7"/>
  <c r="B131" i="7"/>
  <c r="B132" i="7"/>
  <c r="B133" i="7"/>
  <c r="B134" i="7"/>
  <c r="B135" i="7"/>
  <c r="B136" i="7"/>
  <c r="B137" i="7"/>
  <c r="B138" i="7"/>
  <c r="B718" i="7"/>
  <c r="B719" i="7"/>
  <c r="B720" i="7"/>
  <c r="B721" i="7"/>
  <c r="B722" i="7"/>
  <c r="B723" i="7"/>
  <c r="B724" i="7"/>
  <c r="B725" i="7"/>
  <c r="B435" i="7"/>
  <c r="B436" i="7"/>
  <c r="B437" i="7"/>
  <c r="B146" i="7"/>
  <c r="B245" i="7"/>
  <c r="B438" i="7"/>
  <c r="B139" i="7"/>
  <c r="B140" i="7"/>
  <c r="B141" i="7"/>
  <c r="B142" i="7"/>
  <c r="B143" i="7"/>
  <c r="B144" i="7"/>
  <c r="B145" i="7"/>
  <c r="B147" i="7"/>
  <c r="B148" i="7"/>
  <c r="B149" i="7"/>
  <c r="B150" i="7"/>
  <c r="B151" i="7"/>
  <c r="B152" i="7"/>
  <c r="B153" i="7"/>
  <c r="B154" i="7"/>
  <c r="B155" i="7"/>
  <c r="B156" i="7"/>
  <c r="B157" i="7"/>
  <c r="B158" i="7"/>
  <c r="B726" i="7"/>
  <c r="B727" i="7"/>
  <c r="B728" i="7"/>
  <c r="B729" i="7"/>
  <c r="B730" i="7"/>
  <c r="B731" i="7"/>
  <c r="B732" i="7"/>
  <c r="B733" i="7"/>
  <c r="B439" i="7"/>
  <c r="B440" i="7"/>
  <c r="B441" i="7"/>
  <c r="B166" i="7"/>
  <c r="B246" i="7"/>
  <c r="B442" i="7"/>
  <c r="B159" i="7"/>
  <c r="B160" i="7"/>
  <c r="B161" i="7"/>
  <c r="B162" i="7"/>
  <c r="B163" i="7"/>
  <c r="B164" i="7"/>
  <c r="B165" i="7"/>
  <c r="B167" i="7"/>
  <c r="B168" i="7"/>
  <c r="B169" i="7"/>
  <c r="B170" i="7"/>
  <c r="B171" i="7"/>
  <c r="B172" i="7"/>
  <c r="B173" i="7"/>
  <c r="B174" i="7"/>
  <c r="B175" i="7"/>
  <c r="B176" i="7"/>
  <c r="B177" i="7"/>
  <c r="B178" i="7"/>
  <c r="B734" i="7"/>
  <c r="B735" i="7"/>
  <c r="B736" i="7"/>
  <c r="B737" i="7"/>
  <c r="B738" i="7"/>
  <c r="B739" i="7"/>
  <c r="B740" i="7"/>
  <c r="B741" i="7"/>
  <c r="B443" i="7"/>
  <c r="B444" i="7"/>
  <c r="B445" i="7"/>
  <c r="B179" i="7"/>
  <c r="B180" i="7"/>
  <c r="B447" i="7"/>
  <c r="B451" i="7"/>
  <c r="B448" i="7"/>
  <c r="B450" i="7"/>
  <c r="B459" i="7"/>
  <c r="B462" i="7"/>
  <c r="B465" i="7"/>
  <c r="B468" i="7"/>
  <c r="B471" i="7"/>
  <c r="B474" i="7"/>
  <c r="B477" i="7"/>
  <c r="B480" i="7"/>
  <c r="B489" i="7"/>
  <c r="B492" i="7"/>
  <c r="B461" i="7"/>
  <c r="B464" i="7"/>
  <c r="B467" i="7"/>
  <c r="B470" i="7"/>
  <c r="B473" i="7"/>
  <c r="B476" i="7"/>
  <c r="B479" i="7"/>
  <c r="B482" i="7"/>
  <c r="B491" i="7"/>
  <c r="B494" i="7"/>
  <c r="B449" i="7"/>
  <c r="B452" i="7"/>
  <c r="B457" i="7"/>
  <c r="B458" i="7"/>
  <c r="B460" i="7"/>
  <c r="B463" i="7"/>
  <c r="B466" i="7"/>
  <c r="B469" i="7"/>
  <c r="B472" i="7"/>
  <c r="B475" i="7"/>
  <c r="B478" i="7"/>
  <c r="B481" i="7"/>
  <c r="B490" i="7"/>
  <c r="B493" i="7"/>
  <c r="B456" i="7"/>
  <c r="B453" i="7"/>
  <c r="B497" i="7"/>
  <c r="B483" i="7"/>
  <c r="B495" i="7"/>
  <c r="B454" i="7"/>
  <c r="B455" i="7"/>
  <c r="B498" i="7"/>
  <c r="B181" i="7"/>
  <c r="B2" i="7"/>
  <c r="B191" i="7"/>
  <c r="B182" i="7"/>
  <c r="B192" i="7"/>
  <c r="B496" i="7"/>
  <c r="B446" i="7"/>
  <c r="B184" i="7"/>
  <c r="B185" i="7"/>
  <c r="B247" i="7"/>
  <c r="B248" i="7"/>
  <c r="B487" i="7"/>
  <c r="B488" i="7"/>
  <c r="B485" i="7"/>
  <c r="B183" i="7"/>
  <c r="B486" i="7"/>
  <c r="B754" i="7"/>
  <c r="B484" i="7"/>
  <c r="B188" i="7"/>
  <c r="B187" i="7"/>
  <c r="B186" i="7"/>
  <c r="B189" i="7"/>
  <c r="B190" i="7"/>
  <c r="B506" i="7"/>
  <c r="B509" i="7"/>
  <c r="B505" i="7"/>
  <c r="B508" i="7"/>
  <c r="B517" i="7"/>
  <c r="B520" i="7"/>
  <c r="B744" i="7"/>
  <c r="B747" i="7"/>
  <c r="B750" i="7"/>
  <c r="B753" i="7"/>
  <c r="B758" i="7"/>
  <c r="B519" i="7"/>
  <c r="B743" i="7"/>
  <c r="B746" i="7"/>
  <c r="B749" i="7"/>
  <c r="B752" i="7"/>
  <c r="B756" i="7"/>
  <c r="B760" i="7"/>
  <c r="B507" i="7"/>
  <c r="B510" i="7"/>
  <c r="B515" i="7"/>
  <c r="B516" i="7"/>
  <c r="B518" i="7"/>
  <c r="B742" i="7"/>
  <c r="B745" i="7"/>
  <c r="B748" i="7"/>
  <c r="B751" i="7"/>
  <c r="B755" i="7"/>
  <c r="B759" i="7"/>
  <c r="B514" i="7"/>
  <c r="B511" i="7"/>
  <c r="B757" i="7"/>
  <c r="B761" i="7"/>
  <c r="B512" i="7"/>
  <c r="B513" i="7"/>
  <c r="B763" i="7"/>
  <c r="B500" i="7"/>
  <c r="B499" i="7"/>
  <c r="B502" i="7"/>
  <c r="B501" i="7"/>
  <c r="B503" i="7"/>
  <c r="B762" i="7"/>
  <c r="B504" i="7"/>
  <c r="B194" i="7"/>
  <c r="B249" i="7"/>
  <c r="B522" i="7"/>
  <c r="B193" i="7"/>
  <c r="B521" i="7"/>
  <c r="B197" i="7"/>
  <c r="B196" i="7"/>
  <c r="B195" i="7"/>
  <c r="B198" i="7"/>
  <c r="B250" i="7"/>
  <c r="B525" i="7"/>
  <c r="B523" i="7"/>
  <c r="B764" i="7"/>
  <c r="B524" i="7"/>
  <c r="B765" i="7"/>
  <c r="B209" i="7"/>
  <c r="B251" i="7"/>
  <c r="B207" i="7"/>
  <c r="B208" i="7"/>
  <c r="B205" i="7"/>
  <c r="B206" i="7"/>
  <c r="B203" i="7"/>
  <c r="B204" i="7"/>
  <c r="B202" i="7"/>
  <c r="B201" i="7"/>
  <c r="B200" i="7"/>
  <c r="B199" i="7"/>
  <c r="B766" i="7"/>
  <c r="B212" i="7"/>
  <c r="B213" i="7"/>
  <c r="B252" i="7"/>
  <c r="B253" i="7"/>
  <c r="B526" i="7"/>
  <c r="B527" i="7"/>
  <c r="B210" i="7"/>
  <c r="B211" i="7"/>
  <c r="B217" i="7"/>
  <c r="B254" i="7"/>
  <c r="B532" i="7"/>
  <c r="B214" i="7"/>
  <c r="B215" i="7"/>
  <c r="B216" i="7"/>
  <c r="B767" i="7"/>
  <c r="B768" i="7"/>
  <c r="B528" i="7"/>
  <c r="B530" i="7"/>
  <c r="B529" i="7"/>
  <c r="B531" i="7"/>
  <c r="B220" i="7"/>
  <c r="B255" i="7"/>
  <c r="B537" i="7"/>
  <c r="B218" i="7"/>
  <c r="B219" i="7"/>
  <c r="B769" i="7"/>
  <c r="B770" i="7"/>
  <c r="B533" i="7"/>
  <c r="B535" i="7"/>
  <c r="B534" i="7"/>
  <c r="B536" i="7"/>
  <c r="B567" i="7"/>
  <c r="B545" i="7"/>
  <c r="B546" i="7"/>
  <c r="B547" i="7"/>
  <c r="B548" i="7"/>
  <c r="B549" i="7"/>
  <c r="B540" i="7"/>
  <c r="B541" i="7"/>
  <c r="B542" i="7"/>
  <c r="B543" i="7"/>
  <c r="B568" i="7"/>
  <c r="B544" i="7"/>
  <c r="B563" i="7"/>
  <c r="B564" i="7"/>
  <c r="B565" i="7"/>
  <c r="B566" i="7"/>
  <c r="B569" i="7"/>
  <c r="B570" i="7"/>
  <c r="B538" i="7"/>
  <c r="B539" i="7"/>
  <c r="B550" i="7"/>
  <c r="B551" i="7"/>
  <c r="B552" i="7"/>
  <c r="B553" i="7"/>
  <c r="B554" i="7"/>
  <c r="B555" i="7"/>
  <c r="B556" i="7"/>
  <c r="B557" i="7"/>
  <c r="B558" i="7"/>
  <c r="B559" i="7"/>
  <c r="B560" i="7"/>
  <c r="B561" i="7"/>
  <c r="B562" i="7"/>
  <c r="B575" i="7"/>
  <c r="B572" i="7"/>
  <c r="B573" i="7"/>
  <c r="B574" i="7"/>
  <c r="B571" i="7"/>
  <c r="B612" i="7"/>
  <c r="B583" i="7"/>
  <c r="B584" i="7"/>
  <c r="B585" i="7"/>
  <c r="B586" i="7"/>
  <c r="B587" i="7"/>
  <c r="B588" i="7"/>
  <c r="B589" i="7"/>
  <c r="B590" i="7"/>
  <c r="B591" i="7"/>
  <c r="B578" i="7"/>
  <c r="B592" i="7"/>
  <c r="B593" i="7"/>
  <c r="B594" i="7"/>
  <c r="B595" i="7"/>
  <c r="B596" i="7"/>
  <c r="B597" i="7"/>
  <c r="B598" i="7"/>
  <c r="B599" i="7"/>
  <c r="B600" i="7"/>
  <c r="B601" i="7"/>
  <c r="B602" i="7"/>
  <c r="B579" i="7"/>
  <c r="B580" i="7"/>
  <c r="B581" i="7"/>
  <c r="B613" i="7"/>
  <c r="B582" i="7"/>
  <c r="B608" i="7"/>
  <c r="B609" i="7"/>
  <c r="B610" i="7"/>
  <c r="B611" i="7"/>
  <c r="B614" i="7"/>
  <c r="B615" i="7"/>
  <c r="B576" i="7"/>
  <c r="B577" i="7"/>
  <c r="B603" i="7"/>
  <c r="B604" i="7"/>
  <c r="B605" i="7"/>
  <c r="B606" i="7"/>
  <c r="B607" i="7"/>
  <c r="B800" i="7"/>
  <c r="B771" i="7"/>
  <c r="B616" i="7"/>
  <c r="B617" i="7"/>
  <c r="B772" i="7"/>
  <c r="B618" i="7"/>
  <c r="B773" i="7"/>
  <c r="B221" i="7"/>
  <c r="B222" i="7"/>
  <c r="B223" i="7"/>
  <c r="B224" i="7"/>
  <c r="B225" i="7"/>
  <c r="B619" i="7"/>
  <c r="B620" i="7"/>
  <c r="B621" i="7"/>
  <c r="B623" i="7"/>
  <c r="B625" i="7"/>
  <c r="B226" i="7"/>
  <c r="B622" i="7"/>
  <c r="B774" i="7"/>
  <c r="B624" i="7"/>
  <c r="B775" i="7"/>
  <c r="B626" i="7"/>
  <c r="B776" i="7"/>
  <c r="B627" i="7"/>
  <c r="B628" i="7"/>
  <c r="B777" i="7"/>
  <c r="B629" i="7"/>
  <c r="B631" i="7"/>
  <c r="B633" i="7"/>
  <c r="B227" i="7"/>
  <c r="B630" i="7"/>
  <c r="B778" i="7"/>
  <c r="B632" i="7"/>
  <c r="B779" i="7"/>
  <c r="B634" i="7"/>
  <c r="B780" i="7"/>
  <c r="B635" i="7"/>
  <c r="B637" i="7"/>
  <c r="B639" i="7"/>
  <c r="B228" i="7"/>
  <c r="B229" i="7"/>
  <c r="B230" i="7"/>
  <c r="B636" i="7"/>
  <c r="B781" i="7"/>
  <c r="B638" i="7"/>
  <c r="B782" i="7"/>
  <c r="B640" i="7"/>
  <c r="B783" i="7"/>
  <c r="B641" i="7"/>
  <c r="B643" i="7"/>
  <c r="B645" i="7"/>
  <c r="B231" i="7"/>
  <c r="B232" i="7"/>
  <c r="B233" i="7"/>
  <c r="B642" i="7"/>
  <c r="B784" i="7"/>
  <c r="B644" i="7"/>
  <c r="B785" i="7"/>
  <c r="B646" i="7"/>
  <c r="B786" i="7"/>
  <c r="B3" i="7"/>
  <c r="I786" i="7"/>
  <c r="F786" i="7"/>
  <c r="I646" i="7"/>
  <c r="F646" i="7"/>
  <c r="I785" i="7"/>
  <c r="F785" i="7"/>
  <c r="I644" i="7"/>
  <c r="F644" i="7"/>
  <c r="I784" i="7"/>
  <c r="F784" i="7"/>
  <c r="I642" i="7"/>
  <c r="F642" i="7"/>
  <c r="I233" i="7"/>
  <c r="F233" i="7"/>
  <c r="I232" i="7"/>
  <c r="F232" i="7"/>
  <c r="I231" i="7"/>
  <c r="F231" i="7"/>
  <c r="I645" i="7"/>
  <c r="F645" i="7"/>
  <c r="I643" i="7"/>
  <c r="F643" i="7"/>
  <c r="I641" i="7"/>
  <c r="F641" i="7"/>
  <c r="I783" i="7"/>
  <c r="F783" i="7"/>
  <c r="I640" i="7"/>
  <c r="F640" i="7"/>
  <c r="I782" i="7"/>
  <c r="F782" i="7"/>
  <c r="I638" i="7"/>
  <c r="F638" i="7"/>
  <c r="I781" i="7"/>
  <c r="F781" i="7"/>
  <c r="I636" i="7"/>
  <c r="F636" i="7"/>
  <c r="I230" i="7"/>
  <c r="F230" i="7"/>
  <c r="I229" i="7"/>
  <c r="F229" i="7"/>
  <c r="I228" i="7"/>
  <c r="F228" i="7"/>
  <c r="I639" i="7"/>
  <c r="F639" i="7"/>
  <c r="I637" i="7"/>
  <c r="F637" i="7"/>
  <c r="I635" i="7"/>
  <c r="F635" i="7"/>
  <c r="I780" i="7"/>
  <c r="F780" i="7"/>
  <c r="I634" i="7"/>
  <c r="F634" i="7"/>
  <c r="I779" i="7"/>
  <c r="F779" i="7"/>
  <c r="I632" i="7"/>
  <c r="F632" i="7"/>
  <c r="I778" i="7"/>
  <c r="F778" i="7"/>
  <c r="I630" i="7"/>
  <c r="F630" i="7"/>
  <c r="I227" i="7"/>
  <c r="F227" i="7"/>
  <c r="I633" i="7"/>
  <c r="F633" i="7"/>
  <c r="I631" i="7"/>
  <c r="F631" i="7"/>
  <c r="I629" i="7"/>
  <c r="F629" i="7"/>
  <c r="I777" i="7"/>
  <c r="F777" i="7"/>
  <c r="I628" i="7"/>
  <c r="F628" i="7"/>
  <c r="I627" i="7"/>
  <c r="F627" i="7"/>
  <c r="I776" i="7"/>
  <c r="F776" i="7"/>
  <c r="I626" i="7"/>
  <c r="F626" i="7"/>
  <c r="I775" i="7"/>
  <c r="F775" i="7"/>
  <c r="I624" i="7"/>
  <c r="F624" i="7"/>
  <c r="I774" i="7"/>
  <c r="F774" i="7"/>
  <c r="I622" i="7"/>
  <c r="F622" i="7"/>
  <c r="I226" i="7"/>
  <c r="F226" i="7"/>
  <c r="I625" i="7"/>
  <c r="F625" i="7"/>
  <c r="I623" i="7"/>
  <c r="F623" i="7"/>
  <c r="I621" i="7"/>
  <c r="F621" i="7"/>
  <c r="I620" i="7"/>
  <c r="F620" i="7"/>
  <c r="I619" i="7"/>
  <c r="F619" i="7"/>
  <c r="I225" i="7"/>
  <c r="F225" i="7"/>
  <c r="I224" i="7"/>
  <c r="F224" i="7"/>
  <c r="I223" i="7"/>
  <c r="F223" i="7"/>
  <c r="I222" i="7"/>
  <c r="F222" i="7"/>
  <c r="I221" i="7"/>
  <c r="F221" i="7"/>
  <c r="I773" i="7"/>
  <c r="F773" i="7"/>
  <c r="I618" i="7"/>
  <c r="F618" i="7"/>
  <c r="I772" i="7"/>
  <c r="F772" i="7"/>
  <c r="I617" i="7"/>
  <c r="F617" i="7"/>
  <c r="I616" i="7"/>
  <c r="F616" i="7"/>
  <c r="I771" i="7"/>
  <c r="F771" i="7"/>
  <c r="I800" i="7"/>
  <c r="F800" i="7"/>
  <c r="I607" i="7"/>
  <c r="F607" i="7"/>
  <c r="I606" i="7"/>
  <c r="F606" i="7"/>
  <c r="I605" i="7"/>
  <c r="F605" i="7"/>
  <c r="I604" i="7"/>
  <c r="F604" i="7"/>
  <c r="I603" i="7"/>
  <c r="F603" i="7"/>
  <c r="I577" i="7"/>
  <c r="F577" i="7"/>
  <c r="I576" i="7"/>
  <c r="F576" i="7"/>
  <c r="I615" i="7"/>
  <c r="F615" i="7"/>
  <c r="I614" i="7"/>
  <c r="F614" i="7"/>
  <c r="I611" i="7"/>
  <c r="F611" i="7"/>
  <c r="I610" i="7"/>
  <c r="F610" i="7"/>
  <c r="I609" i="7"/>
  <c r="F609" i="7"/>
  <c r="I608" i="7"/>
  <c r="F608" i="7"/>
  <c r="I582" i="7"/>
  <c r="F582" i="7"/>
  <c r="I613" i="7"/>
  <c r="F613" i="7"/>
  <c r="I581" i="7"/>
  <c r="F581" i="7"/>
  <c r="I580" i="7"/>
  <c r="F580" i="7"/>
  <c r="I579" i="7"/>
  <c r="F579" i="7"/>
  <c r="I602" i="7"/>
  <c r="F602" i="7"/>
  <c r="I601" i="7"/>
  <c r="F601" i="7"/>
  <c r="I600" i="7"/>
  <c r="F600" i="7"/>
  <c r="I599" i="7"/>
  <c r="F599" i="7"/>
  <c r="I598" i="7"/>
  <c r="F598" i="7"/>
  <c r="I597" i="7"/>
  <c r="F597" i="7"/>
  <c r="I596" i="7"/>
  <c r="F596" i="7"/>
  <c r="I595" i="7"/>
  <c r="F595" i="7"/>
  <c r="I594" i="7"/>
  <c r="F594" i="7"/>
  <c r="I593" i="7"/>
  <c r="F593" i="7"/>
  <c r="I592" i="7"/>
  <c r="F592" i="7"/>
  <c r="I578" i="7"/>
  <c r="F578" i="7"/>
  <c r="I591" i="7"/>
  <c r="F591" i="7"/>
  <c r="I590" i="7"/>
  <c r="F590" i="7"/>
  <c r="I589" i="7"/>
  <c r="F589" i="7"/>
  <c r="I588" i="7"/>
  <c r="F588" i="7"/>
  <c r="I587" i="7"/>
  <c r="F587" i="7"/>
  <c r="I586" i="7"/>
  <c r="F586" i="7"/>
  <c r="I585" i="7"/>
  <c r="F585" i="7"/>
  <c r="I584" i="7"/>
  <c r="F584" i="7"/>
  <c r="I583" i="7"/>
  <c r="F583" i="7"/>
  <c r="I612" i="7"/>
  <c r="F612" i="7"/>
  <c r="I571" i="7"/>
  <c r="F571" i="7"/>
  <c r="I574" i="7"/>
  <c r="F574" i="7"/>
  <c r="I573" i="7"/>
  <c r="F573" i="7"/>
  <c r="I572" i="7"/>
  <c r="F572" i="7"/>
  <c r="I575" i="7"/>
  <c r="F575" i="7"/>
  <c r="I562" i="7"/>
  <c r="F562" i="7"/>
  <c r="I561" i="7"/>
  <c r="F561" i="7"/>
  <c r="I560" i="7"/>
  <c r="F560" i="7"/>
  <c r="I559" i="7"/>
  <c r="F559" i="7"/>
  <c r="I558" i="7"/>
  <c r="F558" i="7"/>
  <c r="I557" i="7"/>
  <c r="F557" i="7"/>
  <c r="I556" i="7"/>
  <c r="F556" i="7"/>
  <c r="I555" i="7"/>
  <c r="F555" i="7"/>
  <c r="I554" i="7"/>
  <c r="F554" i="7"/>
  <c r="I553" i="7"/>
  <c r="F553" i="7"/>
  <c r="I552" i="7"/>
  <c r="F552" i="7"/>
  <c r="I551" i="7"/>
  <c r="F551" i="7"/>
  <c r="I550" i="7"/>
  <c r="F550" i="7"/>
  <c r="I539" i="7"/>
  <c r="F539" i="7"/>
  <c r="I538" i="7"/>
  <c r="F538" i="7"/>
  <c r="I570" i="7"/>
  <c r="F570" i="7"/>
  <c r="I569" i="7"/>
  <c r="F569" i="7"/>
  <c r="I566" i="7"/>
  <c r="F566" i="7"/>
  <c r="I565" i="7"/>
  <c r="F565" i="7"/>
  <c r="I564" i="7"/>
  <c r="F564" i="7"/>
  <c r="I563" i="7"/>
  <c r="F563" i="7"/>
  <c r="I544" i="7"/>
  <c r="F544" i="7"/>
  <c r="I568" i="7"/>
  <c r="F568" i="7"/>
  <c r="I543" i="7"/>
  <c r="F543" i="7"/>
  <c r="I542" i="7"/>
  <c r="F542" i="7"/>
  <c r="I541" i="7"/>
  <c r="F541" i="7"/>
  <c r="I540" i="7"/>
  <c r="F540" i="7"/>
  <c r="I549" i="7"/>
  <c r="F549" i="7"/>
  <c r="I548" i="7"/>
  <c r="F548" i="7"/>
  <c r="I547" i="7"/>
  <c r="F547" i="7"/>
  <c r="I546" i="7"/>
  <c r="F546" i="7"/>
  <c r="I545" i="7"/>
  <c r="F545" i="7"/>
  <c r="I567" i="7"/>
  <c r="F567" i="7"/>
  <c r="I536" i="7"/>
  <c r="F536" i="7"/>
  <c r="I534" i="7"/>
  <c r="F534" i="7"/>
  <c r="I535" i="7"/>
  <c r="F535" i="7"/>
  <c r="I533" i="7"/>
  <c r="F533" i="7"/>
  <c r="I770" i="7"/>
  <c r="F770" i="7"/>
  <c r="I769" i="7"/>
  <c r="F769" i="7"/>
  <c r="I219" i="7"/>
  <c r="F219" i="7"/>
  <c r="I218" i="7"/>
  <c r="F218" i="7"/>
  <c r="I537" i="7"/>
  <c r="F537" i="7"/>
  <c r="I255" i="7"/>
  <c r="F255" i="7"/>
  <c r="I220" i="7"/>
  <c r="F220" i="7"/>
  <c r="I531" i="7"/>
  <c r="F531" i="7"/>
  <c r="I529" i="7"/>
  <c r="F529" i="7"/>
  <c r="I530" i="7"/>
  <c r="F530" i="7"/>
  <c r="I528" i="7"/>
  <c r="F528" i="7"/>
  <c r="I768" i="7"/>
  <c r="F768" i="7"/>
  <c r="I767" i="7"/>
  <c r="F767" i="7"/>
  <c r="I216" i="7"/>
  <c r="F216" i="7"/>
  <c r="I215" i="7"/>
  <c r="F215" i="7"/>
  <c r="I214" i="7"/>
  <c r="F214" i="7"/>
  <c r="I532" i="7"/>
  <c r="F532" i="7"/>
  <c r="I254" i="7"/>
  <c r="F254" i="7"/>
  <c r="I217" i="7"/>
  <c r="F217" i="7"/>
  <c r="I211" i="7"/>
  <c r="F211" i="7"/>
  <c r="I210" i="7"/>
  <c r="F210" i="7"/>
  <c r="I527" i="7"/>
  <c r="F527" i="7"/>
  <c r="I526" i="7"/>
  <c r="F526" i="7"/>
  <c r="I253" i="7"/>
  <c r="F253" i="7"/>
  <c r="I252" i="7"/>
  <c r="F252" i="7"/>
  <c r="I213" i="7"/>
  <c r="F213" i="7"/>
  <c r="I212" i="7"/>
  <c r="F212" i="7"/>
  <c r="I766" i="7"/>
  <c r="F766" i="7"/>
  <c r="I199" i="7"/>
  <c r="F199" i="7"/>
  <c r="I200" i="7"/>
  <c r="F200" i="7"/>
  <c r="I201" i="7"/>
  <c r="F201" i="7"/>
  <c r="I202" i="7"/>
  <c r="F202" i="7"/>
  <c r="I204" i="7"/>
  <c r="F204" i="7"/>
  <c r="I203" i="7"/>
  <c r="F203" i="7"/>
  <c r="I206" i="7"/>
  <c r="F206" i="7"/>
  <c r="I205" i="7"/>
  <c r="F205" i="7"/>
  <c r="I208" i="7"/>
  <c r="F208" i="7"/>
  <c r="I207" i="7"/>
  <c r="F207" i="7"/>
  <c r="I251" i="7"/>
  <c r="F251" i="7"/>
  <c r="I209" i="7"/>
  <c r="F209" i="7"/>
  <c r="I765" i="7"/>
  <c r="F765" i="7"/>
  <c r="I524" i="7"/>
  <c r="F524" i="7"/>
  <c r="I764" i="7"/>
  <c r="F764" i="7"/>
  <c r="I523" i="7"/>
  <c r="F523" i="7"/>
  <c r="I525" i="7"/>
  <c r="F525" i="7"/>
  <c r="I250" i="7"/>
  <c r="F250" i="7"/>
  <c r="I198" i="7"/>
  <c r="F198" i="7"/>
  <c r="I195" i="7"/>
  <c r="F195" i="7"/>
  <c r="I196" i="7"/>
  <c r="F196" i="7"/>
  <c r="I197" i="7"/>
  <c r="F197" i="7"/>
  <c r="I521" i="7"/>
  <c r="F521" i="7"/>
  <c r="I193" i="7"/>
  <c r="F193" i="7"/>
  <c r="I522" i="7"/>
  <c r="F522" i="7"/>
  <c r="I249" i="7"/>
  <c r="F249" i="7"/>
  <c r="I194" i="7"/>
  <c r="F194" i="7"/>
  <c r="I504" i="7"/>
  <c r="F504" i="7"/>
  <c r="I762" i="7"/>
  <c r="F762" i="7"/>
  <c r="I503" i="7"/>
  <c r="F503" i="7"/>
  <c r="I501" i="7"/>
  <c r="F501" i="7"/>
  <c r="I502" i="7"/>
  <c r="F502" i="7"/>
  <c r="I499" i="7"/>
  <c r="F499" i="7"/>
  <c r="I500" i="7"/>
  <c r="F500" i="7"/>
  <c r="I763" i="7"/>
  <c r="F763" i="7"/>
  <c r="I513" i="7"/>
  <c r="F513" i="7"/>
  <c r="I512" i="7"/>
  <c r="F512" i="7"/>
  <c r="I761" i="7"/>
  <c r="F761" i="7"/>
  <c r="I757" i="7"/>
  <c r="F757" i="7"/>
  <c r="I511" i="7"/>
  <c r="F511" i="7"/>
  <c r="I514" i="7"/>
  <c r="F514" i="7"/>
  <c r="I759" i="7"/>
  <c r="F759" i="7"/>
  <c r="I755" i="7"/>
  <c r="F755" i="7"/>
  <c r="I751" i="7"/>
  <c r="F751" i="7"/>
  <c r="I748" i="7"/>
  <c r="F748" i="7"/>
  <c r="I745" i="7"/>
  <c r="F745" i="7"/>
  <c r="I742" i="7"/>
  <c r="F742" i="7"/>
  <c r="I518" i="7"/>
  <c r="F518" i="7"/>
  <c r="I516" i="7"/>
  <c r="F516" i="7"/>
  <c r="I515" i="7"/>
  <c r="F515" i="7"/>
  <c r="I510" i="7"/>
  <c r="F510" i="7"/>
  <c r="I507" i="7"/>
  <c r="F507" i="7"/>
  <c r="I760" i="7"/>
  <c r="F760" i="7"/>
  <c r="I756" i="7"/>
  <c r="F756" i="7"/>
  <c r="I752" i="7"/>
  <c r="F752" i="7"/>
  <c r="I749" i="7"/>
  <c r="F749" i="7"/>
  <c r="I746" i="7"/>
  <c r="F746" i="7"/>
  <c r="I743" i="7"/>
  <c r="F743" i="7"/>
  <c r="I519" i="7"/>
  <c r="F519" i="7"/>
  <c r="I758" i="7"/>
  <c r="F758" i="7"/>
  <c r="I753" i="7"/>
  <c r="F753" i="7"/>
  <c r="I750" i="7"/>
  <c r="F750" i="7"/>
  <c r="I747" i="7"/>
  <c r="F747" i="7"/>
  <c r="I744" i="7"/>
  <c r="F744" i="7"/>
  <c r="I520" i="7"/>
  <c r="F520" i="7"/>
  <c r="I517" i="7"/>
  <c r="F517" i="7"/>
  <c r="I508" i="7"/>
  <c r="F508" i="7"/>
  <c r="I505" i="7"/>
  <c r="F505" i="7"/>
  <c r="I509" i="7"/>
  <c r="F509" i="7"/>
  <c r="I506" i="7"/>
  <c r="F506" i="7"/>
  <c r="I190" i="7"/>
  <c r="F190" i="7"/>
  <c r="I189" i="7"/>
  <c r="F189" i="7"/>
  <c r="I186" i="7"/>
  <c r="F186" i="7"/>
  <c r="I187" i="7"/>
  <c r="F187" i="7"/>
  <c r="I188" i="7"/>
  <c r="F188" i="7"/>
  <c r="I484" i="7"/>
  <c r="F484" i="7"/>
  <c r="I754" i="7"/>
  <c r="F754" i="7"/>
  <c r="I486" i="7"/>
  <c r="F486" i="7"/>
  <c r="I183" i="7"/>
  <c r="F183" i="7"/>
  <c r="I485" i="7"/>
  <c r="F485" i="7"/>
  <c r="I488" i="7"/>
  <c r="F488" i="7"/>
  <c r="I487" i="7"/>
  <c r="F487" i="7"/>
  <c r="I248" i="7"/>
  <c r="F248" i="7"/>
  <c r="I247" i="7"/>
  <c r="F247" i="7"/>
  <c r="I185" i="7"/>
  <c r="F185" i="7"/>
  <c r="I184" i="7"/>
  <c r="F184" i="7"/>
  <c r="I446" i="7"/>
  <c r="F446" i="7"/>
  <c r="I496" i="7"/>
  <c r="F496" i="7"/>
  <c r="I192" i="7"/>
  <c r="F192" i="7"/>
  <c r="I182" i="7"/>
  <c r="F182" i="7"/>
  <c r="I191" i="7"/>
  <c r="F191" i="7"/>
  <c r="I2" i="7"/>
  <c r="F2" i="7"/>
  <c r="I181" i="7"/>
  <c r="F181" i="7"/>
  <c r="I498" i="7"/>
  <c r="F498" i="7"/>
  <c r="I455" i="7"/>
  <c r="F455" i="7"/>
  <c r="I454" i="7"/>
  <c r="F454" i="7"/>
  <c r="I495" i="7"/>
  <c r="F495" i="7"/>
  <c r="I483" i="7"/>
  <c r="F483" i="7"/>
  <c r="I497" i="7"/>
  <c r="F497" i="7"/>
  <c r="I453" i="7"/>
  <c r="F453" i="7"/>
  <c r="I456" i="7"/>
  <c r="F456" i="7"/>
  <c r="I493" i="7"/>
  <c r="F493" i="7"/>
  <c r="I490" i="7"/>
  <c r="F490" i="7"/>
  <c r="I481" i="7"/>
  <c r="F481" i="7"/>
  <c r="I478" i="7"/>
  <c r="F478" i="7"/>
  <c r="I475" i="7"/>
  <c r="F475" i="7"/>
  <c r="I472" i="7"/>
  <c r="F472" i="7"/>
  <c r="I469" i="7"/>
  <c r="F469" i="7"/>
  <c r="I466" i="7"/>
  <c r="F466" i="7"/>
  <c r="I463" i="7"/>
  <c r="F463" i="7"/>
  <c r="I460" i="7"/>
  <c r="F460" i="7"/>
  <c r="I458" i="7"/>
  <c r="F458" i="7"/>
  <c r="I457" i="7"/>
  <c r="F457" i="7"/>
  <c r="I452" i="7"/>
  <c r="F452" i="7"/>
  <c r="I449" i="7"/>
  <c r="F449" i="7"/>
  <c r="I494" i="7"/>
  <c r="F494" i="7"/>
  <c r="I491" i="7"/>
  <c r="F491" i="7"/>
  <c r="I482" i="7"/>
  <c r="F482" i="7"/>
  <c r="I479" i="7"/>
  <c r="F479" i="7"/>
  <c r="I476" i="7"/>
  <c r="F476" i="7"/>
  <c r="I473" i="7"/>
  <c r="F473" i="7"/>
  <c r="I470" i="7"/>
  <c r="F470" i="7"/>
  <c r="I467" i="7"/>
  <c r="F467" i="7"/>
  <c r="I464" i="7"/>
  <c r="F464" i="7"/>
  <c r="I461" i="7"/>
  <c r="F461" i="7"/>
  <c r="I492" i="7"/>
  <c r="F492" i="7"/>
  <c r="I489" i="7"/>
  <c r="F489" i="7"/>
  <c r="I480" i="7"/>
  <c r="F480" i="7"/>
  <c r="I477" i="7"/>
  <c r="F477" i="7"/>
  <c r="I474" i="7"/>
  <c r="F474" i="7"/>
  <c r="I471" i="7"/>
  <c r="F471" i="7"/>
  <c r="I468" i="7"/>
  <c r="F468" i="7"/>
  <c r="I465" i="7"/>
  <c r="F465" i="7"/>
  <c r="I462" i="7"/>
  <c r="F462" i="7"/>
  <c r="I459" i="7"/>
  <c r="F459" i="7"/>
  <c r="I450" i="7"/>
  <c r="F450" i="7"/>
  <c r="I448" i="7"/>
  <c r="F448" i="7"/>
  <c r="I451" i="7"/>
  <c r="F451" i="7"/>
  <c r="I447" i="7"/>
  <c r="F447" i="7"/>
  <c r="I180" i="7"/>
  <c r="F180" i="7"/>
  <c r="I179" i="7"/>
  <c r="F179" i="7"/>
  <c r="I445" i="7"/>
  <c r="F445" i="7"/>
  <c r="I444" i="7"/>
  <c r="F444" i="7"/>
  <c r="I443" i="7"/>
  <c r="F443" i="7"/>
  <c r="I741" i="7"/>
  <c r="F741" i="7"/>
  <c r="I740" i="7"/>
  <c r="F740" i="7"/>
  <c r="I739" i="7"/>
  <c r="F739" i="7"/>
  <c r="I738" i="7"/>
  <c r="F738" i="7"/>
  <c r="I737" i="7"/>
  <c r="F737" i="7"/>
  <c r="I736" i="7"/>
  <c r="F736" i="7"/>
  <c r="I735" i="7"/>
  <c r="F735" i="7"/>
  <c r="I734" i="7"/>
  <c r="F734" i="7"/>
  <c r="I178" i="7"/>
  <c r="F178" i="7"/>
  <c r="I177" i="7"/>
  <c r="F177" i="7"/>
  <c r="I176" i="7"/>
  <c r="F176" i="7"/>
  <c r="I175" i="7"/>
  <c r="F175" i="7"/>
  <c r="I174" i="7"/>
  <c r="F174" i="7"/>
  <c r="I173" i="7"/>
  <c r="F173" i="7"/>
  <c r="I172" i="7"/>
  <c r="F172" i="7"/>
  <c r="I171" i="7"/>
  <c r="F171" i="7"/>
  <c r="I170" i="7"/>
  <c r="F170" i="7"/>
  <c r="I169" i="7"/>
  <c r="F169" i="7"/>
  <c r="I168" i="7"/>
  <c r="F168" i="7"/>
  <c r="I167" i="7"/>
  <c r="F167" i="7"/>
  <c r="I165" i="7"/>
  <c r="F165" i="7"/>
  <c r="I164" i="7"/>
  <c r="F164" i="7"/>
  <c r="I163" i="7"/>
  <c r="F163" i="7"/>
  <c r="I162" i="7"/>
  <c r="F162" i="7"/>
  <c r="I161" i="7"/>
  <c r="F161" i="7"/>
  <c r="I160" i="7"/>
  <c r="F160" i="7"/>
  <c r="I159" i="7"/>
  <c r="F159" i="7"/>
  <c r="I442" i="7"/>
  <c r="F442" i="7"/>
  <c r="I246" i="7"/>
  <c r="F246" i="7"/>
  <c r="I166" i="7"/>
  <c r="F166" i="7"/>
  <c r="I441" i="7"/>
  <c r="F441" i="7"/>
  <c r="I440" i="7"/>
  <c r="F440" i="7"/>
  <c r="I439" i="7"/>
  <c r="F439" i="7"/>
  <c r="I733" i="7"/>
  <c r="F733" i="7"/>
  <c r="I732" i="7"/>
  <c r="F732" i="7"/>
  <c r="I731" i="7"/>
  <c r="F731" i="7"/>
  <c r="I730" i="7"/>
  <c r="F730" i="7"/>
  <c r="I729" i="7"/>
  <c r="F729" i="7"/>
  <c r="I728" i="7"/>
  <c r="F728" i="7"/>
  <c r="I727" i="7"/>
  <c r="F727" i="7"/>
  <c r="I726" i="7"/>
  <c r="F726" i="7"/>
  <c r="I158" i="7"/>
  <c r="F158" i="7"/>
  <c r="I157" i="7"/>
  <c r="F157" i="7"/>
  <c r="I156" i="7"/>
  <c r="F156" i="7"/>
  <c r="I155" i="7"/>
  <c r="F155" i="7"/>
  <c r="I154" i="7"/>
  <c r="F154" i="7"/>
  <c r="I153" i="7"/>
  <c r="F153" i="7"/>
  <c r="I152" i="7"/>
  <c r="F152" i="7"/>
  <c r="I151" i="7"/>
  <c r="F151" i="7"/>
  <c r="I150" i="7"/>
  <c r="F150" i="7"/>
  <c r="I149" i="7"/>
  <c r="F149" i="7"/>
  <c r="I148" i="7"/>
  <c r="F148" i="7"/>
  <c r="I147" i="7"/>
  <c r="F147" i="7"/>
  <c r="I145" i="7"/>
  <c r="F145" i="7"/>
  <c r="I144" i="7"/>
  <c r="F144" i="7"/>
  <c r="I143" i="7"/>
  <c r="F143" i="7"/>
  <c r="I142" i="7"/>
  <c r="F142" i="7"/>
  <c r="I141" i="7"/>
  <c r="F141" i="7"/>
  <c r="I140" i="7"/>
  <c r="F140" i="7"/>
  <c r="I139" i="7"/>
  <c r="F139" i="7"/>
  <c r="I438" i="7"/>
  <c r="F438" i="7"/>
  <c r="I245" i="7"/>
  <c r="F245" i="7"/>
  <c r="I146" i="7"/>
  <c r="F146" i="7"/>
  <c r="I437" i="7"/>
  <c r="F437" i="7"/>
  <c r="I436" i="7"/>
  <c r="F436" i="7"/>
  <c r="I435" i="7"/>
  <c r="F435" i="7"/>
  <c r="I725" i="7"/>
  <c r="F725" i="7"/>
  <c r="I724" i="7"/>
  <c r="F724" i="7"/>
  <c r="I723" i="7"/>
  <c r="F723" i="7"/>
  <c r="I722" i="7"/>
  <c r="F722" i="7"/>
  <c r="I721" i="7"/>
  <c r="F721" i="7"/>
  <c r="I720" i="7"/>
  <c r="F720" i="7"/>
  <c r="I719" i="7"/>
  <c r="F719" i="7"/>
  <c r="I718" i="7"/>
  <c r="F718" i="7"/>
  <c r="I138" i="7"/>
  <c r="F138" i="7"/>
  <c r="I137" i="7"/>
  <c r="F137" i="7"/>
  <c r="I136" i="7"/>
  <c r="F136" i="7"/>
  <c r="I135" i="7"/>
  <c r="F135" i="7"/>
  <c r="I134" i="7"/>
  <c r="F134" i="7"/>
  <c r="I133" i="7"/>
  <c r="F133" i="7"/>
  <c r="I132" i="7"/>
  <c r="F132" i="7"/>
  <c r="I131" i="7"/>
  <c r="F131" i="7"/>
  <c r="I130" i="7"/>
  <c r="F130" i="7"/>
  <c r="I129" i="7"/>
  <c r="F129" i="7"/>
  <c r="I128" i="7"/>
  <c r="F128" i="7"/>
  <c r="I127" i="7"/>
  <c r="F127" i="7"/>
  <c r="I125" i="7"/>
  <c r="F125" i="7"/>
  <c r="I124" i="7"/>
  <c r="F124" i="7"/>
  <c r="I123" i="7"/>
  <c r="F123" i="7"/>
  <c r="I122" i="7"/>
  <c r="F122" i="7"/>
  <c r="I121" i="7"/>
  <c r="F121" i="7"/>
  <c r="I120" i="7"/>
  <c r="F120" i="7"/>
  <c r="I119" i="7"/>
  <c r="F119" i="7"/>
  <c r="I434" i="7"/>
  <c r="F434" i="7"/>
  <c r="I244" i="7"/>
  <c r="F244" i="7"/>
  <c r="I126" i="7"/>
  <c r="F126" i="7"/>
  <c r="I433" i="7"/>
  <c r="F433" i="7"/>
  <c r="I432" i="7"/>
  <c r="F432" i="7"/>
  <c r="I431" i="7"/>
  <c r="F431" i="7"/>
  <c r="I717" i="7"/>
  <c r="F717" i="7"/>
  <c r="I716" i="7"/>
  <c r="F716" i="7"/>
  <c r="I715" i="7"/>
  <c r="F715" i="7"/>
  <c r="I714" i="7"/>
  <c r="F714" i="7"/>
  <c r="I713" i="7"/>
  <c r="F713" i="7"/>
  <c r="I712" i="7"/>
  <c r="F712" i="7"/>
  <c r="I711" i="7"/>
  <c r="F711" i="7"/>
  <c r="I710" i="7"/>
  <c r="F710" i="7"/>
  <c r="I118" i="7"/>
  <c r="F118" i="7"/>
  <c r="I117" i="7"/>
  <c r="F117" i="7"/>
  <c r="I116" i="7"/>
  <c r="F116" i="7"/>
  <c r="I115" i="7"/>
  <c r="F115" i="7"/>
  <c r="I114" i="7"/>
  <c r="F114" i="7"/>
  <c r="I113" i="7"/>
  <c r="F113" i="7"/>
  <c r="I112" i="7"/>
  <c r="F112" i="7"/>
  <c r="I111" i="7"/>
  <c r="F111" i="7"/>
  <c r="I110" i="7"/>
  <c r="F110" i="7"/>
  <c r="I109" i="7"/>
  <c r="F109" i="7"/>
  <c r="I108" i="7"/>
  <c r="F108" i="7"/>
  <c r="I107" i="7"/>
  <c r="F107" i="7"/>
  <c r="I105" i="7"/>
  <c r="F105" i="7"/>
  <c r="I104" i="7"/>
  <c r="F104" i="7"/>
  <c r="I103" i="7"/>
  <c r="F103" i="7"/>
  <c r="I102" i="7"/>
  <c r="F102" i="7"/>
  <c r="I101" i="7"/>
  <c r="F101" i="7"/>
  <c r="I100" i="7"/>
  <c r="F100" i="7"/>
  <c r="I99" i="7"/>
  <c r="F99" i="7"/>
  <c r="I430" i="7"/>
  <c r="F430" i="7"/>
  <c r="I243" i="7"/>
  <c r="F243" i="7"/>
  <c r="I106" i="7"/>
  <c r="F106" i="7"/>
  <c r="I429" i="7"/>
  <c r="F429" i="7"/>
  <c r="I428" i="7"/>
  <c r="F428" i="7"/>
  <c r="I427" i="7"/>
  <c r="F427" i="7"/>
  <c r="I709" i="7"/>
  <c r="F709" i="7"/>
  <c r="I708" i="7"/>
  <c r="F708" i="7"/>
  <c r="I707" i="7"/>
  <c r="F707" i="7"/>
  <c r="I706" i="7"/>
  <c r="F706" i="7"/>
  <c r="I705" i="7"/>
  <c r="F705" i="7"/>
  <c r="I704" i="7"/>
  <c r="F704" i="7"/>
  <c r="I703" i="7"/>
  <c r="F703" i="7"/>
  <c r="I702" i="7"/>
  <c r="F702" i="7"/>
  <c r="I98" i="7"/>
  <c r="F98" i="7"/>
  <c r="I97" i="7"/>
  <c r="F97" i="7"/>
  <c r="I96" i="7"/>
  <c r="F96" i="7"/>
  <c r="I95" i="7"/>
  <c r="F95" i="7"/>
  <c r="I94" i="7"/>
  <c r="F94" i="7"/>
  <c r="I93" i="7"/>
  <c r="F93" i="7"/>
  <c r="I92" i="7"/>
  <c r="F92" i="7"/>
  <c r="I91" i="7"/>
  <c r="F91" i="7"/>
  <c r="I90" i="7"/>
  <c r="F90" i="7"/>
  <c r="I89" i="7"/>
  <c r="F89" i="7"/>
  <c r="I88" i="7"/>
  <c r="F88" i="7"/>
  <c r="I87" i="7"/>
  <c r="F87" i="7"/>
  <c r="I85" i="7"/>
  <c r="F85" i="7"/>
  <c r="I84" i="7"/>
  <c r="F84" i="7"/>
  <c r="I83" i="7"/>
  <c r="F83" i="7"/>
  <c r="I82" i="7"/>
  <c r="F82" i="7"/>
  <c r="I81" i="7"/>
  <c r="F81" i="7"/>
  <c r="I80" i="7"/>
  <c r="F80" i="7"/>
  <c r="I79" i="7"/>
  <c r="F79" i="7"/>
  <c r="I426" i="7"/>
  <c r="F426" i="7"/>
  <c r="I242" i="7"/>
  <c r="F242" i="7"/>
  <c r="I86" i="7"/>
  <c r="F86" i="7"/>
  <c r="I425" i="7"/>
  <c r="F425" i="7"/>
  <c r="I424" i="7"/>
  <c r="F424" i="7"/>
  <c r="I423" i="7"/>
  <c r="F423" i="7"/>
  <c r="I701" i="7"/>
  <c r="F701" i="7"/>
  <c r="I700" i="7"/>
  <c r="F700" i="7"/>
  <c r="I699" i="7"/>
  <c r="F699" i="7"/>
  <c r="I698" i="7"/>
  <c r="F698" i="7"/>
  <c r="I697" i="7"/>
  <c r="F697" i="7"/>
  <c r="I696" i="7"/>
  <c r="F696" i="7"/>
  <c r="I695" i="7"/>
  <c r="F695" i="7"/>
  <c r="I694" i="7"/>
  <c r="F694" i="7"/>
  <c r="I78" i="7"/>
  <c r="F78" i="7"/>
  <c r="I77" i="7"/>
  <c r="F77" i="7"/>
  <c r="I76" i="7"/>
  <c r="F76" i="7"/>
  <c r="I75" i="7"/>
  <c r="F75" i="7"/>
  <c r="I74" i="7"/>
  <c r="F74" i="7"/>
  <c r="I73" i="7"/>
  <c r="F73" i="7"/>
  <c r="I72" i="7"/>
  <c r="F72" i="7"/>
  <c r="I71" i="7"/>
  <c r="F71" i="7"/>
  <c r="I70" i="7"/>
  <c r="F70" i="7"/>
  <c r="I69" i="7"/>
  <c r="F69" i="7"/>
  <c r="I68" i="7"/>
  <c r="F68" i="7"/>
  <c r="I67" i="7"/>
  <c r="F67" i="7"/>
  <c r="I65" i="7"/>
  <c r="F65" i="7"/>
  <c r="I64" i="7"/>
  <c r="F64" i="7"/>
  <c r="I63" i="7"/>
  <c r="F63" i="7"/>
  <c r="I62" i="7"/>
  <c r="F62" i="7"/>
  <c r="I61" i="7"/>
  <c r="F61" i="7"/>
  <c r="I60" i="7"/>
  <c r="F60" i="7"/>
  <c r="I59" i="7"/>
  <c r="F59" i="7"/>
  <c r="I422" i="7"/>
  <c r="F422" i="7"/>
  <c r="I241" i="7"/>
  <c r="F241" i="7"/>
  <c r="I66" i="7"/>
  <c r="F66" i="7"/>
  <c r="I58" i="7"/>
  <c r="F58" i="7"/>
  <c r="I57" i="7"/>
  <c r="F57" i="7"/>
  <c r="I412" i="7"/>
  <c r="F412" i="7"/>
  <c r="I691" i="7"/>
  <c r="F691" i="7"/>
  <c r="I690" i="7"/>
  <c r="F690" i="7"/>
  <c r="I693" i="7"/>
  <c r="F693" i="7"/>
  <c r="I692" i="7"/>
  <c r="F692" i="7"/>
  <c r="I420" i="7"/>
  <c r="F420" i="7"/>
  <c r="I419" i="7"/>
  <c r="F419" i="7"/>
  <c r="I411" i="7"/>
  <c r="F411" i="7"/>
  <c r="I421" i="7"/>
  <c r="F421" i="7"/>
  <c r="I414" i="7"/>
  <c r="F414" i="7"/>
  <c r="I413" i="7"/>
  <c r="F413" i="7"/>
  <c r="I416" i="7"/>
  <c r="F416" i="7"/>
  <c r="I415" i="7"/>
  <c r="F415" i="7"/>
  <c r="I418" i="7"/>
  <c r="F418" i="7"/>
  <c r="I417" i="7"/>
  <c r="F417" i="7"/>
  <c r="I401" i="7"/>
  <c r="F401" i="7"/>
  <c r="I687" i="7"/>
  <c r="F687" i="7"/>
  <c r="I686" i="7"/>
  <c r="F686" i="7"/>
  <c r="I689" i="7"/>
  <c r="F689" i="7"/>
  <c r="I688" i="7"/>
  <c r="F688" i="7"/>
  <c r="I409" i="7"/>
  <c r="F409" i="7"/>
  <c r="I408" i="7"/>
  <c r="F408" i="7"/>
  <c r="I400" i="7"/>
  <c r="F400" i="7"/>
  <c r="I410" i="7"/>
  <c r="F410" i="7"/>
  <c r="I403" i="7"/>
  <c r="F403" i="7"/>
  <c r="I402" i="7"/>
  <c r="F402" i="7"/>
  <c r="I405" i="7"/>
  <c r="F405" i="7"/>
  <c r="I404" i="7"/>
  <c r="F404" i="7"/>
  <c r="I407" i="7"/>
  <c r="F407" i="7"/>
  <c r="I406" i="7"/>
  <c r="F406" i="7"/>
  <c r="I399" i="7"/>
  <c r="F399" i="7"/>
  <c r="I684" i="7"/>
  <c r="F684" i="7"/>
  <c r="I398" i="7"/>
  <c r="F398" i="7"/>
  <c r="I685" i="7"/>
  <c r="F685" i="7"/>
  <c r="I799" i="7"/>
  <c r="F799" i="7"/>
  <c r="I798" i="7"/>
  <c r="F798" i="7"/>
  <c r="I797" i="7"/>
  <c r="F797" i="7"/>
  <c r="I397" i="7"/>
  <c r="F397" i="7"/>
  <c r="I682" i="7"/>
  <c r="F682" i="7"/>
  <c r="I396" i="7"/>
  <c r="F396" i="7"/>
  <c r="I683" i="7"/>
  <c r="F683" i="7"/>
  <c r="I796" i="7"/>
  <c r="F796" i="7"/>
  <c r="I795" i="7"/>
  <c r="F795" i="7"/>
  <c r="I794" i="7"/>
  <c r="F794" i="7"/>
  <c r="I395" i="7"/>
  <c r="F395" i="7"/>
  <c r="I680" i="7"/>
  <c r="F680" i="7"/>
  <c r="I394" i="7"/>
  <c r="F394" i="7"/>
  <c r="I681" i="7"/>
  <c r="F681" i="7"/>
  <c r="I793" i="7"/>
  <c r="F793" i="7"/>
  <c r="I792" i="7"/>
  <c r="F792" i="7"/>
  <c r="I791" i="7"/>
  <c r="F791" i="7"/>
  <c r="I393" i="7"/>
  <c r="F393" i="7"/>
  <c r="I678" i="7"/>
  <c r="F678" i="7"/>
  <c r="I392" i="7"/>
  <c r="F392" i="7"/>
  <c r="I679" i="7"/>
  <c r="F679" i="7"/>
  <c r="I790" i="7"/>
  <c r="F790" i="7"/>
  <c r="I789" i="7"/>
  <c r="F789" i="7"/>
  <c r="I788" i="7"/>
  <c r="F788" i="7"/>
  <c r="I56" i="7"/>
  <c r="F56" i="7"/>
  <c r="I55" i="7"/>
  <c r="F55" i="7"/>
  <c r="I54" i="7"/>
  <c r="F54" i="7"/>
  <c r="I53" i="7"/>
  <c r="F53" i="7"/>
  <c r="I391" i="7"/>
  <c r="F391" i="7"/>
  <c r="I390" i="7"/>
  <c r="F390" i="7"/>
  <c r="I677" i="7"/>
  <c r="F677" i="7"/>
  <c r="I675" i="7"/>
  <c r="F675" i="7"/>
  <c r="I383" i="7"/>
  <c r="F383" i="7"/>
  <c r="I380" i="7"/>
  <c r="F380" i="7"/>
  <c r="I381" i="7"/>
  <c r="F381" i="7"/>
  <c r="I676" i="7"/>
  <c r="F676" i="7"/>
  <c r="I389" i="7"/>
  <c r="F389" i="7"/>
  <c r="I388" i="7"/>
  <c r="F388" i="7"/>
  <c r="I52" i="7"/>
  <c r="F52" i="7"/>
  <c r="I51" i="7"/>
  <c r="F51" i="7"/>
  <c r="I382" i="7"/>
  <c r="F382" i="7"/>
  <c r="I387" i="7"/>
  <c r="F387" i="7"/>
  <c r="I386" i="7"/>
  <c r="F386" i="7"/>
  <c r="I385" i="7"/>
  <c r="F385" i="7"/>
  <c r="I384" i="7"/>
  <c r="F384" i="7"/>
  <c r="I378" i="7"/>
  <c r="F378" i="7"/>
  <c r="I379" i="7"/>
  <c r="F379" i="7"/>
  <c r="I376" i="7"/>
  <c r="F376" i="7"/>
  <c r="I377" i="7"/>
  <c r="F377" i="7"/>
  <c r="I374" i="7"/>
  <c r="F374" i="7"/>
  <c r="I375" i="7"/>
  <c r="F375" i="7"/>
  <c r="I368" i="7"/>
  <c r="F368" i="7"/>
  <c r="I367" i="7"/>
  <c r="F367" i="7"/>
  <c r="I373" i="7"/>
  <c r="F373" i="7"/>
  <c r="I372" i="7"/>
  <c r="F372" i="7"/>
  <c r="I371" i="7"/>
  <c r="F371" i="7"/>
  <c r="I370" i="7"/>
  <c r="F370" i="7"/>
  <c r="I369" i="7"/>
  <c r="F369" i="7"/>
  <c r="I674" i="7"/>
  <c r="F674" i="7"/>
  <c r="I366" i="7"/>
  <c r="F366" i="7"/>
  <c r="I673" i="7"/>
  <c r="F673" i="7"/>
  <c r="I365" i="7"/>
  <c r="F365" i="7"/>
  <c r="I672" i="7"/>
  <c r="F672" i="7"/>
  <c r="I364" i="7"/>
  <c r="F364" i="7"/>
  <c r="I671" i="7"/>
  <c r="F671" i="7"/>
  <c r="I363" i="7"/>
  <c r="F363" i="7"/>
  <c r="I670" i="7"/>
  <c r="F670" i="7"/>
  <c r="I362" i="7"/>
  <c r="F362" i="7"/>
  <c r="I668" i="7"/>
  <c r="F668" i="7"/>
  <c r="I360" i="7"/>
  <c r="F360" i="7"/>
  <c r="I669" i="7"/>
  <c r="F669" i="7"/>
  <c r="I667" i="7"/>
  <c r="F667" i="7"/>
  <c r="I361" i="7"/>
  <c r="F361" i="7"/>
  <c r="I359" i="7"/>
  <c r="F359" i="7"/>
  <c r="I666" i="7"/>
  <c r="F666" i="7"/>
  <c r="I358" i="7"/>
  <c r="F358" i="7"/>
  <c r="I664" i="7"/>
  <c r="F664" i="7"/>
  <c r="I356" i="7"/>
  <c r="F356" i="7"/>
  <c r="I665" i="7"/>
  <c r="F665" i="7"/>
  <c r="I663" i="7"/>
  <c r="F663" i="7"/>
  <c r="I357" i="7"/>
  <c r="F357" i="7"/>
  <c r="I355" i="7"/>
  <c r="F355" i="7"/>
  <c r="I662" i="7"/>
  <c r="F662" i="7"/>
  <c r="I354" i="7"/>
  <c r="F354" i="7"/>
  <c r="I660" i="7"/>
  <c r="F660" i="7"/>
  <c r="I352" i="7"/>
  <c r="F352" i="7"/>
  <c r="I661" i="7"/>
  <c r="F661" i="7"/>
  <c r="I659" i="7"/>
  <c r="F659" i="7"/>
  <c r="I353" i="7"/>
  <c r="F353" i="7"/>
  <c r="I351" i="7"/>
  <c r="F351" i="7"/>
  <c r="I658" i="7"/>
  <c r="F658" i="7"/>
  <c r="I350" i="7"/>
  <c r="F350" i="7"/>
  <c r="I656" i="7"/>
  <c r="F656" i="7"/>
  <c r="I348" i="7"/>
  <c r="F348" i="7"/>
  <c r="I657" i="7"/>
  <c r="F657" i="7"/>
  <c r="I655" i="7"/>
  <c r="F655" i="7"/>
  <c r="I349" i="7"/>
  <c r="F349" i="7"/>
  <c r="I347" i="7"/>
  <c r="F347" i="7"/>
  <c r="I336" i="7"/>
  <c r="F336" i="7"/>
  <c r="I335" i="7"/>
  <c r="F335" i="7"/>
  <c r="I334" i="7"/>
  <c r="F334" i="7"/>
  <c r="I317" i="7"/>
  <c r="F317" i="7"/>
  <c r="I316" i="7"/>
  <c r="F316" i="7"/>
  <c r="I346" i="7"/>
  <c r="F346" i="7"/>
  <c r="I345" i="7"/>
  <c r="F345" i="7"/>
  <c r="I344" i="7"/>
  <c r="F344" i="7"/>
  <c r="I343" i="7"/>
  <c r="F343" i="7"/>
  <c r="I342" i="7"/>
  <c r="F342" i="7"/>
  <c r="I341" i="7"/>
  <c r="F341" i="7"/>
  <c r="I340" i="7"/>
  <c r="F340" i="7"/>
  <c r="I339" i="7"/>
  <c r="F339" i="7"/>
  <c r="I338" i="7"/>
  <c r="F338" i="7"/>
  <c r="I337" i="7"/>
  <c r="F337" i="7"/>
  <c r="I322" i="7"/>
  <c r="F322" i="7"/>
  <c r="I321" i="7"/>
  <c r="F321" i="7"/>
  <c r="I320" i="7"/>
  <c r="F320" i="7"/>
  <c r="I319" i="7"/>
  <c r="F319" i="7"/>
  <c r="I333" i="7"/>
  <c r="F333" i="7"/>
  <c r="I332" i="7"/>
  <c r="F332" i="7"/>
  <c r="I318" i="7"/>
  <c r="F318" i="7"/>
  <c r="I331" i="7"/>
  <c r="F331" i="7"/>
  <c r="I330" i="7"/>
  <c r="F330" i="7"/>
  <c r="I329" i="7"/>
  <c r="F329" i="7"/>
  <c r="I328" i="7"/>
  <c r="F328" i="7"/>
  <c r="I327" i="7"/>
  <c r="F327" i="7"/>
  <c r="I326" i="7"/>
  <c r="F326" i="7"/>
  <c r="I325" i="7"/>
  <c r="F325" i="7"/>
  <c r="I324" i="7"/>
  <c r="F324" i="7"/>
  <c r="I323" i="7"/>
  <c r="F323" i="7"/>
  <c r="I303" i="7"/>
  <c r="F303" i="7"/>
  <c r="I302" i="7"/>
  <c r="F302" i="7"/>
  <c r="I301" i="7"/>
  <c r="F301" i="7"/>
  <c r="I284" i="7"/>
  <c r="F284" i="7"/>
  <c r="I283" i="7"/>
  <c r="F283" i="7"/>
  <c r="I315" i="7"/>
  <c r="F315" i="7"/>
  <c r="I314" i="7"/>
  <c r="F314" i="7"/>
  <c r="I311" i="7"/>
  <c r="F311" i="7"/>
  <c r="I310" i="7"/>
  <c r="F310" i="7"/>
  <c r="I309" i="7"/>
  <c r="F309" i="7"/>
  <c r="I308" i="7"/>
  <c r="F308" i="7"/>
  <c r="I307" i="7"/>
  <c r="F307" i="7"/>
  <c r="I306" i="7"/>
  <c r="F306" i="7"/>
  <c r="I305" i="7"/>
  <c r="F305" i="7"/>
  <c r="I304" i="7"/>
  <c r="F304" i="7"/>
  <c r="I289" i="7"/>
  <c r="F289" i="7"/>
  <c r="I313" i="7"/>
  <c r="F313" i="7"/>
  <c r="I288" i="7"/>
  <c r="F288" i="7"/>
  <c r="I287" i="7"/>
  <c r="F287" i="7"/>
  <c r="I286" i="7"/>
  <c r="F286" i="7"/>
  <c r="I300" i="7"/>
  <c r="F300" i="7"/>
  <c r="I299" i="7"/>
  <c r="F299" i="7"/>
  <c r="I285" i="7"/>
  <c r="F285" i="7"/>
  <c r="I298" i="7"/>
  <c r="F298" i="7"/>
  <c r="I297" i="7"/>
  <c r="F297" i="7"/>
  <c r="I296" i="7"/>
  <c r="F296" i="7"/>
  <c r="I295" i="7"/>
  <c r="F295" i="7"/>
  <c r="I294" i="7"/>
  <c r="F294" i="7"/>
  <c r="I293" i="7"/>
  <c r="F293" i="7"/>
  <c r="I292" i="7"/>
  <c r="F292" i="7"/>
  <c r="I291" i="7"/>
  <c r="F291" i="7"/>
  <c r="I290" i="7"/>
  <c r="F290" i="7"/>
  <c r="I312" i="7"/>
  <c r="F312" i="7"/>
  <c r="I282" i="7"/>
  <c r="F282" i="7"/>
  <c r="I281" i="7"/>
  <c r="F281" i="7"/>
  <c r="I280" i="7"/>
  <c r="F280" i="7"/>
  <c r="I279" i="7"/>
  <c r="F279" i="7"/>
  <c r="I787" i="7"/>
  <c r="F787" i="7"/>
  <c r="I654" i="7"/>
  <c r="F654" i="7"/>
  <c r="I278" i="7"/>
  <c r="F278" i="7"/>
  <c r="I653" i="7"/>
  <c r="F653" i="7"/>
  <c r="I277" i="7"/>
  <c r="F277" i="7"/>
  <c r="I50" i="7"/>
  <c r="F50" i="7"/>
  <c r="I49" i="7"/>
  <c r="F49" i="7"/>
  <c r="I48" i="7"/>
  <c r="F48" i="7"/>
  <c r="I47" i="7"/>
  <c r="F47" i="7"/>
  <c r="I46" i="7"/>
  <c r="F46" i="7"/>
  <c r="I45" i="7"/>
  <c r="F45" i="7"/>
  <c r="I276" i="7"/>
  <c r="F276" i="7"/>
  <c r="I44" i="7"/>
  <c r="F44" i="7"/>
  <c r="I275" i="7"/>
  <c r="F275" i="7"/>
  <c r="I274" i="7"/>
  <c r="F274" i="7"/>
  <c r="I43" i="7"/>
  <c r="F43" i="7"/>
  <c r="I273" i="7"/>
  <c r="F273" i="7"/>
  <c r="I42" i="7"/>
  <c r="F42" i="7"/>
  <c r="I272" i="7"/>
  <c r="F272" i="7"/>
  <c r="I41" i="7"/>
  <c r="F41" i="7"/>
  <c r="I271" i="7"/>
  <c r="F271" i="7"/>
  <c r="I270" i="7"/>
  <c r="F270" i="7"/>
  <c r="I40" i="7"/>
  <c r="F40" i="7"/>
  <c r="I269" i="7"/>
  <c r="F269" i="7"/>
  <c r="I39" i="7"/>
  <c r="F39" i="7"/>
  <c r="I268" i="7"/>
  <c r="F268" i="7"/>
  <c r="I38" i="7"/>
  <c r="F38" i="7"/>
  <c r="I267" i="7"/>
  <c r="F267" i="7"/>
  <c r="I266" i="7"/>
  <c r="F266" i="7"/>
  <c r="I37" i="7"/>
  <c r="F37" i="7"/>
  <c r="I265" i="7"/>
  <c r="F265" i="7"/>
  <c r="I36" i="7"/>
  <c r="F36" i="7"/>
  <c r="I264" i="7"/>
  <c r="F264" i="7"/>
  <c r="I35" i="7"/>
  <c r="F35" i="7"/>
  <c r="I263" i="7"/>
  <c r="F263" i="7"/>
  <c r="I262" i="7"/>
  <c r="F262" i="7"/>
  <c r="I34" i="7"/>
  <c r="F34" i="7"/>
  <c r="I261" i="7"/>
  <c r="F261" i="7"/>
  <c r="I33" i="7"/>
  <c r="F33" i="7"/>
  <c r="I32" i="7"/>
  <c r="F32" i="7"/>
  <c r="I260" i="7"/>
  <c r="F260" i="7"/>
  <c r="I258" i="7"/>
  <c r="F258" i="7"/>
  <c r="I652" i="7"/>
  <c r="F652" i="7"/>
  <c r="I651" i="7"/>
  <c r="F651" i="7"/>
  <c r="I259" i="7"/>
  <c r="F259" i="7"/>
  <c r="I257" i="7"/>
  <c r="F257" i="7"/>
  <c r="I31" i="7"/>
  <c r="F31" i="7"/>
  <c r="I30" i="7"/>
  <c r="F30" i="7"/>
  <c r="I29" i="7"/>
  <c r="F29" i="7"/>
  <c r="I28" i="7"/>
  <c r="F28" i="7"/>
  <c r="I26" i="7"/>
  <c r="F26" i="7"/>
  <c r="I25" i="7"/>
  <c r="F25" i="7"/>
  <c r="I24" i="7"/>
  <c r="F24" i="7"/>
  <c r="I23" i="7"/>
  <c r="F23" i="7"/>
  <c r="I22" i="7"/>
  <c r="F22" i="7"/>
  <c r="I256" i="7"/>
  <c r="F256" i="7"/>
  <c r="I240" i="7"/>
  <c r="F240" i="7"/>
  <c r="I27" i="7"/>
  <c r="F27" i="7"/>
  <c r="I21" i="7"/>
  <c r="F21" i="7"/>
  <c r="I650" i="7"/>
  <c r="F650" i="7"/>
  <c r="I649" i="7"/>
  <c r="F649" i="7"/>
  <c r="I20" i="7"/>
  <c r="F20" i="7"/>
  <c r="I19" i="7"/>
  <c r="F19" i="7"/>
  <c r="I18" i="7"/>
  <c r="F18" i="7"/>
  <c r="I17" i="7"/>
  <c r="F17" i="7"/>
  <c r="I239" i="7"/>
  <c r="F239" i="7"/>
  <c r="I238" i="7"/>
  <c r="F238" i="7"/>
  <c r="I237" i="7"/>
  <c r="F237" i="7"/>
  <c r="I236" i="7"/>
  <c r="F236" i="7"/>
  <c r="I235" i="7"/>
  <c r="F235" i="7"/>
  <c r="I234" i="7"/>
  <c r="F234" i="7"/>
  <c r="I16" i="7"/>
  <c r="F16" i="7"/>
  <c r="I15" i="7"/>
  <c r="F15" i="7"/>
  <c r="I14" i="7"/>
  <c r="F14" i="7"/>
  <c r="I13" i="7"/>
  <c r="F13" i="7"/>
  <c r="I12" i="7"/>
  <c r="F12" i="7"/>
  <c r="I11" i="7"/>
  <c r="F11" i="7"/>
  <c r="I10" i="7"/>
  <c r="F10" i="7"/>
  <c r="I9" i="7"/>
  <c r="F9" i="7"/>
  <c r="I8" i="7"/>
  <c r="F8" i="7"/>
  <c r="I7" i="7"/>
  <c r="F7" i="7"/>
  <c r="I6" i="7"/>
  <c r="F6" i="7"/>
  <c r="I648" i="7"/>
  <c r="F648" i="7"/>
  <c r="I647" i="7"/>
  <c r="F647" i="7"/>
  <c r="I5" i="7"/>
  <c r="F5" i="7"/>
  <c r="I4" i="7"/>
  <c r="F4" i="7"/>
  <c r="I3" i="7"/>
  <c r="F3" i="7"/>
  <c r="D311" i="7" l="1"/>
  <c r="E311" i="7" s="1"/>
  <c r="D317" i="7"/>
  <c r="E317" i="7" s="1"/>
  <c r="D455" i="7"/>
  <c r="E455" i="7" s="1"/>
  <c r="D154" i="7"/>
  <c r="E154" i="7" s="1"/>
  <c r="D636" i="7"/>
  <c r="E636" i="7" s="1"/>
  <c r="D600" i="7"/>
  <c r="E600" i="7" s="1"/>
  <c r="D610" i="7"/>
  <c r="E610" i="7" s="1"/>
  <c r="D742" i="7"/>
  <c r="D224" i="7"/>
  <c r="D786" i="7"/>
  <c r="E786" i="7" s="1"/>
  <c r="D18" i="7"/>
  <c r="D785" i="7"/>
  <c r="E785" i="7" s="1"/>
  <c r="D293" i="7"/>
  <c r="E293" i="7" s="1"/>
  <c r="D671" i="7"/>
  <c r="E671" i="7" s="1"/>
  <c r="D377" i="7"/>
  <c r="E377" i="7" s="1"/>
  <c r="D389" i="7"/>
  <c r="E389" i="7" s="1"/>
  <c r="D676" i="7"/>
  <c r="E676" i="7" s="1"/>
  <c r="D397" i="7"/>
  <c r="D183" i="7"/>
  <c r="E183" i="7" s="1"/>
  <c r="D230" i="7"/>
  <c r="E230" i="7" s="1"/>
  <c r="D789" i="7"/>
  <c r="E789" i="7" s="1"/>
  <c r="D793" i="7"/>
  <c r="E793" i="7" s="1"/>
  <c r="D683" i="7"/>
  <c r="E683" i="7" s="1"/>
  <c r="D127" i="7"/>
  <c r="E127" i="7" s="1"/>
  <c r="D466" i="7"/>
  <c r="D760" i="7"/>
  <c r="E760" i="7" s="1"/>
  <c r="D748" i="7"/>
  <c r="D532" i="7"/>
  <c r="E532" i="7" s="1"/>
  <c r="D770" i="7"/>
  <c r="E770" i="7" s="1"/>
  <c r="D263" i="7"/>
  <c r="E263" i="7" s="1"/>
  <c r="D290" i="7"/>
  <c r="E290" i="7" s="1"/>
  <c r="D298" i="7"/>
  <c r="E298" i="7" s="1"/>
  <c r="D735" i="7"/>
  <c r="E735" i="7" s="1"/>
  <c r="D460" i="7"/>
  <c r="D618" i="7"/>
  <c r="E618" i="7" s="1"/>
  <c r="D633" i="7"/>
  <c r="E633" i="7" s="1"/>
  <c r="D638" i="7"/>
  <c r="E638" i="7" s="1"/>
  <c r="D481" i="7"/>
  <c r="E481" i="7" s="1"/>
  <c r="D501" i="7"/>
  <c r="D217" i="7"/>
  <c r="D528" i="7"/>
  <c r="D545" i="7"/>
  <c r="E545" i="7" s="1"/>
  <c r="D457" i="7"/>
  <c r="D446" i="7"/>
  <c r="E446" i="7" s="1"/>
  <c r="D511" i="7"/>
  <c r="E511" i="7" s="1"/>
  <c r="D502" i="7"/>
  <c r="E502" i="7" s="1"/>
  <c r="D523" i="7"/>
  <c r="E523" i="7" s="1"/>
  <c r="D554" i="7"/>
  <c r="E554" i="7" s="1"/>
  <c r="D582" i="7"/>
  <c r="E582" i="7" s="1"/>
  <c r="D616" i="7"/>
  <c r="E616" i="7" s="1"/>
  <c r="D646" i="7"/>
  <c r="E646" i="7" s="1"/>
  <c r="D733" i="7"/>
  <c r="E733" i="7" s="1"/>
  <c r="D598" i="7"/>
  <c r="E598" i="7" s="1"/>
  <c r="D599" i="7"/>
  <c r="E599" i="7" s="1"/>
  <c r="D779" i="7"/>
  <c r="E779" i="7" s="1"/>
  <c r="D132" i="7"/>
  <c r="E132" i="7" s="1"/>
  <c r="D138" i="7"/>
  <c r="E138" i="7" s="1"/>
  <c r="D447" i="7"/>
  <c r="D744" i="7"/>
  <c r="E744" i="7" s="1"/>
  <c r="D543" i="7"/>
  <c r="E543" i="7" s="1"/>
  <c r="D615" i="7"/>
  <c r="E615" i="7" s="1"/>
  <c r="D648" i="7"/>
  <c r="E648" i="7" s="1"/>
  <c r="D8" i="7"/>
  <c r="E8" i="7" s="1"/>
  <c r="D264" i="7"/>
  <c r="E264" i="7" s="1"/>
  <c r="D292" i="7"/>
  <c r="E292" i="7" s="1"/>
  <c r="D326" i="7"/>
  <c r="E326" i="7" s="1"/>
  <c r="D333" i="7"/>
  <c r="E333" i="7" s="1"/>
  <c r="D348" i="7"/>
  <c r="E348" i="7" s="1"/>
  <c r="D373" i="7"/>
  <c r="E373" i="7" s="1"/>
  <c r="D128" i="7"/>
  <c r="E128" i="7" s="1"/>
  <c r="D129" i="7"/>
  <c r="E129" i="7" s="1"/>
  <c r="D149" i="7"/>
  <c r="E149" i="7" s="1"/>
  <c r="D444" i="7"/>
  <c r="E444" i="7" s="1"/>
  <c r="D493" i="7"/>
  <c r="E493" i="7" s="1"/>
  <c r="D197" i="7"/>
  <c r="E197" i="7" s="1"/>
  <c r="D764" i="7"/>
  <c r="E764" i="7" s="1"/>
  <c r="D212" i="7"/>
  <c r="E212" i="7" s="1"/>
  <c r="D564" i="7"/>
  <c r="E564" i="7" s="1"/>
  <c r="D565" i="7"/>
  <c r="E565" i="7" s="1"/>
  <c r="D635" i="7"/>
  <c r="E635" i="7" s="1"/>
  <c r="D16" i="7"/>
  <c r="E16" i="7" s="1"/>
  <c r="D278" i="7"/>
  <c r="E278" i="7" s="1"/>
  <c r="D279" i="7"/>
  <c r="E279" i="7" s="1"/>
  <c r="D340" i="7"/>
  <c r="E340" i="7" s="1"/>
  <c r="D679" i="7"/>
  <c r="E679" i="7" s="1"/>
  <c r="D452" i="7"/>
  <c r="E452" i="7" s="1"/>
  <c r="D454" i="7"/>
  <c r="E454" i="7" s="1"/>
  <c r="D766" i="7"/>
  <c r="E766" i="7" s="1"/>
  <c r="D211" i="7"/>
  <c r="E211" i="7" s="1"/>
  <c r="D219" i="7"/>
  <c r="D608" i="7"/>
  <c r="E608" i="7" s="1"/>
  <c r="D577" i="7"/>
  <c r="E577" i="7" s="1"/>
  <c r="D337" i="7"/>
  <c r="E337" i="7" s="1"/>
  <c r="D339" i="7"/>
  <c r="E339" i="7" s="1"/>
  <c r="D357" i="7"/>
  <c r="E357" i="7" s="1"/>
  <c r="D361" i="7"/>
  <c r="E361" i="7" s="1"/>
  <c r="D667" i="7"/>
  <c r="E667" i="7" s="1"/>
  <c r="D669" i="7"/>
  <c r="E669" i="7" s="1"/>
  <c r="D434" i="7"/>
  <c r="E434" i="7" s="1"/>
  <c r="D145" i="7"/>
  <c r="D464" i="7"/>
  <c r="E464" i="7" s="1"/>
  <c r="D578" i="7"/>
  <c r="E578" i="7" s="1"/>
  <c r="D13" i="7"/>
  <c r="E13" i="7" s="1"/>
  <c r="D234" i="7"/>
  <c r="E234" i="7" s="1"/>
  <c r="D238" i="7"/>
  <c r="E238" i="7" s="1"/>
  <c r="D296" i="7"/>
  <c r="E296" i="7" s="1"/>
  <c r="D323" i="7"/>
  <c r="E323" i="7" s="1"/>
  <c r="D322" i="7"/>
  <c r="E322" i="7" s="1"/>
  <c r="D345" i="7"/>
  <c r="E345" i="7" s="1"/>
  <c r="D349" i="7"/>
  <c r="E349" i="7" s="1"/>
  <c r="D359" i="7"/>
  <c r="E359" i="7" s="1"/>
  <c r="D370" i="7"/>
  <c r="E370" i="7" s="1"/>
  <c r="D383" i="7"/>
  <c r="E383" i="7" s="1"/>
  <c r="D677" i="7"/>
  <c r="E677" i="7" s="1"/>
  <c r="D56" i="7"/>
  <c r="E56" i="7" s="1"/>
  <c r="D99" i="7"/>
  <c r="E99" i="7" s="1"/>
  <c r="D108" i="7"/>
  <c r="E108" i="7" s="1"/>
  <c r="D116" i="7"/>
  <c r="E116" i="7" s="1"/>
  <c r="D715" i="7"/>
  <c r="E715" i="7" s="1"/>
  <c r="D245" i="7"/>
  <c r="E245" i="7" s="1"/>
  <c r="D140" i="7"/>
  <c r="E140" i="7" s="1"/>
  <c r="D144" i="7"/>
  <c r="D465" i="7"/>
  <c r="E465" i="7" s="1"/>
  <c r="D181" i="7"/>
  <c r="E181" i="7" s="1"/>
  <c r="D496" i="7"/>
  <c r="E496" i="7" s="1"/>
  <c r="D485" i="7"/>
  <c r="E485" i="7" s="1"/>
  <c r="D768" i="7"/>
  <c r="E768" i="7" s="1"/>
  <c r="D567" i="7"/>
  <c r="E567" i="7" s="1"/>
  <c r="D775" i="7"/>
  <c r="E775" i="7" s="1"/>
  <c r="D4" i="7"/>
  <c r="D38" i="7"/>
  <c r="E38" i="7" s="1"/>
  <c r="D272" i="7"/>
  <c r="E272" i="7" s="1"/>
  <c r="D45" i="7"/>
  <c r="D280" i="7"/>
  <c r="E280" i="7" s="1"/>
  <c r="D314" i="7"/>
  <c r="E314" i="7" s="1"/>
  <c r="D331" i="7"/>
  <c r="E331" i="7" s="1"/>
  <c r="D318" i="7"/>
  <c r="E318" i="7" s="1"/>
  <c r="D353" i="7"/>
  <c r="E353" i="7" s="1"/>
  <c r="D662" i="7"/>
  <c r="E662" i="7" s="1"/>
  <c r="D382" i="7"/>
  <c r="D791" i="7"/>
  <c r="E791" i="7" s="1"/>
  <c r="D732" i="7"/>
  <c r="E732" i="7" s="1"/>
  <c r="D163" i="7"/>
  <c r="E163" i="7" s="1"/>
  <c r="D164" i="7"/>
  <c r="D165" i="7"/>
  <c r="D189" i="7"/>
  <c r="D506" i="7"/>
  <c r="D747" i="7"/>
  <c r="E747" i="7" s="1"/>
  <c r="D542" i="7"/>
  <c r="E542" i="7" s="1"/>
  <c r="D602" i="7"/>
  <c r="E602" i="7" s="1"/>
  <c r="D629" i="7"/>
  <c r="E629" i="7" s="1"/>
  <c r="D48" i="7"/>
  <c r="E48" i="7" s="1"/>
  <c r="D289" i="7"/>
  <c r="E289" i="7" s="1"/>
  <c r="D328" i="7"/>
  <c r="E328" i="7" s="1"/>
  <c r="D350" i="7"/>
  <c r="E350" i="7" s="1"/>
  <c r="D797" i="7"/>
  <c r="E797" i="7" s="1"/>
  <c r="D720" i="7"/>
  <c r="E720" i="7" s="1"/>
  <c r="D734" i="7"/>
  <c r="E734" i="7" s="1"/>
  <c r="D459" i="7"/>
  <c r="E459" i="7" s="1"/>
  <c r="D479" i="7"/>
  <c r="E479" i="7" s="1"/>
  <c r="D456" i="7"/>
  <c r="D191" i="7"/>
  <c r="E191" i="7" s="1"/>
  <c r="D752" i="7"/>
  <c r="E752" i="7" s="1"/>
  <c r="D518" i="7"/>
  <c r="D512" i="7"/>
  <c r="E512" i="7" s="1"/>
  <c r="D216" i="7"/>
  <c r="E216" i="7" s="1"/>
  <c r="D538" i="7"/>
  <c r="E538" i="7" s="1"/>
  <c r="D585" i="7"/>
  <c r="E585" i="7" s="1"/>
  <c r="D627" i="7"/>
  <c r="E627" i="7" s="1"/>
  <c r="D645" i="7"/>
  <c r="E645" i="7" s="1"/>
  <c r="D300" i="7"/>
  <c r="E300" i="7" s="1"/>
  <c r="D306" i="7"/>
  <c r="E306" i="7" s="1"/>
  <c r="D680" i="7"/>
  <c r="E680" i="7" s="1"/>
  <c r="D794" i="7"/>
  <c r="E794" i="7" s="1"/>
  <c r="D798" i="7"/>
  <c r="E798" i="7" s="1"/>
  <c r="D404" i="7"/>
  <c r="D688" i="7"/>
  <c r="E688" i="7" s="1"/>
  <c r="D416" i="7"/>
  <c r="D121" i="7"/>
  <c r="E121" i="7" s="1"/>
  <c r="D718" i="7"/>
  <c r="E718" i="7" s="1"/>
  <c r="D440" i="7"/>
  <c r="E440" i="7" s="1"/>
  <c r="D161" i="7"/>
  <c r="E161" i="7" s="1"/>
  <c r="D443" i="7"/>
  <c r="E443" i="7" s="1"/>
  <c r="D450" i="7"/>
  <c r="D476" i="7"/>
  <c r="E476" i="7" s="1"/>
  <c r="D458" i="7"/>
  <c r="E458" i="7" s="1"/>
  <c r="D516" i="7"/>
  <c r="E516" i="7" s="1"/>
  <c r="D218" i="7"/>
  <c r="D544" i="7"/>
  <c r="E544" i="7" s="1"/>
  <c r="D569" i="7"/>
  <c r="E569" i="7" s="1"/>
  <c r="D555" i="7"/>
  <c r="E555" i="7" s="1"/>
  <c r="D556" i="7"/>
  <c r="E556" i="7" s="1"/>
  <c r="D584" i="7"/>
  <c r="E584" i="7" s="1"/>
  <c r="D643" i="7"/>
  <c r="E643" i="7" s="1"/>
  <c r="D28" i="7"/>
  <c r="D258" i="7"/>
  <c r="E258" i="7" s="1"/>
  <c r="D274" i="7"/>
  <c r="E274" i="7" s="1"/>
  <c r="D5" i="7"/>
  <c r="D50" i="7"/>
  <c r="E50" i="7" s="1"/>
  <c r="D654" i="7"/>
  <c r="E654" i="7" s="1"/>
  <c r="D282" i="7"/>
  <c r="E282" i="7" s="1"/>
  <c r="D307" i="7"/>
  <c r="E307" i="7" s="1"/>
  <c r="D301" i="7"/>
  <c r="E301" i="7" s="1"/>
  <c r="D324" i="7"/>
  <c r="E324" i="7" s="1"/>
  <c r="D330" i="7"/>
  <c r="E330" i="7" s="1"/>
  <c r="D332" i="7"/>
  <c r="E332" i="7" s="1"/>
  <c r="D335" i="7"/>
  <c r="E335" i="7" s="1"/>
  <c r="D351" i="7"/>
  <c r="E351" i="7" s="1"/>
  <c r="D659" i="7"/>
  <c r="E659" i="7" s="1"/>
  <c r="D661" i="7"/>
  <c r="E661" i="7" s="1"/>
  <c r="D360" i="7"/>
  <c r="E360" i="7" s="1"/>
  <c r="D367" i="7"/>
  <c r="E367" i="7" s="1"/>
  <c r="D368" i="7"/>
  <c r="E368" i="7" s="1"/>
  <c r="D381" i="7"/>
  <c r="E381" i="7" s="1"/>
  <c r="D55" i="7"/>
  <c r="E55" i="7" s="1"/>
  <c r="D682" i="7"/>
  <c r="E682" i="7" s="1"/>
  <c r="D799" i="7"/>
  <c r="E799" i="7" s="1"/>
  <c r="D405" i="7"/>
  <c r="D689" i="7"/>
  <c r="E689" i="7" s="1"/>
  <c r="D413" i="7"/>
  <c r="E413" i="7" s="1"/>
  <c r="D690" i="7"/>
  <c r="E690" i="7" s="1"/>
  <c r="D59" i="7"/>
  <c r="E59" i="7" s="1"/>
  <c r="D68" i="7"/>
  <c r="E68" i="7" s="1"/>
  <c r="D76" i="7"/>
  <c r="D699" i="7"/>
  <c r="E699" i="7" s="1"/>
  <c r="D426" i="7"/>
  <c r="E426" i="7" s="1"/>
  <c r="D87" i="7"/>
  <c r="E87" i="7" s="1"/>
  <c r="D95" i="7"/>
  <c r="D135" i="7"/>
  <c r="E135" i="7" s="1"/>
  <c r="D729" i="7"/>
  <c r="E729" i="7" s="1"/>
  <c r="D27" i="7"/>
  <c r="E27" i="7" s="1"/>
  <c r="D312" i="7"/>
  <c r="E312" i="7" s="1"/>
  <c r="D11" i="7"/>
  <c r="E11" i="7" s="1"/>
  <c r="D236" i="7"/>
  <c r="E236" i="7" s="1"/>
  <c r="D650" i="7"/>
  <c r="E650" i="7" s="1"/>
  <c r="D256" i="7"/>
  <c r="E256" i="7" s="1"/>
  <c r="D25" i="7"/>
  <c r="E25" i="7" s="1"/>
  <c r="D30" i="7"/>
  <c r="E30" i="7" s="1"/>
  <c r="D651" i="7"/>
  <c r="E651" i="7" s="1"/>
  <c r="D32" i="7"/>
  <c r="E32" i="7" s="1"/>
  <c r="D262" i="7"/>
  <c r="E262" i="7" s="1"/>
  <c r="D35" i="7"/>
  <c r="E35" i="7" s="1"/>
  <c r="D281" i="7"/>
  <c r="E281" i="7" s="1"/>
  <c r="D291" i="7"/>
  <c r="E291" i="7" s="1"/>
  <c r="D297" i="7"/>
  <c r="E297" i="7" s="1"/>
  <c r="D299" i="7"/>
  <c r="E299" i="7" s="1"/>
  <c r="D284" i="7"/>
  <c r="E284" i="7" s="1"/>
  <c r="D329" i="7"/>
  <c r="E329" i="7" s="1"/>
  <c r="D334" i="7"/>
  <c r="E334" i="7" s="1"/>
  <c r="D658" i="7"/>
  <c r="E658" i="7" s="1"/>
  <c r="D352" i="7"/>
  <c r="E352" i="7" s="1"/>
  <c r="D355" i="7"/>
  <c r="E355" i="7" s="1"/>
  <c r="D663" i="7"/>
  <c r="E663" i="7" s="1"/>
  <c r="D665" i="7"/>
  <c r="E665" i="7" s="1"/>
  <c r="D365" i="7"/>
  <c r="D384" i="7"/>
  <c r="E384" i="7" s="1"/>
  <c r="D385" i="7"/>
  <c r="E385" i="7" s="1"/>
  <c r="D54" i="7"/>
  <c r="E54" i="7" s="1"/>
  <c r="D395" i="7"/>
  <c r="D396" i="7"/>
  <c r="E396" i="7" s="1"/>
  <c r="D190" i="7"/>
  <c r="E190" i="7" s="1"/>
  <c r="D605" i="7"/>
  <c r="E605" i="7" s="1"/>
  <c r="D235" i="7"/>
  <c r="E235" i="7" s="1"/>
  <c r="D649" i="7"/>
  <c r="E649" i="7" s="1"/>
  <c r="D24" i="7"/>
  <c r="E24" i="7" s="1"/>
  <c r="D259" i="7"/>
  <c r="E259" i="7" s="1"/>
  <c r="D34" i="7"/>
  <c r="E34" i="7" s="1"/>
  <c r="D36" i="7"/>
  <c r="D267" i="7"/>
  <c r="E267" i="7" s="1"/>
  <c r="D268" i="7"/>
  <c r="E268" i="7" s="1"/>
  <c r="D39" i="7"/>
  <c r="D42" i="7"/>
  <c r="D273" i="7"/>
  <c r="E273" i="7" s="1"/>
  <c r="D295" i="7"/>
  <c r="E295" i="7" s="1"/>
  <c r="D285" i="7"/>
  <c r="E285" i="7" s="1"/>
  <c r="D313" i="7"/>
  <c r="D305" i="7"/>
  <c r="E305" i="7" s="1"/>
  <c r="D327" i="7"/>
  <c r="E327" i="7" s="1"/>
  <c r="D321" i="7"/>
  <c r="E321" i="7" s="1"/>
  <c r="D656" i="7"/>
  <c r="E656" i="7" s="1"/>
  <c r="D354" i="7"/>
  <c r="E354" i="7" s="1"/>
  <c r="D666" i="7"/>
  <c r="E666" i="7" s="1"/>
  <c r="D363" i="7"/>
  <c r="D364" i="7"/>
  <c r="D672" i="7"/>
  <c r="E672" i="7" s="1"/>
  <c r="D378" i="7"/>
  <c r="D391" i="7"/>
  <c r="E391" i="7" s="1"/>
  <c r="D53" i="7"/>
  <c r="E53" i="7" s="1"/>
  <c r="D796" i="7"/>
  <c r="E796" i="7" s="1"/>
  <c r="D399" i="7"/>
  <c r="D400" i="7"/>
  <c r="E400" i="7" s="1"/>
  <c r="D417" i="7"/>
  <c r="D419" i="7"/>
  <c r="D58" i="7"/>
  <c r="E58" i="7" s="1"/>
  <c r="D63" i="7"/>
  <c r="E63" i="7" s="1"/>
  <c r="D10" i="7"/>
  <c r="E10" i="7" s="1"/>
  <c r="D7" i="7"/>
  <c r="E7" i="7" s="1"/>
  <c r="D15" i="7"/>
  <c r="E15" i="7" s="1"/>
  <c r="D21" i="7"/>
  <c r="E21" i="7" s="1"/>
  <c r="D26" i="7"/>
  <c r="E26" i="7" s="1"/>
  <c r="D652" i="7"/>
  <c r="E652" i="7" s="1"/>
  <c r="D33" i="7"/>
  <c r="D261" i="7"/>
  <c r="E261" i="7" s="1"/>
  <c r="D269" i="7"/>
  <c r="E269" i="7" s="1"/>
  <c r="D41" i="7"/>
  <c r="E41" i="7" s="1"/>
  <c r="D43" i="7"/>
  <c r="D276" i="7"/>
  <c r="E276" i="7" s="1"/>
  <c r="D47" i="7"/>
  <c r="E47" i="7" s="1"/>
  <c r="D294" i="7"/>
  <c r="E294" i="7" s="1"/>
  <c r="D288" i="7"/>
  <c r="E288" i="7" s="1"/>
  <c r="D320" i="7"/>
  <c r="E320" i="7" s="1"/>
  <c r="D338" i="7"/>
  <c r="E338" i="7" s="1"/>
  <c r="D344" i="7"/>
  <c r="E344" i="7" s="1"/>
  <c r="D316" i="7"/>
  <c r="E316" i="7" s="1"/>
  <c r="D660" i="7"/>
  <c r="E660" i="7" s="1"/>
  <c r="D358" i="7"/>
  <c r="E358" i="7" s="1"/>
  <c r="D670" i="7"/>
  <c r="E670" i="7" s="1"/>
  <c r="D369" i="7"/>
  <c r="E369" i="7" s="1"/>
  <c r="D371" i="7"/>
  <c r="E371" i="7" s="1"/>
  <c r="D372" i="7"/>
  <c r="E372" i="7" s="1"/>
  <c r="D388" i="7"/>
  <c r="E388" i="7" s="1"/>
  <c r="D684" i="7"/>
  <c r="E684" i="7" s="1"/>
  <c r="D407" i="7"/>
  <c r="D410" i="7"/>
  <c r="E410" i="7" s="1"/>
  <c r="D409" i="7"/>
  <c r="D401" i="7"/>
  <c r="E401" i="7" s="1"/>
  <c r="D415" i="7"/>
  <c r="D411" i="7"/>
  <c r="E411" i="7" s="1"/>
  <c r="D692" i="7"/>
  <c r="E692" i="7" s="1"/>
  <c r="D57" i="7"/>
  <c r="E57" i="7" s="1"/>
  <c r="D241" i="7"/>
  <c r="E241" i="7" s="1"/>
  <c r="D490" i="7"/>
  <c r="D749" i="7"/>
  <c r="E749" i="7" s="1"/>
  <c r="D757" i="7"/>
  <c r="D587" i="7"/>
  <c r="E587" i="7" s="1"/>
  <c r="D14" i="7"/>
  <c r="E14" i="7" s="1"/>
  <c r="D239" i="7"/>
  <c r="E239" i="7" s="1"/>
  <c r="D17" i="7"/>
  <c r="D20" i="7"/>
  <c r="E20" i="7" s="1"/>
  <c r="D257" i="7"/>
  <c r="E257" i="7" s="1"/>
  <c r="D304" i="7"/>
  <c r="E304" i="7" s="1"/>
  <c r="D315" i="7"/>
  <c r="E315" i="7" s="1"/>
  <c r="D343" i="7"/>
  <c r="E343" i="7" s="1"/>
  <c r="D664" i="7"/>
  <c r="E664" i="7" s="1"/>
  <c r="D674" i="7"/>
  <c r="E674" i="7" s="1"/>
  <c r="D374" i="7"/>
  <c r="D376" i="7"/>
  <c r="D379" i="7"/>
  <c r="E379" i="7" s="1"/>
  <c r="D390" i="7"/>
  <c r="E390" i="7" s="1"/>
  <c r="D392" i="7"/>
  <c r="E392" i="7" s="1"/>
  <c r="D795" i="7"/>
  <c r="E795" i="7" s="1"/>
  <c r="D398" i="7"/>
  <c r="E398" i="7" s="1"/>
  <c r="D403" i="7"/>
  <c r="E403" i="7" s="1"/>
  <c r="D687" i="7"/>
  <c r="E687" i="7" s="1"/>
  <c r="D421" i="7"/>
  <c r="E421" i="7" s="1"/>
  <c r="D412" i="7"/>
  <c r="E412" i="7" s="1"/>
  <c r="D61" i="7"/>
  <c r="E61" i="7" s="1"/>
  <c r="D70" i="7"/>
  <c r="E70" i="7" s="1"/>
  <c r="D78" i="7"/>
  <c r="D701" i="7"/>
  <c r="E701" i="7" s="1"/>
  <c r="D80" i="7"/>
  <c r="E80" i="7" s="1"/>
  <c r="D89" i="7"/>
  <c r="E89" i="7" s="1"/>
  <c r="D97" i="7"/>
  <c r="D708" i="7"/>
  <c r="E708" i="7" s="1"/>
  <c r="D480" i="7"/>
  <c r="E480" i="7" s="1"/>
  <c r="D521" i="7"/>
  <c r="E521" i="7" s="1"/>
  <c r="D570" i="7"/>
  <c r="E570" i="7" s="1"/>
  <c r="D594" i="7"/>
  <c r="E594" i="7" s="1"/>
  <c r="D622" i="7"/>
  <c r="E622" i="7" s="1"/>
  <c r="D777" i="7"/>
  <c r="E777" i="7" s="1"/>
  <c r="D6" i="7"/>
  <c r="E6" i="7" s="1"/>
  <c r="D23" i="7"/>
  <c r="D266" i="7"/>
  <c r="E266" i="7" s="1"/>
  <c r="D46" i="7"/>
  <c r="D287" i="7"/>
  <c r="E287" i="7" s="1"/>
  <c r="D310" i="7"/>
  <c r="E310" i="7" s="1"/>
  <c r="D319" i="7"/>
  <c r="E319" i="7" s="1"/>
  <c r="D647" i="7"/>
  <c r="E647" i="7" s="1"/>
  <c r="D240" i="7"/>
  <c r="E240" i="7" s="1"/>
  <c r="D29" i="7"/>
  <c r="D260" i="7"/>
  <c r="E260" i="7" s="1"/>
  <c r="D265" i="7"/>
  <c r="E265" i="7" s="1"/>
  <c r="D37" i="7"/>
  <c r="D653" i="7"/>
  <c r="E653" i="7" s="1"/>
  <c r="D787" i="7"/>
  <c r="E787" i="7" s="1"/>
  <c r="D286" i="7"/>
  <c r="E286" i="7" s="1"/>
  <c r="D309" i="7"/>
  <c r="E309" i="7" s="1"/>
  <c r="D283" i="7"/>
  <c r="E283" i="7" s="1"/>
  <c r="D303" i="7"/>
  <c r="E303" i="7" s="1"/>
  <c r="D325" i="7"/>
  <c r="E325" i="7" s="1"/>
  <c r="D342" i="7"/>
  <c r="E342" i="7" s="1"/>
  <c r="D346" i="7"/>
  <c r="E346" i="7" s="1"/>
  <c r="D347" i="7"/>
  <c r="E347" i="7" s="1"/>
  <c r="D655" i="7"/>
  <c r="E655" i="7" s="1"/>
  <c r="D657" i="7"/>
  <c r="E657" i="7" s="1"/>
  <c r="D668" i="7"/>
  <c r="E668" i="7" s="1"/>
  <c r="D362" i="7"/>
  <c r="E362" i="7" s="1"/>
  <c r="D375" i="7"/>
  <c r="E375" i="7" s="1"/>
  <c r="D387" i="7"/>
  <c r="E387" i="7" s="1"/>
  <c r="D51" i="7"/>
  <c r="E51" i="7" s="1"/>
  <c r="D52" i="7"/>
  <c r="E52" i="7" s="1"/>
  <c r="D678" i="7"/>
  <c r="E678" i="7" s="1"/>
  <c r="D394" i="7"/>
  <c r="E394" i="7" s="1"/>
  <c r="D685" i="7"/>
  <c r="E685" i="7" s="1"/>
  <c r="D406" i="7"/>
  <c r="D402" i="7"/>
  <c r="E402" i="7" s="1"/>
  <c r="D408" i="7"/>
  <c r="D686" i="7"/>
  <c r="E686" i="7" s="1"/>
  <c r="D722" i="7"/>
  <c r="E722" i="7" s="1"/>
  <c r="D193" i="7"/>
  <c r="E193" i="7" s="1"/>
  <c r="D529" i="7"/>
  <c r="E529" i="7" s="1"/>
  <c r="D12" i="7"/>
  <c r="E12" i="7" s="1"/>
  <c r="D237" i="7"/>
  <c r="E237" i="7" s="1"/>
  <c r="D308" i="7"/>
  <c r="E308" i="7" s="1"/>
  <c r="D302" i="7"/>
  <c r="E302" i="7" s="1"/>
  <c r="D341" i="7"/>
  <c r="E341" i="7" s="1"/>
  <c r="D336" i="7"/>
  <c r="E336" i="7" s="1"/>
  <c r="D356" i="7"/>
  <c r="E356" i="7" s="1"/>
  <c r="D673" i="7"/>
  <c r="E673" i="7" s="1"/>
  <c r="D366" i="7"/>
  <c r="D386" i="7"/>
  <c r="E386" i="7" s="1"/>
  <c r="D380" i="7"/>
  <c r="D675" i="7"/>
  <c r="E675" i="7" s="1"/>
  <c r="D790" i="7"/>
  <c r="E790" i="7" s="1"/>
  <c r="D681" i="7"/>
  <c r="E681" i="7" s="1"/>
  <c r="D166" i="7"/>
  <c r="E166" i="7" s="1"/>
  <c r="D205" i="7"/>
  <c r="E205" i="7" s="1"/>
  <c r="D206" i="7"/>
  <c r="E206" i="7" s="1"/>
  <c r="D562" i="7"/>
  <c r="E562" i="7" s="1"/>
  <c r="D575" i="7"/>
  <c r="E575" i="7" s="1"/>
  <c r="D592" i="7"/>
  <c r="E592" i="7" s="1"/>
  <c r="D706" i="7"/>
  <c r="E706" i="7" s="1"/>
  <c r="D243" i="7"/>
  <c r="E243" i="7" s="1"/>
  <c r="D105" i="7"/>
  <c r="D114" i="7"/>
  <c r="E114" i="7" s="1"/>
  <c r="D713" i="7"/>
  <c r="E713" i="7" s="1"/>
  <c r="D126" i="7"/>
  <c r="E126" i="7" s="1"/>
  <c r="D437" i="7"/>
  <c r="E437" i="7" s="1"/>
  <c r="D726" i="7"/>
  <c r="E726" i="7" s="1"/>
  <c r="D173" i="7"/>
  <c r="E173" i="7" s="1"/>
  <c r="D184" i="7"/>
  <c r="E184" i="7" s="1"/>
  <c r="D509" i="7"/>
  <c r="D520" i="7"/>
  <c r="E520" i="7" s="1"/>
  <c r="D515" i="7"/>
  <c r="E515" i="7" s="1"/>
  <c r="D499" i="7"/>
  <c r="D196" i="7"/>
  <c r="E196" i="7" s="1"/>
  <c r="D525" i="7"/>
  <c r="E525" i="7" s="1"/>
  <c r="D201" i="7"/>
  <c r="E201" i="7" s="1"/>
  <c r="D213" i="7"/>
  <c r="E213" i="7" s="1"/>
  <c r="D530" i="7"/>
  <c r="D534" i="7"/>
  <c r="E534" i="7" s="1"/>
  <c r="D546" i="7"/>
  <c r="E546" i="7" s="1"/>
  <c r="D563" i="7"/>
  <c r="E563" i="7" s="1"/>
  <c r="D539" i="7"/>
  <c r="E539" i="7" s="1"/>
  <c r="D553" i="7"/>
  <c r="E553" i="7" s="1"/>
  <c r="D571" i="7"/>
  <c r="E571" i="7" s="1"/>
  <c r="D586" i="7"/>
  <c r="E586" i="7" s="1"/>
  <c r="D597" i="7"/>
  <c r="E597" i="7" s="1"/>
  <c r="D603" i="7"/>
  <c r="E603" i="7" s="1"/>
  <c r="D771" i="7"/>
  <c r="E771" i="7" s="1"/>
  <c r="D772" i="7"/>
  <c r="E772" i="7" s="1"/>
  <c r="D632" i="7"/>
  <c r="E632" i="7" s="1"/>
  <c r="D780" i="7"/>
  <c r="E780" i="7" s="1"/>
  <c r="D637" i="7"/>
  <c r="E637" i="7" s="1"/>
  <c r="D640" i="7"/>
  <c r="E640" i="7" s="1"/>
  <c r="D783" i="7"/>
  <c r="E783" i="7" s="1"/>
  <c r="D125" i="7"/>
  <c r="D137" i="7"/>
  <c r="E137" i="7" s="1"/>
  <c r="D719" i="7"/>
  <c r="E719" i="7" s="1"/>
  <c r="D435" i="7"/>
  <c r="E435" i="7" s="1"/>
  <c r="D143" i="7"/>
  <c r="E143" i="7" s="1"/>
  <c r="D155" i="7"/>
  <c r="E155" i="7" s="1"/>
  <c r="D156" i="7"/>
  <c r="E156" i="7" s="1"/>
  <c r="D439" i="7"/>
  <c r="E439" i="7" s="1"/>
  <c r="D170" i="7"/>
  <c r="E170" i="7" s="1"/>
  <c r="D178" i="7"/>
  <c r="D737" i="7"/>
  <c r="E737" i="7" s="1"/>
  <c r="D462" i="7"/>
  <c r="E462" i="7" s="1"/>
  <c r="D449" i="7"/>
  <c r="E449" i="7" s="1"/>
  <c r="D495" i="7"/>
  <c r="D185" i="7"/>
  <c r="E185" i="7" s="1"/>
  <c r="D488" i="7"/>
  <c r="E488" i="7" s="1"/>
  <c r="D202" i="7"/>
  <c r="E202" i="7" s="1"/>
  <c r="D252" i="7"/>
  <c r="E252" i="7" s="1"/>
  <c r="D210" i="7"/>
  <c r="E210" i="7" s="1"/>
  <c r="D547" i="7"/>
  <c r="E547" i="7" s="1"/>
  <c r="D541" i="7"/>
  <c r="E541" i="7" s="1"/>
  <c r="D574" i="7"/>
  <c r="E574" i="7" s="1"/>
  <c r="D601" i="7"/>
  <c r="E601" i="7" s="1"/>
  <c r="D232" i="7"/>
  <c r="E232" i="7" s="1"/>
  <c r="D644" i="7"/>
  <c r="E644" i="7" s="1"/>
  <c r="D693" i="7"/>
  <c r="E693" i="7" s="1"/>
  <c r="D422" i="7"/>
  <c r="E422" i="7" s="1"/>
  <c r="D67" i="7"/>
  <c r="E67" i="7" s="1"/>
  <c r="D75" i="7"/>
  <c r="D698" i="7"/>
  <c r="E698" i="7" s="1"/>
  <c r="D242" i="7"/>
  <c r="E242" i="7" s="1"/>
  <c r="D85" i="7"/>
  <c r="D94" i="7"/>
  <c r="E94" i="7" s="1"/>
  <c r="D705" i="7"/>
  <c r="E705" i="7" s="1"/>
  <c r="D106" i="7"/>
  <c r="E106" i="7" s="1"/>
  <c r="D104" i="7"/>
  <c r="D113" i="7"/>
  <c r="E113" i="7" s="1"/>
  <c r="D712" i="7"/>
  <c r="E712" i="7" s="1"/>
  <c r="D433" i="7"/>
  <c r="E433" i="7" s="1"/>
  <c r="D136" i="7"/>
  <c r="E136" i="7" s="1"/>
  <c r="D436" i="7"/>
  <c r="E436" i="7" s="1"/>
  <c r="D153" i="7"/>
  <c r="E153" i="7" s="1"/>
  <c r="D731" i="7"/>
  <c r="E731" i="7" s="1"/>
  <c r="D162" i="7"/>
  <c r="E162" i="7" s="1"/>
  <c r="D172" i="7"/>
  <c r="E172" i="7" s="1"/>
  <c r="D177" i="7"/>
  <c r="E177" i="7" s="1"/>
  <c r="D461" i="7"/>
  <c r="E461" i="7" s="1"/>
  <c r="D463" i="7"/>
  <c r="D483" i="7"/>
  <c r="D508" i="7"/>
  <c r="D750" i="7"/>
  <c r="E750" i="7" s="1"/>
  <c r="D745" i="7"/>
  <c r="D500" i="7"/>
  <c r="E500" i="7" s="1"/>
  <c r="D198" i="7"/>
  <c r="E198" i="7" s="1"/>
  <c r="D250" i="7"/>
  <c r="E250" i="7" s="1"/>
  <c r="D524" i="7"/>
  <c r="E524" i="7" s="1"/>
  <c r="D537" i="7"/>
  <c r="E537" i="7" s="1"/>
  <c r="D591" i="7"/>
  <c r="E591" i="7" s="1"/>
  <c r="D800" i="7"/>
  <c r="E800" i="7" s="1"/>
  <c r="D617" i="7"/>
  <c r="E617" i="7" s="1"/>
  <c r="D223" i="7"/>
  <c r="D619" i="7"/>
  <c r="E619" i="7" s="1"/>
  <c r="D621" i="7"/>
  <c r="E621" i="7" s="1"/>
  <c r="D630" i="7"/>
  <c r="E630" i="7" s="1"/>
  <c r="D778" i="7"/>
  <c r="E778" i="7" s="1"/>
  <c r="D634" i="7"/>
  <c r="E634" i="7" s="1"/>
  <c r="D229" i="7"/>
  <c r="E229" i="7" s="1"/>
  <c r="D781" i="7"/>
  <c r="E781" i="7" s="1"/>
  <c r="D72" i="7"/>
  <c r="E72" i="7" s="1"/>
  <c r="D695" i="7"/>
  <c r="E695" i="7" s="1"/>
  <c r="D424" i="7"/>
  <c r="E424" i="7" s="1"/>
  <c r="D82" i="7"/>
  <c r="E82" i="7" s="1"/>
  <c r="D91" i="7"/>
  <c r="E91" i="7" s="1"/>
  <c r="D702" i="7"/>
  <c r="E702" i="7" s="1"/>
  <c r="D427" i="7"/>
  <c r="E427" i="7" s="1"/>
  <c r="D101" i="7"/>
  <c r="E101" i="7" s="1"/>
  <c r="D110" i="7"/>
  <c r="E110" i="7" s="1"/>
  <c r="D118" i="7"/>
  <c r="E118" i="7" s="1"/>
  <c r="D717" i="7"/>
  <c r="E717" i="7" s="1"/>
  <c r="D124" i="7"/>
  <c r="D130" i="7"/>
  <c r="E130" i="7" s="1"/>
  <c r="D134" i="7"/>
  <c r="E134" i="7" s="1"/>
  <c r="D724" i="7"/>
  <c r="E724" i="7" s="1"/>
  <c r="D142" i="7"/>
  <c r="E142" i="7" s="1"/>
  <c r="D730" i="7"/>
  <c r="E730" i="7" s="1"/>
  <c r="D442" i="7"/>
  <c r="E442" i="7" s="1"/>
  <c r="D168" i="7"/>
  <c r="E168" i="7" s="1"/>
  <c r="D736" i="7"/>
  <c r="E736" i="7" s="1"/>
  <c r="D179" i="7"/>
  <c r="D477" i="7"/>
  <c r="E477" i="7" s="1"/>
  <c r="D492" i="7"/>
  <c r="E492" i="7" s="1"/>
  <c r="D248" i="7"/>
  <c r="E248" i="7" s="1"/>
  <c r="D487" i="7"/>
  <c r="E487" i="7" s="1"/>
  <c r="D486" i="7"/>
  <c r="E486" i="7" s="1"/>
  <c r="D505" i="7"/>
  <c r="D753" i="7"/>
  <c r="E753" i="7" s="1"/>
  <c r="D746" i="7"/>
  <c r="E746" i="7" s="1"/>
  <c r="D503" i="7"/>
  <c r="E503" i="7" s="1"/>
  <c r="D195" i="7"/>
  <c r="D765" i="7"/>
  <c r="E765" i="7" s="1"/>
  <c r="D208" i="7"/>
  <c r="E208" i="7" s="1"/>
  <c r="D526" i="7"/>
  <c r="E526" i="7" s="1"/>
  <c r="D527" i="7"/>
  <c r="E527" i="7" s="1"/>
  <c r="D254" i="7"/>
  <c r="E254" i="7" s="1"/>
  <c r="D549" i="7"/>
  <c r="E549" i="7" s="1"/>
  <c r="D540" i="7"/>
  <c r="E540" i="7" s="1"/>
  <c r="D550" i="7"/>
  <c r="E550" i="7" s="1"/>
  <c r="D557" i="7"/>
  <c r="E557" i="7" s="1"/>
  <c r="D561" i="7"/>
  <c r="E561" i="7" s="1"/>
  <c r="D590" i="7"/>
  <c r="E590" i="7" s="1"/>
  <c r="D595" i="7"/>
  <c r="E595" i="7" s="1"/>
  <c r="D613" i="7"/>
  <c r="D626" i="7"/>
  <c r="E626" i="7" s="1"/>
  <c r="D784" i="7"/>
  <c r="E784" i="7" s="1"/>
  <c r="D62" i="7"/>
  <c r="E62" i="7" s="1"/>
  <c r="D65" i="7"/>
  <c r="D71" i="7"/>
  <c r="E71" i="7" s="1"/>
  <c r="D74" i="7"/>
  <c r="E74" i="7" s="1"/>
  <c r="D694" i="7"/>
  <c r="E694" i="7" s="1"/>
  <c r="D697" i="7"/>
  <c r="E697" i="7" s="1"/>
  <c r="D423" i="7"/>
  <c r="E423" i="7" s="1"/>
  <c r="D86" i="7"/>
  <c r="E86" i="7" s="1"/>
  <c r="D81" i="7"/>
  <c r="E81" i="7" s="1"/>
  <c r="D84" i="7"/>
  <c r="D90" i="7"/>
  <c r="E90" i="7" s="1"/>
  <c r="D93" i="7"/>
  <c r="E93" i="7" s="1"/>
  <c r="D98" i="7"/>
  <c r="D704" i="7"/>
  <c r="E704" i="7" s="1"/>
  <c r="D709" i="7"/>
  <c r="E709" i="7" s="1"/>
  <c r="D429" i="7"/>
  <c r="E429" i="7" s="1"/>
  <c r="D100" i="7"/>
  <c r="E100" i="7" s="1"/>
  <c r="D109" i="7"/>
  <c r="E109" i="7" s="1"/>
  <c r="D117" i="7"/>
  <c r="E117" i="7" s="1"/>
  <c r="D716" i="7"/>
  <c r="E716" i="7" s="1"/>
  <c r="D122" i="7"/>
  <c r="E122" i="7" s="1"/>
  <c r="D723" i="7"/>
  <c r="E723" i="7" s="1"/>
  <c r="D139" i="7"/>
  <c r="E139" i="7" s="1"/>
  <c r="D152" i="7"/>
  <c r="E152" i="7" s="1"/>
  <c r="D157" i="7"/>
  <c r="E157" i="7" s="1"/>
  <c r="D728" i="7"/>
  <c r="E728" i="7" s="1"/>
  <c r="D167" i="7"/>
  <c r="E167" i="7" s="1"/>
  <c r="D171" i="7"/>
  <c r="E171" i="7" s="1"/>
  <c r="D474" i="7"/>
  <c r="E474" i="7" s="1"/>
  <c r="D473" i="7"/>
  <c r="E473" i="7" s="1"/>
  <c r="D478" i="7"/>
  <c r="D498" i="7"/>
  <c r="E498" i="7" s="1"/>
  <c r="D247" i="7"/>
  <c r="E247" i="7" s="1"/>
  <c r="D754" i="7"/>
  <c r="E754" i="7" s="1"/>
  <c r="D186" i="7"/>
  <c r="D514" i="7"/>
  <c r="E514" i="7" s="1"/>
  <c r="D762" i="7"/>
  <c r="E762" i="7" s="1"/>
  <c r="D522" i="7"/>
  <c r="E522" i="7" s="1"/>
  <c r="D253" i="7"/>
  <c r="E253" i="7" s="1"/>
  <c r="D255" i="7"/>
  <c r="E255" i="7" s="1"/>
  <c r="D769" i="7"/>
  <c r="E769" i="7" s="1"/>
  <c r="D568" i="7"/>
  <c r="D609" i="7"/>
  <c r="E609" i="7" s="1"/>
  <c r="D611" i="7"/>
  <c r="E611" i="7" s="1"/>
  <c r="D221" i="7"/>
  <c r="D222" i="7"/>
  <c r="D225" i="7"/>
  <c r="E225" i="7" s="1"/>
  <c r="D620" i="7"/>
  <c r="E620" i="7" s="1"/>
  <c r="D226" i="7"/>
  <c r="E226" i="7" s="1"/>
  <c r="D624" i="7"/>
  <c r="E624" i="7" s="1"/>
  <c r="D639" i="7"/>
  <c r="E639" i="7" s="1"/>
  <c r="D228" i="7"/>
  <c r="E228" i="7" s="1"/>
  <c r="D782" i="7"/>
  <c r="E782" i="7" s="1"/>
  <c r="D119" i="7"/>
  <c r="E119" i="7" s="1"/>
  <c r="D120" i="7"/>
  <c r="E120" i="7" s="1"/>
  <c r="D123" i="7"/>
  <c r="E123" i="7" s="1"/>
  <c r="D133" i="7"/>
  <c r="E133" i="7" s="1"/>
  <c r="D721" i="7"/>
  <c r="E721" i="7" s="1"/>
  <c r="D438" i="7"/>
  <c r="E438" i="7" s="1"/>
  <c r="D441" i="7"/>
  <c r="E441" i="7" s="1"/>
  <c r="D246" i="7"/>
  <c r="E246" i="7" s="1"/>
  <c r="D175" i="7"/>
  <c r="E175" i="7" s="1"/>
  <c r="D741" i="7"/>
  <c r="E741" i="7" s="1"/>
  <c r="D470" i="7"/>
  <c r="E470" i="7" s="1"/>
  <c r="D491" i="7"/>
  <c r="E491" i="7" s="1"/>
  <c r="D192" i="7"/>
  <c r="E192" i="7" s="1"/>
  <c r="D756" i="7"/>
  <c r="E756" i="7" s="1"/>
  <c r="D251" i="7"/>
  <c r="E251" i="7" s="1"/>
  <c r="D203" i="7"/>
  <c r="E203" i="7" s="1"/>
  <c r="D767" i="7"/>
  <c r="E767" i="7" s="1"/>
  <c r="D566" i="7"/>
  <c r="E566" i="7" s="1"/>
  <c r="D559" i="7"/>
  <c r="E559" i="7" s="1"/>
  <c r="D572" i="7"/>
  <c r="E572" i="7" s="1"/>
  <c r="D593" i="7"/>
  <c r="E593" i="7" s="1"/>
  <c r="D773" i="7"/>
  <c r="E773" i="7" s="1"/>
  <c r="D628" i="7"/>
  <c r="E628" i="7" s="1"/>
  <c r="D418" i="7"/>
  <c r="D414" i="7"/>
  <c r="E414" i="7" s="1"/>
  <c r="D420" i="7"/>
  <c r="D691" i="7"/>
  <c r="E691" i="7" s="1"/>
  <c r="D66" i="7"/>
  <c r="E66" i="7" s="1"/>
  <c r="D60" i="7"/>
  <c r="E60" i="7" s="1"/>
  <c r="D64" i="7"/>
  <c r="D69" i="7"/>
  <c r="E69" i="7" s="1"/>
  <c r="D73" i="7"/>
  <c r="E73" i="7" s="1"/>
  <c r="D77" i="7"/>
  <c r="D696" i="7"/>
  <c r="E696" i="7" s="1"/>
  <c r="D700" i="7"/>
  <c r="E700" i="7" s="1"/>
  <c r="D425" i="7"/>
  <c r="E425" i="7" s="1"/>
  <c r="D79" i="7"/>
  <c r="E79" i="7" s="1"/>
  <c r="D83" i="7"/>
  <c r="E83" i="7" s="1"/>
  <c r="D88" i="7"/>
  <c r="E88" i="7" s="1"/>
  <c r="D92" i="7"/>
  <c r="E92" i="7" s="1"/>
  <c r="D96" i="7"/>
  <c r="D703" i="7"/>
  <c r="E703" i="7" s="1"/>
  <c r="D707" i="7"/>
  <c r="E707" i="7" s="1"/>
  <c r="D428" i="7"/>
  <c r="E428" i="7" s="1"/>
  <c r="D430" i="7"/>
  <c r="E430" i="7" s="1"/>
  <c r="D102" i="7"/>
  <c r="E102" i="7" s="1"/>
  <c r="D107" i="7"/>
  <c r="E107" i="7" s="1"/>
  <c r="D111" i="7"/>
  <c r="E111" i="7" s="1"/>
  <c r="D115" i="7"/>
  <c r="E115" i="7" s="1"/>
  <c r="D710" i="7"/>
  <c r="E710" i="7" s="1"/>
  <c r="D714" i="7"/>
  <c r="E714" i="7" s="1"/>
  <c r="D431" i="7"/>
  <c r="E431" i="7" s="1"/>
  <c r="D244" i="7"/>
  <c r="E244" i="7" s="1"/>
  <c r="D725" i="7"/>
  <c r="E725" i="7" s="1"/>
  <c r="D146" i="7"/>
  <c r="E146" i="7" s="1"/>
  <c r="D147" i="7"/>
  <c r="E147" i="7" s="1"/>
  <c r="D148" i="7"/>
  <c r="E148" i="7" s="1"/>
  <c r="D151" i="7"/>
  <c r="E151" i="7" s="1"/>
  <c r="D727" i="7"/>
  <c r="E727" i="7" s="1"/>
  <c r="D159" i="7"/>
  <c r="E159" i="7" s="1"/>
  <c r="D174" i="7"/>
  <c r="E174" i="7" s="1"/>
  <c r="D739" i="7"/>
  <c r="E739" i="7" s="1"/>
  <c r="D448" i="7"/>
  <c r="D489" i="7"/>
  <c r="E489" i="7" s="1"/>
  <c r="D482" i="7"/>
  <c r="E482" i="7" s="1"/>
  <c r="D475" i="7"/>
  <c r="D188" i="7"/>
  <c r="E188" i="7" s="1"/>
  <c r="D758" i="7"/>
  <c r="E758" i="7" s="1"/>
  <c r="D759" i="7"/>
  <c r="D761" i="7"/>
  <c r="D194" i="7"/>
  <c r="E194" i="7" s="1"/>
  <c r="D249" i="7"/>
  <c r="E249" i="7" s="1"/>
  <c r="D204" i="7"/>
  <c r="E204" i="7" s="1"/>
  <c r="D199" i="7"/>
  <c r="E199" i="7" s="1"/>
  <c r="D536" i="7"/>
  <c r="E536" i="7" s="1"/>
  <c r="D558" i="7"/>
  <c r="E558" i="7" s="1"/>
  <c r="D573" i="7"/>
  <c r="E573" i="7" s="1"/>
  <c r="D583" i="7"/>
  <c r="E583" i="7" s="1"/>
  <c r="D579" i="7"/>
  <c r="E579" i="7" s="1"/>
  <c r="D576" i="7"/>
  <c r="E576" i="7" s="1"/>
  <c r="D604" i="7"/>
  <c r="E604" i="7" s="1"/>
  <c r="D623" i="7"/>
  <c r="E623" i="7" s="1"/>
  <c r="D625" i="7"/>
  <c r="E625" i="7" s="1"/>
  <c r="D774" i="7"/>
  <c r="E774" i="7" s="1"/>
  <c r="D631" i="7"/>
  <c r="E631" i="7" s="1"/>
  <c r="D227" i="7"/>
  <c r="E227" i="7" s="1"/>
  <c r="D641" i="7"/>
  <c r="E641" i="7" s="1"/>
  <c r="D231" i="7"/>
  <c r="E231" i="7" s="1"/>
  <c r="D3" i="7"/>
  <c r="D19" i="7"/>
  <c r="D49" i="7"/>
  <c r="E49" i="7" s="1"/>
  <c r="D22" i="7"/>
  <c r="E22" i="7" s="1"/>
  <c r="D271" i="7"/>
  <c r="E271" i="7" s="1"/>
  <c r="D270" i="7"/>
  <c r="E270" i="7" s="1"/>
  <c r="D9" i="7"/>
  <c r="E9" i="7" s="1"/>
  <c r="D31" i="7"/>
  <c r="E31" i="7" s="1"/>
  <c r="D40" i="7"/>
  <c r="D44" i="7"/>
  <c r="E44" i="7" s="1"/>
  <c r="D275" i="7"/>
  <c r="E275" i="7" s="1"/>
  <c r="D277" i="7"/>
  <c r="E277" i="7" s="1"/>
  <c r="D393" i="7"/>
  <c r="D112" i="7"/>
  <c r="E112" i="7" s="1"/>
  <c r="D158" i="7"/>
  <c r="E158" i="7" s="1"/>
  <c r="D788" i="7"/>
  <c r="E788" i="7" s="1"/>
  <c r="D711" i="7"/>
  <c r="E711" i="7" s="1"/>
  <c r="D131" i="7"/>
  <c r="E131" i="7" s="1"/>
  <c r="D141" i="7"/>
  <c r="E141" i="7" s="1"/>
  <c r="D432" i="7"/>
  <c r="E432" i="7" s="1"/>
  <c r="D792" i="7"/>
  <c r="E792" i="7" s="1"/>
  <c r="D103" i="7"/>
  <c r="E103" i="7" s="1"/>
  <c r="D150" i="7"/>
  <c r="E150" i="7" s="1"/>
  <c r="D471" i="7"/>
  <c r="E471" i="7" s="1"/>
  <c r="D472" i="7"/>
  <c r="D517" i="7"/>
  <c r="E517" i="7" s="1"/>
  <c r="D755" i="7"/>
  <c r="D200" i="7"/>
  <c r="E200" i="7" s="1"/>
  <c r="D220" i="7"/>
  <c r="D560" i="7"/>
  <c r="E560" i="7" s="1"/>
  <c r="D596" i="7"/>
  <c r="E596" i="7" s="1"/>
  <c r="D614" i="7"/>
  <c r="E614" i="7" s="1"/>
  <c r="D169" i="7"/>
  <c r="E169" i="7" s="1"/>
  <c r="D451" i="7"/>
  <c r="D468" i="7"/>
  <c r="E468" i="7" s="1"/>
  <c r="D469" i="7"/>
  <c r="D182" i="7"/>
  <c r="D751" i="7"/>
  <c r="D531" i="7"/>
  <c r="E531" i="7" s="1"/>
  <c r="D160" i="7"/>
  <c r="E160" i="7" s="1"/>
  <c r="D740" i="7"/>
  <c r="E740" i="7" s="1"/>
  <c r="D180" i="7"/>
  <c r="E180" i="7" s="1"/>
  <c r="D2" i="7"/>
  <c r="D187" i="7"/>
  <c r="E187" i="7" s="1"/>
  <c r="D510" i="7"/>
  <c r="E510" i="7" s="1"/>
  <c r="D504" i="7"/>
  <c r="E504" i="7" s="1"/>
  <c r="D207" i="7"/>
  <c r="E207" i="7" s="1"/>
  <c r="D215" i="7"/>
  <c r="D548" i="7"/>
  <c r="E548" i="7" s="1"/>
  <c r="D552" i="7"/>
  <c r="E552" i="7" s="1"/>
  <c r="D589" i="7"/>
  <c r="E589" i="7" s="1"/>
  <c r="D607" i="7"/>
  <c r="E607" i="7" s="1"/>
  <c r="D642" i="7"/>
  <c r="E642" i="7" s="1"/>
  <c r="D494" i="7"/>
  <c r="E494" i="7" s="1"/>
  <c r="D507" i="7"/>
  <c r="E507" i="7" s="1"/>
  <c r="D214" i="7"/>
  <c r="D551" i="7"/>
  <c r="E551" i="7" s="1"/>
  <c r="D581" i="7"/>
  <c r="E581" i="7" s="1"/>
  <c r="D606" i="7"/>
  <c r="E606" i="7" s="1"/>
  <c r="D776" i="7"/>
  <c r="E776" i="7" s="1"/>
  <c r="D233" i="7"/>
  <c r="E233" i="7" s="1"/>
  <c r="D176" i="7"/>
  <c r="E176" i="7" s="1"/>
  <c r="D738" i="7"/>
  <c r="E738" i="7" s="1"/>
  <c r="D497" i="7"/>
  <c r="D484" i="7"/>
  <c r="E484" i="7" s="1"/>
  <c r="D743" i="7"/>
  <c r="E743" i="7" s="1"/>
  <c r="D763" i="7"/>
  <c r="E763" i="7" s="1"/>
  <c r="D209" i="7"/>
  <c r="D535" i="7"/>
  <c r="D612" i="7"/>
  <c r="E612" i="7" s="1"/>
  <c r="D588" i="7"/>
  <c r="E588" i="7" s="1"/>
  <c r="D580" i="7"/>
  <c r="E580" i="7" s="1"/>
  <c r="D445" i="7"/>
  <c r="E445" i="7" s="1"/>
  <c r="D467" i="7"/>
  <c r="E467" i="7" s="1"/>
  <c r="D453" i="7"/>
  <c r="E453" i="7" s="1"/>
  <c r="D519" i="7"/>
  <c r="E519" i="7" s="1"/>
  <c r="D513" i="7"/>
  <c r="E513" i="7" s="1"/>
  <c r="D533" i="7"/>
  <c r="E29" i="7" l="1"/>
  <c r="E19" i="7"/>
  <c r="E28" i="7"/>
  <c r="E3" i="7"/>
  <c r="E17" i="7"/>
  <c r="E4" i="7"/>
  <c r="E18" i="7"/>
  <c r="E221" i="7"/>
  <c r="E23" i="7"/>
  <c r="E224" i="7"/>
  <c r="E223" i="7"/>
  <c r="E5" i="7"/>
  <c r="E178" i="7"/>
  <c r="E95" i="7"/>
  <c r="E96" i="7"/>
  <c r="E77" i="7"/>
  <c r="E45" i="7"/>
  <c r="E98" i="7"/>
  <c r="E75" i="7"/>
  <c r="E78" i="7"/>
  <c r="E46" i="7"/>
  <c r="E97" i="7"/>
  <c r="E76" i="7"/>
  <c r="E409" i="7"/>
  <c r="E419" i="7"/>
  <c r="E420" i="7"/>
  <c r="E408" i="7"/>
  <c r="E533" i="7"/>
  <c r="E535" i="7"/>
  <c r="E220" i="7"/>
  <c r="E393" i="7"/>
  <c r="E33" i="7"/>
  <c r="E209" i="7"/>
  <c r="E406" i="7"/>
  <c r="E366" i="7"/>
  <c r="E417" i="7"/>
  <c r="E364" i="7"/>
  <c r="E36" i="7"/>
  <c r="E218" i="7"/>
  <c r="E407" i="7"/>
  <c r="E363" i="7"/>
  <c r="E395" i="7"/>
  <c r="E40" i="7"/>
  <c r="E530" i="7"/>
  <c r="E43" i="7"/>
  <c r="E399" i="7"/>
  <c r="E405" i="7"/>
  <c r="E416" i="7"/>
  <c r="E457" i="7"/>
  <c r="E214" i="7"/>
  <c r="E418" i="7"/>
  <c r="E456" i="7"/>
  <c r="E397" i="7"/>
  <c r="E42" i="7"/>
  <c r="E404" i="7"/>
  <c r="E528" i="7"/>
  <c r="E37" i="7"/>
  <c r="E415" i="7"/>
  <c r="E39" i="7"/>
  <c r="E365" i="7"/>
  <c r="E217" i="7"/>
  <c r="E483" i="7"/>
  <c r="E757" i="7"/>
  <c r="E495" i="7"/>
  <c r="E761" i="7"/>
  <c r="E568" i="7"/>
  <c r="E378" i="7"/>
  <c r="E469" i="7"/>
  <c r="E195" i="7"/>
  <c r="E499" i="7"/>
  <c r="E65" i="7"/>
  <c r="E104" i="7"/>
  <c r="E508" i="7"/>
  <c r="E313" i="7"/>
  <c r="E518" i="7"/>
  <c r="E759" i="7"/>
  <c r="E2" i="7"/>
  <c r="E755" i="7"/>
  <c r="E490" i="7"/>
  <c r="E451" i="7"/>
  <c r="E475" i="7"/>
  <c r="E478" i="7"/>
  <c r="E179" i="7"/>
  <c r="E125" i="7"/>
  <c r="E376" i="7"/>
  <c r="E145" i="7"/>
  <c r="E745" i="7"/>
  <c r="E613" i="7"/>
  <c r="E124" i="7"/>
  <c r="E85" i="7"/>
  <c r="E144" i="7"/>
  <c r="E748" i="7"/>
  <c r="E501" i="7"/>
  <c r="E472" i="7"/>
  <c r="E463" i="7"/>
  <c r="E215" i="7"/>
  <c r="E447" i="7"/>
  <c r="E460" i="7"/>
  <c r="E84" i="7"/>
  <c r="E189" i="7"/>
  <c r="E165" i="7"/>
  <c r="E219" i="7"/>
  <c r="E448" i="7"/>
  <c r="E450" i="7"/>
  <c r="E164" i="7"/>
  <c r="E466" i="7"/>
  <c r="E182" i="7"/>
  <c r="E380" i="7"/>
  <c r="E222" i="7"/>
  <c r="E105" i="7"/>
  <c r="E374" i="7"/>
  <c r="E497" i="7"/>
  <c r="E505" i="7"/>
  <c r="E751" i="7"/>
  <c r="E64" i="7"/>
  <c r="E186" i="7"/>
  <c r="E742" i="7"/>
  <c r="E509" i="7"/>
  <c r="E506" i="7"/>
  <c r="E38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tc={8D2EABB8-9184-45A7-BA5F-2440C22705F7}</author>
  </authors>
  <commentList>
    <comment ref="C171" authorId="0" shapeId="0" xr:uid="{8D2EABB8-9184-45A7-BA5F-2440C22705F7}">
      <text>
        <t>[Kommentarthread]
Ihre Version von Excel gestattet Ihnen das Lesen dieses Kommentarthreads. Jegliche Bearbeitungen daran werden jedoch entfernt, wenn die Datei in einer neueren Version von Excel geöffnet wird. Weitere Informationen: https://go.microsoft.com/fwlink/?linkid=870924.
[Tasks]
An diesem Kommentar ist eine Aufgabe verankert, die in Ihrem Client nicht angezeigt werden kann.
Kommentar:
    @Schwager, Julius : Can this be removed? When we have a signal fault of the handwheel, we would shutdown the rectifiers and lock the disconnector. Shouldn‘t this be interlocked by hardware already?
Antwort:
    Ich verstehe diesen Punkt nicht. Wenn das Handrad auf dem DC Disconnector steckt, soll der Gleichrichter blockiert werden? Wofür wird das Handrad benötigt? Ich dachte immer, der DC Disconnector hat einen elektrischen Antrieb oder nicht? Das Handrad befindet sich im Gleichrichterraum, oder? Dieses darf ich eigentlich nicht betreten. Wovor soll hier geschützt werden. Ich kann mir hier nur eine Aktion vorstellen, wenn das Handrad steckt, darf ein Antrieb den DC Disconnector nicht in die ZU Position verfahren. Der Handbetrieb darf vom Autobetrieb nicht überschreiben werden.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<sst xmlns="http://schemas.openxmlformats.org/spreadsheetml/2006/main" count="37328" uniqueCount="4424">
  <si>
    <t>Elyzer P-300 Cause &amp; Effect Matrix
for Electrolysis System</t>
  </si>
  <si>
    <t>Projekt, Kande / Project, Customer:</t>
  </si>
  <si>
    <t>ELYP-300_PFA020_C&amp;E-Matrix-ElySys</t>
  </si>
  <si>
    <t>Projekt-Nr. / Project-No.:</t>
  </si>
  <si>
    <t>DCC</t>
  </si>
  <si>
    <t xml:space="preserve">Handhabung/Handling </t>
  </si>
  <si>
    <t>Version</t>
  </si>
  <si>
    <t>PFA020</t>
  </si>
  <si>
    <t>Restricted</t>
  </si>
  <si>
    <t>3.4_001</t>
  </si>
  <si>
    <t>Produkt / Product:</t>
  </si>
  <si>
    <t>Elyzer P-300 Reference Plant</t>
  </si>
  <si>
    <t xml:space="preserve">US/EU Export Controls *) </t>
  </si>
  <si>
    <t>ECCN:</t>
  </si>
  <si>
    <t>N</t>
  </si>
  <si>
    <t>AL:</t>
  </si>
  <si>
    <t>Ersteller (Name, Abteilung) / Author (Name, Department):</t>
  </si>
  <si>
    <t>SE TI SES HS EN PSE
SE TI SES HS EN AC</t>
  </si>
  <si>
    <t>Merkl, Bernd
Kneppe, Florian</t>
  </si>
  <si>
    <t>Abteilung / Department</t>
  </si>
  <si>
    <t>Name</t>
  </si>
  <si>
    <t>Unterschrift / Signature</t>
  </si>
  <si>
    <t>Konformitätsprüfung / Conformity check:</t>
  </si>
  <si>
    <t>Fachliche Prüfung (optional) / Technical review (optional):</t>
  </si>
  <si>
    <t>SE TI SES HS EN PSE
SE TI SES HS EN ELP</t>
  </si>
  <si>
    <t>Schwager, Julius
Niedernhuber, Josef</t>
  </si>
  <si>
    <t>Verantwortliche Freigabe / Responsible for release</t>
  </si>
  <si>
    <t>SE TI SES PRM PLM</t>
  </si>
  <si>
    <t>Bäzner, Thorsten</t>
  </si>
  <si>
    <t>*)</t>
  </si>
  <si>
    <t xml:space="preserve">Die mit "AL ≠ N" gekennzeichneten Güter unterliegen bei der Ausfuhr aus der EU der europäischen bzw. deutschen Ausfuhrgenehmigungspflicht. Die mit "ECCN ≠ N" gekennzeichneten Güter unterliegen der US-Reexportgenehmigungspflicht. Auch ohne Kennzeichen, bzw. bei Kennzeichen "AL:N" oder "ECCN:N" kann sich eine Genehmigungspflicht, unter anderem durch den Endverbleib and Verwendungszweck der Güter, ergeben. </t>
  </si>
  <si>
    <t xml:space="preserve">Goods labeled with "AL ≠ N" are subject to European or German export authorization when being exported out of the EU. Goods labeled with "ECCN ≠ N" are subject to US reexport authorization. Even without a label, or with label "AL:N" or "ECCN:N", authorization may be required due to the final whereabouts and purpose for which the goods are to be used. </t>
  </si>
  <si>
    <t>Author</t>
  </si>
  <si>
    <t>Department</t>
  </si>
  <si>
    <t>Date</t>
  </si>
  <si>
    <t>Description</t>
  </si>
  <si>
    <t>2.0</t>
  </si>
  <si>
    <t>B. Merkl</t>
  </si>
  <si>
    <t>SE TI SES HS EN PSE</t>
  </si>
  <si>
    <t>Major Revision, Split of Plant &amp; Array part</t>
  </si>
  <si>
    <t>3.0</t>
  </si>
  <si>
    <t>Major revision, new rectifier system</t>
  </si>
  <si>
    <t>3.2</t>
  </si>
  <si>
    <t>SE TI SES HS EN PRE</t>
  </si>
  <si>
    <t>Major revision, deletion of pol. rect.</t>
  </si>
  <si>
    <t>3.3</t>
  </si>
  <si>
    <t>Renamed BoP to Ely Block and Array to Ely System; see marks "V3.3"</t>
  </si>
  <si>
    <t>3.3_200</t>
  </si>
  <si>
    <t>F.Kneppe</t>
  </si>
  <si>
    <t>SE TI SES HS EN CSS</t>
  </si>
  <si>
    <t>Added "Vacuum Protection" and BPCS-SIS Communication Fault for segregated CPU</t>
  </si>
  <si>
    <t>3.4</t>
  </si>
  <si>
    <t>F.Kneppe/
B. Merkl</t>
  </si>
  <si>
    <t>SE TI SES HS EN CSS/
SE TI SES HS EN UPR</t>
  </si>
  <si>
    <t>Document ELYP-300_PFA020_Safety-Matrix was renamed into ELYP-300_PFA020_C&amp;E-Matrix-ElySys and split into Electrolysis System (Array) and Elektrolyzer Block (ELYP-300_PFA020_C&amp;E-Matrix-ElyBlk) C&amp;E. See marks with "V3.4" for changes.</t>
  </si>
  <si>
    <r>
      <rPr>
        <sz val="36"/>
        <color rgb="FF000000"/>
        <rFont val="Arial"/>
        <family val="2"/>
      </rPr>
      <t xml:space="preserve">Safety Functions IEC61511
</t>
    </r>
    <r>
      <rPr>
        <sz val="20"/>
        <color rgb="FF000000"/>
        <rFont val="Arial"/>
        <family val="2"/>
      </rPr>
      <t xml:space="preserve">Electrolysis System ny - Elyzer P-300 Reference Plant
</t>
    </r>
    <r>
      <rPr>
        <b/>
        <sz val="12"/>
        <color rgb="FFFF0000"/>
        <rFont val="Arial"/>
        <family val="2"/>
      </rPr>
      <t xml:space="preserve">- has to be adjusted project specifically; SIS part may be split into a separate document "..._PFA020_Safety-Matrix-ElySys_Vx.x" in project on demand -  
</t>
    </r>
    <r>
      <rPr>
        <sz val="10"/>
        <color rgb="FF000000"/>
        <rFont val="Arial"/>
        <family val="2"/>
      </rPr>
      <t xml:space="preserve">S --&gt; storing, reset required
N --&gt; non storing, no reset required
</t>
    </r>
    <r>
      <rPr>
        <sz val="10"/>
        <color rgb="FF0000FF"/>
        <rFont val="Arial"/>
        <family val="2"/>
      </rPr>
      <t>NP--&gt; non storing purge, reset on "Proof of Purge" of corresponding side or after 15 min</t>
    </r>
    <r>
      <rPr>
        <sz val="10"/>
        <color rgb="FF000000"/>
        <rFont val="Arial"/>
        <family val="2"/>
      </rPr>
      <t xml:space="preserve">
S* --&gt; storing, reset required, not implemented as SIL-rated safety function (IEC61511)
N* --&gt; non storing, no reset required, not implemented as SIL-rated safety function (IEC61511)
</t>
    </r>
    <r>
      <rPr>
        <sz val="10"/>
        <color rgb="FF0000FF"/>
        <rFont val="Arial"/>
        <family val="2"/>
      </rPr>
      <t>NP*--&gt; non storing purge, reset on "Proof of Purge" of corresponding side or after 15 min</t>
    </r>
    <r>
      <rPr>
        <sz val="10"/>
        <color rgb="FF000000"/>
        <rFont val="Arial"/>
        <family val="2"/>
      </rPr>
      <t xml:space="preserve">
not implemented as SIL-rate safety function (IEC61511)</t>
    </r>
  </si>
  <si>
    <t>Effect Identifier</t>
  </si>
  <si>
    <t>GA_H2_S1_NOT_RDY</t>
  </si>
  <si>
    <t>GA_H2_S2_NOT_RDY</t>
  </si>
  <si>
    <t>GA_O2_S1_NOT_RDY</t>
  </si>
  <si>
    <t>GA_O2_S2_NOT_RDY</t>
  </si>
  <si>
    <t>OPTIONAL: Only for IGBT Rectifier</t>
  </si>
  <si>
    <t>Effect Description</t>
  </si>
  <si>
    <t>Prot. Cmd. Off (E-Stop) - Rect. 1</t>
  </si>
  <si>
    <t>Prot. Cmd. Off (E-Stop) - Rect. 2</t>
  </si>
  <si>
    <t>Prot. Cmd. Off (E-Stop) - Rect. 3</t>
  </si>
  <si>
    <t>Prot. Cmd. Off (E-Stop) - Rect. 4</t>
  </si>
  <si>
    <t>Safe Current Off - Rectifier 1</t>
  </si>
  <si>
    <t>Safe Current Off - Rectifier 2</t>
  </si>
  <si>
    <t>Safe Current Off - Rectifier 3</t>
  </si>
  <si>
    <t>Safe Current Off - Rectifier 4</t>
  </si>
  <si>
    <t>Demin Supply Valve</t>
  </si>
  <si>
    <r>
      <rPr>
        <sz val="10"/>
        <color rgb="FF000000"/>
        <rFont val="Calibri"/>
        <family val="2"/>
        <scheme val="minor"/>
      </rPr>
      <t xml:space="preserve">Block N2 Purging 
</t>
    </r>
    <r>
      <rPr>
        <i/>
        <sz val="10"/>
        <color rgb="FF000000"/>
        <rFont val="Calibri"/>
        <family val="2"/>
        <scheme val="minor"/>
      </rPr>
      <t>G01NHX01QN001-KZ03</t>
    </r>
  </si>
  <si>
    <t>Product Gas Control Valve</t>
  </si>
  <si>
    <t>Inertization Required H2 Side</t>
  </si>
  <si>
    <t>Inertization Required O2 Side</t>
  </si>
  <si>
    <r>
      <t>MV Circuit Breaker</t>
    </r>
    <r>
      <rPr>
        <vertAlign val="superscript"/>
        <sz val="10"/>
        <rFont val="Calibri"/>
        <family val="2"/>
        <scheme val="minor"/>
      </rPr>
      <t>1)</t>
    </r>
  </si>
  <si>
    <t>Rectifier 1 to 4 
DC- &amp; DC+  disconnectors</t>
  </si>
  <si>
    <t>Cooling Water Supply Valve</t>
  </si>
  <si>
    <t>Cooling Water Return Valve</t>
  </si>
  <si>
    <r>
      <t>Refinement pump</t>
    </r>
    <r>
      <rPr>
        <vertAlign val="superscript"/>
        <sz val="10"/>
        <color theme="1"/>
        <rFont val="Calibri"/>
        <family val="2"/>
        <scheme val="minor"/>
      </rPr>
      <t>2)</t>
    </r>
  </si>
  <si>
    <t>Prot. Cmd. Off - Rect. 1</t>
  </si>
  <si>
    <t>Prot. Cmd. Off - Rect. 2</t>
  </si>
  <si>
    <r>
      <t xml:space="preserve">1) MV circuit breaker opening to be clarified based on required PFD values for rectifier safety shut down (project specific decision based on HAZOP). As alternative it may be possible to only open the MV circuit breaker if DC disconnectors do not open (subject to confirmation).
</t>
    </r>
    <r>
      <rPr>
        <sz val="10"/>
        <color theme="1"/>
        <rFont val="Arial"/>
        <family val="2"/>
      </rPr>
      <t>2) MOS (72h) for CMD_REF_PMP_STO is only allowed, when Safety N2 Purge was activated before. MOS is required to continue operation of Water Refinement in Maintenance, when the Gas Systems were shut down.</t>
    </r>
  </si>
  <si>
    <t>3) IGBT Rectifier does not use "CMD_RECX_OFF" signal. Instead of protection command rect. x off the signal "CMD_RECX_SCO" will be send.</t>
  </si>
  <si>
    <t>Value</t>
  </si>
  <si>
    <t>In general Rect. 3&amp;4 signals are not applicable to IGBT design.</t>
  </si>
  <si>
    <t>Output Tag</t>
  </si>
  <si>
    <t>=GnyNHA01TB001-KF01;YB32</t>
  </si>
  <si>
    <t>=GnyNHA01TB002-KF01;YB32</t>
  </si>
  <si>
    <t>=GnyNHA01TB003-KF01;YB32</t>
  </si>
  <si>
    <t>=GnyNHA01TB004-KF01;YB32</t>
  </si>
  <si>
    <t>=GnyNHA01TB001-KF10;YB32
100 ms delay</t>
  </si>
  <si>
    <t xml:space="preserve">=GnyNHA01TB002-KF10;YB32
100 ms delay </t>
  </si>
  <si>
    <t xml:space="preserve">=GnyNHA01TB003-KF10;YB32
100 ms delay </t>
  </si>
  <si>
    <t xml:space="preserve">=GnyNHA01TB004-KF10;YB32
100 ms delay </t>
  </si>
  <si>
    <t>=GnyNHG01QM001-QM01;YB32</t>
  </si>
  <si>
    <t>=GnyNHX01QN001-QM21;YB31</t>
  </si>
  <si>
    <t>=GnyNHX01QN002-QM21;YB32</t>
  </si>
  <si>
    <t>=GnyNHC01GT001-QN01;YB32</t>
  </si>
  <si>
    <t>=GnyNHX01QN001-QM11;YB31</t>
  </si>
  <si>
    <t>=GnyNHC01GT001-QN02;YB31</t>
  </si>
  <si>
    <t>=GnyNHE01GT001-QN01;YB31</t>
  </si>
  <si>
    <t>=GnyNHX01QN002-QM11;YB32</t>
  </si>
  <si>
    <t>=T01BBA01QA0ny-QA01;YW01</t>
  </si>
  <si>
    <t>=GnyNHA01QZ001-QB01;YB11
=GnyNHA01QZ001-QB01;YB12</t>
  </si>
  <si>
    <t>=GnyNHA01QZ002-QB01;YB11
=GnyNHA01QZ002-QB01;YB12</t>
  </si>
  <si>
    <t>=GnyNHA01QZ003-QB01;YB11
=GnyNHA01QZ003-QB01;YB12</t>
  </si>
  <si>
    <t>=GnyNHA01QZ004-QB01;YB11
=GnyNHA01QZ004-QB01;YB12</t>
  </si>
  <si>
    <t>=GnyNHA01QZ001-QB02;YB11
=GnyNHA01QZ001-QB02;YB12</t>
  </si>
  <si>
    <t>=GnyNHA01QZ002-QB02;YB11
=GnyNHA01QZ002-QB02;YB12</t>
  </si>
  <si>
    <t>=GnyNHA01QZ003-QB02;YB11
=GnyNHA01QZ003-QB02;YB12</t>
  </si>
  <si>
    <t>=GnyNHA01QZ004-QB02;YB11
=GnyNHA01QZ004-QB02;YB12</t>
  </si>
  <si>
    <t>=GnyNHP01WP001-QM02;YB32</t>
  </si>
  <si>
    <t>=GnyNHP01WP001-QM08;YB32</t>
  </si>
  <si>
    <t>=GnyNHH01HP001-GP01; YB21</t>
  </si>
  <si>
    <t>=G01NHA01TB001-KF01;YB32</t>
  </si>
  <si>
    <t>=G01NHA01TB002-KF01;YB32</t>
  </si>
  <si>
    <t>=T01BBA01QA00x-QA02;YW01</t>
  </si>
  <si>
    <t>Action</t>
  </si>
  <si>
    <t>off</t>
  </si>
  <si>
    <t>close</t>
  </si>
  <si>
    <t>open</t>
  </si>
  <si>
    <t>set</t>
  </si>
  <si>
    <t>reset</t>
  </si>
  <si>
    <t>off (not open or close)</t>
  </si>
  <si>
    <t>Revision history /internal comments</t>
  </si>
  <si>
    <t>Cause Identifier</t>
  </si>
  <si>
    <t>Chgd</t>
  </si>
  <si>
    <t>Input Tag</t>
  </si>
  <si>
    <t>Signal</t>
  </si>
  <si>
    <t>Warn</t>
  </si>
  <si>
    <t>Safety Limit</t>
  </si>
  <si>
    <t>Hyst.</t>
  </si>
  <si>
    <t>Unit</t>
  </si>
  <si>
    <t>Delay</t>
  </si>
  <si>
    <t>Func 1</t>
  </si>
  <si>
    <t>Func 3</t>
  </si>
  <si>
    <t>Cause Description</t>
  </si>
  <si>
    <t>Comment</t>
  </si>
  <si>
    <t>Response Time</t>
  </si>
  <si>
    <t>MOS</t>
  </si>
  <si>
    <t>Comments, Causes / Kommentare, Ursachen</t>
  </si>
  <si>
    <t>Test date/result</t>
  </si>
  <si>
    <t>Test executed by</t>
  </si>
  <si>
    <t>SYSTEM CONTROL</t>
  </si>
  <si>
    <t>Gny_BPCS_COM_FLT</t>
  </si>
  <si>
    <t>GnyNHY01KF002-TF06</t>
  </si>
  <si>
    <t>XM01</t>
  </si>
  <si>
    <t>-</t>
  </si>
  <si>
    <t>BOOL</t>
  </si>
  <si>
    <t>1oo1</t>
  </si>
  <si>
    <t>BPCS Communication Fault</t>
  </si>
  <si>
    <t>1= Fault of Lifebit Monitoring (from BPCS)</t>
  </si>
  <si>
    <t>S*</t>
  </si>
  <si>
    <t>NP*</t>
  </si>
  <si>
    <t>1s (Rectifier)</t>
  </si>
  <si>
    <t>no</t>
  </si>
  <si>
    <t>On communication fault to BPCS: Rectifier Safe Off, Demin Supply Shufoff and Safety N2 Purge is caused in SIS, because DC disconnectors can not be opened and pressure hold with N2 does not work. The SIF Effects, which are caused in the SIS, shall be considered as active (or bad signal state) in the BPCS logic to react accordingly.</t>
  </si>
  <si>
    <t>V3.3_200, 2025-10-09, FR+JS+TB: new cause to react on communication fault of BPCS (this is necessary since the BPCS and SIS CPU are segregated now)</t>
  </si>
  <si>
    <t>Gny_TRIG_N2_PRG_MAINT</t>
  </si>
  <si>
    <t>GnyNHY01KF101/KZ86</t>
  </si>
  <si>
    <t>Trigger Safety N2 Purge for Maintenance Mode</t>
  </si>
  <si>
    <t>1= Trigger Safety N2 Purge (from BPCS)</t>
  </si>
  <si>
    <r>
      <t xml:space="preserve">When "Activating Maintenance" of the Electroylsis System with option "Gas System = Off", the Safety N2 Purge shall be activated from the operational step sequence to enable a </t>
    </r>
    <r>
      <rPr>
        <u/>
        <sz val="11"/>
        <color theme="1"/>
        <rFont val="Calibri"/>
        <family val="2"/>
        <scheme val="minor"/>
      </rPr>
      <t>coordinated</t>
    </r>
    <r>
      <rPr>
        <sz val="11"/>
        <color theme="1"/>
        <rFont val="Calibri"/>
        <family val="2"/>
        <scheme val="minor"/>
      </rPr>
      <t xml:space="preserve"> shutdown. As the step sequence will shut down the pressure hold function and the gas analytics, the Safety N2 Purge would be activated anyway.
</t>
    </r>
  </si>
  <si>
    <t>V3.3_200, FR, 2025-10-09: added cause (was already implemented in software)</t>
  </si>
  <si>
    <t>INTERFACE - BLOCK CONTROL</t>
  </si>
  <si>
    <t>Gny_ARY_TRIP</t>
  </si>
  <si>
    <t>GnyNHY01KF002-KZ01</t>
  </si>
  <si>
    <t>XV01</t>
  </si>
  <si>
    <t>Array - Safety Trip (from Block)</t>
  </si>
  <si>
    <t>via hardwired failsafe input</t>
  </si>
  <si>
    <t>N*</t>
  </si>
  <si>
    <t>project specific, if trip of rectifiers without N2 Purge is required
If reset is required, this shall be implemented in the higher level system</t>
  </si>
  <si>
    <t>V1.4 (FR): added signal exchange between BoP and Array
V2.0: 2023-08-16 (JS, DW, BM): alles in S*, da aktuell kein Bedarf für diese Schaltung
V3.2, BM, 2024-05-15: KF001 changed to KF002
V3.3, FR+BM+JS, 2025-02-13: removed trip of MV CB, because inconsistent with other trips and not required
V3.3, BM+FR, 2025-04-22: changed S* to N*, because reset shall be done in higher level system
V3.4, FK, 2025-10-31: changed "BoP" to "Block" in description
V3.4_100, KB, BM, 13.01.2026: N* added for SCO shutdown in order to use it case of required SIL rating. (initiated by Kevin)</t>
  </si>
  <si>
    <t>Gny_ARY_TRIP_N2_PRG</t>
  </si>
  <si>
    <t>GnyNHY01KF002-KZ02</t>
  </si>
  <si>
    <t>Array - Safety Trip with N2 Purge (from Block)</t>
  </si>
  <si>
    <t>During N2 Purge the Rectifiers must also be shutdown to reach a safe inerted state.
Only failsafe processing. SIL not defined for e-stop/gas alarm/fire.
If reset is required, this shall be implemented in the higher level system</t>
  </si>
  <si>
    <t>V1.4 (FR): added signal exchange between BoP and Array
V2.0: 2023-08-16: SIL ist mit allen genannten Aktoren nicht möglich. Kein SIL definiert für e-stop/gas alarm/feuer. Begründung für Gasalarm: Gassensoren sind kein primärer Ex-Schutz, sondern nur eine Zusatzmaßmahme und deshalb kein SIL.
inter required in NP* not S*
V3.1, V2.1(FR, 01.02.2024): CMD_PRD_VLV_CLS changed from NP* to S* to keep closed after purge
V3.2, 2024-04-05, BM: Pol. Rectifier in description deleted.
V3.2, BM, 2024-05-15: KF001 changed to KF002
V3.3, BM+FR, 2025-04-22: changed S* to N*, because reset shall be done in higher level system
V3.4, FK, 2025-10-31: changed "BoP" to "Block" in description; changed RDS-PP from GnyNHY01KF002-KZ03 to GnyNHY01KF002-KZ02
V3.4_100, KB, BM, 13.01.2026: N* added for SCO shutdown in order to use it case of required SIL rating. (initiated by Kevin)</t>
  </si>
  <si>
    <t>Gny_ARY_TRIP_N2_BLK</t>
  </si>
  <si>
    <t>GnyNHY01KF002-KZ03</t>
  </si>
  <si>
    <t>Array - Safety Trip and Block N2 Purge 
(from Block)</t>
  </si>
  <si>
    <t>project specific
If reset is required, this shall be implemented in the higher level system</t>
  </si>
  <si>
    <t>V1.4 (FR): added signal exchange between BoP and Array
2023-08-16: Gas qualität als Abschaltkriterium im SIS BoP Teil wurde gestrichen, damit ist diese Zeile vorerst nicht notwendig.
V3.2, BM, 2024-05-15: KF001 changed to KF002
V3.3, BM+FR, 2025-04-22: changed S* to N*, because reset shall be done in higher level system
V3.4, FK, 2025-10-31: changed "BoP" to "Block" in description; changed RDS-PP from GnyNHY01KF002-KZ04 to GnyNHY01KF002-KZ03
V3.4_100, KB, BM, 13.01.2026: N* added for SCO shutdown in order to use it case of required SIL rating. (initiated by Kevin)</t>
  </si>
  <si>
    <t>Gny_ARY_PRD_VLV_CLS</t>
  </si>
  <si>
    <t>GnyNHY01KF002-KZ04</t>
  </si>
  <si>
    <t>Array - Close Product Valve (from Block)</t>
  </si>
  <si>
    <t>project specific, if separate closure of product valve is required.
If required project specifically, max. SIL2 is possible.
If reset is required, this shall be implemented in the higher level system</t>
  </si>
  <si>
    <t>V1.4 (FR): added signal exchange between BoP and Array
V2.0: 2023-08-16 (JS, DW, BM): aktuell keine Anforderung in SIL2, wäre aber möglich.
V3.2, BM, 2024-05-15: KF001 changed to KF002
V3.3, BM+FR, 2025-04-22: changed S* to N*, because reset shall be done in higher level system
V3.4, FK, 2025-10-31: changed "BoP" to "Block" in description; changed RDS-PP from GnyNHY01KF002-KZ05 to GnyNHY01KF002-KZ04</t>
  </si>
  <si>
    <t>WATER MANAGEMENT - LEVEL</t>
  </si>
  <si>
    <t>Gny_LVL_SEP_H2_HL1</t>
  </si>
  <si>
    <t>GnyNHC01BL001-BL01</t>
  </si>
  <si>
    <t>XQ01</t>
  </si>
  <si>
    <t>AH 40.0</t>
  </si>
  <si>
    <t>AZHH 47.0</t>
  </si>
  <si>
    <t>1.0</t>
  </si>
  <si>
    <t>cm</t>
  </si>
  <si>
    <t>Level - Gas separator H2 - High limit 1</t>
  </si>
  <si>
    <t>S</t>
  </si>
  <si>
    <t>- Level Control
- level shift O2/H2 sides</t>
  </si>
  <si>
    <t>V2.0 29.08.2023: (JS, BM, RW, GL, FH): MV circuit breaker not necessary</t>
  </si>
  <si>
    <t>Gny_LVL_SEP_H2_HL2</t>
  </si>
  <si>
    <t>AZHHH 70.0</t>
  </si>
  <si>
    <t>Level - Gas separator H2 - High limit 2</t>
  </si>
  <si>
    <r>
      <t xml:space="preserve">Cooler break through:
</t>
    </r>
    <r>
      <rPr>
        <b/>
        <sz val="11"/>
        <color theme="1"/>
        <rFont val="Calibri"/>
        <family val="2"/>
        <scheme val="minor"/>
      </rPr>
      <t>alarm message must request manual depressurization of cooling water system</t>
    </r>
  </si>
  <si>
    <t>- project specific
- operator receives request on HMI to depressurize the cw system on array side.
- G0yNHP01WP001-QM45: only manual depressurization of by manual valve (local) or optionally by manual triggered on/off valve (remote) of cooling system, because trip becomes also active on CPU stop, electrical fault or fault of instrument air - otherwise unintended release of cooling water (incl. glycol) can be caused 
- response time &lt; 24 h (5 mm² hole, 4 barg)</t>
  </si>
  <si>
    <t xml:space="preserve">V1.3: isolation of cooling water system added at 70 cm level
V3.2, 2024-04-05, BM: "&gt;" changed to "&lt;"
FR, BM, JS, 2024-05-22: change signal =G0xNHY01KF001-KZ51 which was sent to to plant control to direct actuation of cw isolatiion valves. Before this action was shown in BoP SIS part. </t>
  </si>
  <si>
    <t>Gny_LVL_SEP_H2_LL1</t>
  </si>
  <si>
    <t>AL (Note 1)</t>
  </si>
  <si>
    <t>AZLL (Note 1)</t>
  </si>
  <si>
    <t>3 min</t>
  </si>
  <si>
    <t>Level - Gas separator H2 - Low limit 1</t>
  </si>
  <si>
    <t>Note 1: variable level limits based on independent  rectifier current (=G01NHA01BZ00x-BC02), min level 5 cm.
failure cases:
- Level Control
- low or no flow from demin supply</t>
  </si>
  <si>
    <r>
      <t xml:space="preserve">V2.0: 2023-08-25 (JS, DW, BM): nur Hauptgleichrichter </t>
    </r>
    <r>
      <rPr>
        <strike/>
        <sz val="11"/>
        <rFont val="Calibri"/>
        <family val="2"/>
        <scheme val="minor"/>
      </rPr>
      <t>und PolGr in S</t>
    </r>
    <r>
      <rPr>
        <sz val="11"/>
        <rFont val="Calibri"/>
        <family val="2"/>
        <scheme val="minor"/>
      </rPr>
      <t>, denn Fehlfall: keine Nachspeisung. Durch Abschalten des Hauptgleichrichter wird der Wasserverbrauch unterbunden. N2 Spülung ist nicht Teil des SIF, da keine großen Wasserleckagen angenommen werden, die nicht durch die Nachspeisung ausgeglichen werden können.
- PolGr verbraucht max. 1,2 l/h @ 16A je Modulgruppe (4 Module).
- varibler Grenzwert nötig (see tab " var. SIS level (intern))
Bei Reglerfehler im Abblaseventil und Levelverschiebung müssen zusätzlich die Abblaseventile sicherheitsgerichtet ??? geöffnet werden, um einen Abbau des Differenzdruckes zu gewährleisten. siehe hierzu nächst niederigeren Levelgrenzwert
V2.0 29.08.2023: (JS, BM, RW, GL, FH): MV circuit breaker not necessary
V3.3, 25.04.2025, FR+BM: variable limit was adjusted (see tab var. level limits)</t>
    </r>
  </si>
  <si>
    <t>Gny_LVL_SEP_H2_LL2</t>
  </si>
  <si>
    <t>AZLLL 4.0</t>
  </si>
  <si>
    <t>Level - Gas separator H2 - Low limit 2</t>
  </si>
  <si>
    <t>NP</t>
  </si>
  <si>
    <t>- Critical and sudden level shifts O2/H2 sides</t>
  </si>
  <si>
    <t xml:space="preserve">
V2.0: 2023-08-16 (JS, DW, BM): fester Grenzwert &amp; unverzögert, um plötzliche Levelverschiebungen abzufangen.
V2.0: 2023-08-23 (JS, GL, FR, FH, RW, BM): Fehlerfall: O2 vent valve öffnet nicht bzw. schließt fehlerhaft
V3.0: 14.11.2023, JS: MV nicht notwendig, da PFD von neuem modularen Gleichrichter ausreichend gut.
V3.1, V2.1 (FR, 01.02.2024): CMD_PRD_VLV_CLS changed from NP* to S* to keep closed after purge
V3.4, BM, 7.11.2025: changed from "1" to "4 cm" to ensure that level can be detected in case of installation tolerances on site and considering a safety tolerance of 2%</t>
  </si>
  <si>
    <t>Gny_LVL_SEP_O2_HL1</t>
  </si>
  <si>
    <t>1.1</t>
  </si>
  <si>
    <t>GnyNHE01BL001-BL01</t>
  </si>
  <si>
    <t>Level - Gas separator O2 - High limit 1</t>
  </si>
  <si>
    <t>V2.0: 2023-08-31 (JS, BM): MV circuit braker deleted.</t>
  </si>
  <si>
    <t>Gny_LVL_SEP_O2_HL2</t>
  </si>
  <si>
    <t>Level - Gas separator O2 - High limit 2</t>
  </si>
  <si>
    <t>V1.3: isolation of cooling water system added at 70 cm level
V3.2, 2024-04-05, BM: "&gt;" changed to "&lt;"
FR, BM, JS, 2024-05-22: change signal =G0xNHY01KF001-KZ51 which was sent to to plant control to direct actuation of cw isolatiion valves. Before this action was shown in BoP SIS part.</t>
  </si>
  <si>
    <t>Gny_LVL_SEP_O2_LL1</t>
  </si>
  <si>
    <t>Level - Gas separator O2 - Low limit 1</t>
  </si>
  <si>
    <t>Gny_LVL_SEP_O2_LL2</t>
  </si>
  <si>
    <t>Level - Gas separator O2 - Low limit 2</t>
  </si>
  <si>
    <r>
      <rPr>
        <strike/>
        <sz val="11"/>
        <color rgb="FF000000"/>
        <rFont val="Calibri"/>
        <family val="2"/>
        <scheme val="minor"/>
      </rPr>
      <t xml:space="preserve">2023-08-16: Level bei 1 cm fällt weg. Die Abschaltungen für PolGr und die N2 Spülung werden bei Level 5 cm berücksichtigt.
</t>
    </r>
    <r>
      <rPr>
        <sz val="11"/>
        <color rgb="FF000000"/>
        <rFont val="Calibri"/>
        <family val="2"/>
        <scheme val="minor"/>
      </rPr>
      <t>V2.0 2023-08-18: varibler Grenzwert nötig (see tab " var. SIS level (intern))
V3.0: 14.11.2023, JS: MV nicht notwendig, da PFD von neuem modularen Gleichrichter ausreichend gut.
V3.1, V2.1 (FR, 01.02.2024): CMD_PRD_VLV_CLS changed from NP* to S* to keep closed after purge
V3.4, BM, 7.11.2025: changed from "1" to "4 cm" to ensure that level can be detected in case of installation tolerances on site and considering a safety tolerance of 2%</t>
    </r>
  </si>
  <si>
    <t>GAS MANAGEMENT - PRESSURE</t>
  </si>
  <si>
    <t>Gny_PRS_SEP_H2_HL</t>
  </si>
  <si>
    <t>GnyNHC01HP001-BP01</t>
  </si>
  <si>
    <t>AH 140.0</t>
  </si>
  <si>
    <t>AZHH 155.0</t>
  </si>
  <si>
    <t>5.0</t>
  </si>
  <si>
    <t>mbar(g)</t>
  </si>
  <si>
    <t>Pressure - Gas separator H2 - High limit</t>
  </si>
  <si>
    <t>1s</t>
  </si>
  <si>
    <t>- failure in Pressure Control
- when pressure limit is exceeded and falls again below the limit the lance shall be purged with N2 (f no N2 blanketing). This shall cover a potential blow off scenario over PSV and flush out residual H2.</t>
  </si>
  <si>
    <t xml:space="preserve">V1.4 (FR):  changed Hyst from 2.0 to 5.0 for consistency with operational sensor
V2.0: 2023-08-29: (FR, JS, RW, BM): Produktgasventil soll in S geschlossen, um ein Entleeren des Puffertanks zu verhindern, wenn NHC01GT001-QM01 nicht geöffnet ist bzw. fehlerhaft schließt. MV circuit braker.
V3.0, BM, JS, 30.10.2023: aufgrund der Schnelle des Druckanstiegs im Fehlerfall, kann eine Druck Hoch Abschaltung kein Sicherheitsventil ersetzen. Es soll lediglich das dauerhafte Abblasen verhindern.
V3.0, BM, 06.11.2023: N2 Ventile sollen blockiert werden, um Druck nicht weiter steigen zu lassen (z.B. PolGr Betrieb mit N2 Spülung). S* ausreichend, zusätzlich PSV vorhanden. Eine sicherheitsgerichtete Spülung darf dadurch aber nicht blockiert werden.
V3.2, BM, RW, 24.05.2024: S für Produktgasventil bei zu hohem Druck auf O2 Seite entfernt, da dort kein Entleeren des Puffertanks möglich ist und NHE01GT001-QM01 nicht existiert.
V3.4, BM, FK, JS, 03.12.2025: Changed "Block N2 Purge" from S* to N* to enable pressure hold function after pressure high, but prevent pressure over 155 mbar (below PSV set pressure of 165 mbar) due to fault of pressure hold in case of malfunction of NHC01HP001-BP02 (e.g. in-range fault).
</t>
  </si>
  <si>
    <t>Gny_PRS_SEP_O2_HL</t>
  </si>
  <si>
    <t>GnyNHE01HP001-BP01</t>
  </si>
  <si>
    <t>Pressure - Gas separator O2 - High limit</t>
  </si>
  <si>
    <t>Gny_PRS_SEP_H2_LL</t>
  </si>
  <si>
    <t>AL 15.0</t>
  </si>
  <si>
    <t>AZLL 7.0</t>
  </si>
  <si>
    <t>30 s</t>
  </si>
  <si>
    <t>Pressure - Gas separator H2 - Low limit</t>
  </si>
  <si>
    <t>- pressure control, cooling down (only during standby), blow off valve open.
- ingress of air possible, inertization required
rect. are interlocked and not part of SIL protection loop.
Operator must check, if additional N2 purge is necessary before start of rectifiers, therfore inert required in "NP".</t>
  </si>
  <si>
    <t>V2.0: 2023-08-11: NHE01GT001-QN01 muss nicht in S sein, da nur die H2 Seite gespült werden muss. Wenn das H2 vent valve fehlerhaft geöffnet ist (ohne  N2 Spülung der H2 Abblaselanze), dann wird einmalig gespült, aber das H2 vent valve bleibt fehlerhaft offen, wodurch wieder Luft in die Anlage kommen kann. Deshalb muss die Anlage/Gleichrichter verriegelt bleiben und ggf. muss nochmal gespült werden vor dem Anfahren. Inert required in S und nicht in NP.
V2.0: 2023-08-31 (JS, BM): MV circuit braker deleted.
V3.1, V2.1 (FR, 01.02.2024): CMD_PRD_VLV_CLS changed from NP* to S* to keep closed after purge
V3.3, BM, FR, JS: Increase of trip value from 0 to 7 mbarg to cover measurement uncertainty. warning also increased from 10 to 15 mbarg.</t>
  </si>
  <si>
    <t>Gny_PRS_SEP_H2_LL2</t>
  </si>
  <si>
    <t>15 min</t>
  </si>
  <si>
    <t>Pressure - Gas separator H2 - Low limit
during Maintenance</t>
  </si>
  <si>
    <t xml:space="preserve">- set "Inertisation Required" again, when pressure is low, e.g. during maintenance -&gt; ingress of air is possible after initial Safety N2 Purge was executed
- 15 min delay is necessary to allow a Safey N2 Purge terminating with state "Inerted"; otherwise the low pressure during Safety N2 Purge would always  force "Inertisation Required" </t>
  </si>
  <si>
    <t>V3.4, FR+BM+JS, 20.11.2025: added cause to set Inert Required during Maintenance, when pressure is low. This is necessary since the ElySys could be opened after initial inertisation without indicating that inertisation is required again.</t>
  </si>
  <si>
    <t>Gny_INERT_REQ_H2</t>
  </si>
  <si>
    <t>Inertization Required
H2 side</t>
  </si>
  <si>
    <t>Interlock of rectifier and H2-product gas valve when hydrogen side is potentially contaminated with air (e.g. after maintenance).</t>
  </si>
  <si>
    <t>V3.4, BM, JS, FK, 2025-11-18: New cause. Rectifier is interlocked in SIL-quality until array is inerted. Product gas valve shall be closed safety oriented to avoid that air(or nitrogen) is pushed downstream to hydrogen environment or to avoid unintended opening of product gas valve until array H2-side is inerted.
V3.4_001, BM, JS, FK, 2026-01-27: changed identifier and comment to make clear, that only H2 side is monitored</t>
  </si>
  <si>
    <t>Gny_PRF_OF_PRG_H2</t>
  </si>
  <si>
    <t>GnyNHX01QN001-BF01</t>
  </si>
  <si>
    <t>H 600.0</t>
  </si>
  <si>
    <t>10.0</t>
  </si>
  <si>
    <t>Nm³/h</t>
  </si>
  <si>
    <t>53 Nm³
(Note 1)</t>
  </si>
  <si>
    <t>and</t>
  </si>
  <si>
    <t>Proof of Purge 
H2 side</t>
  </si>
  <si>
    <t>N2 Flow H2 Side above min. limit during Purge</t>
  </si>
  <si>
    <t>V3.4, BM, JS, FK, MK, 2025-11-25: New purge volume 133 Nm³ -&gt; 53 Nm³/h based on experience in former projects as default setting. 
V3.4_001, BM, JS, FK, 2026-01-27: changed identifier and comment to make clear, that only H2 side is monitored</t>
  </si>
  <si>
    <t>L 100.0</t>
  </si>
  <si>
    <t>Pressure H2 Side below set pressure of PSV</t>
  </si>
  <si>
    <t>Gny_PRF_OF_PRG_O2</t>
  </si>
  <si>
    <t>GnyNHX01QN002-BF01</t>
  </si>
  <si>
    <t>Proof of Purge 
O2 side</t>
  </si>
  <si>
    <t>N2 Flow O2 Side above min. limit during Purge</t>
  </si>
  <si>
    <t>V3.4_001, BM, JS, FK, 2026-01-27: added new cause to evaluate "Proof of Purge" independent for H2 side and O2 side</t>
  </si>
  <si>
    <t>Pressure O2 Side below set pressure of PSV</t>
  </si>
  <si>
    <t>Gny_PRS_N2_SUP_LL</t>
  </si>
  <si>
    <t>GnyNHX01QN001-BP01</t>
  </si>
  <si>
    <t>AL 1.2</t>
  </si>
  <si>
    <t>AZLLL 0.5</t>
  </si>
  <si>
    <t>0.2</t>
  </si>
  <si>
    <t>bar(g)</t>
  </si>
  <si>
    <t>1oo2*</t>
  </si>
  <si>
    <t>N2 supply pressure low</t>
  </si>
  <si>
    <t>Pressure Nitrogen H2 side</t>
  </si>
  <si>
    <t>N2 Supply not available, cross-flow O2/H2 sides over NHX system must be prevented. SIS purge (opening of blow off valves, shut off valve H2 side and closing of product gas valve) shall not be interlocked.-&gt; after 15 min SIS purge is failed and blow off valves will close again.
*One sensor fault: Bypass of faulty sensor and logic is degraded from 1oo2 to 1oo1 without MTTR. In case of two sensor faults the SIF is tripped without delay.</t>
  </si>
  <si>
    <t>V1.4: separated 1oo2 logic into 2x 1oo1 logic, 
because easier to handle with typicals and COMOS
V2.0, 2023-08-16: Shut down of rectifier/polrect in S deleted. Interlock is considered in operational part.
V3.4, 12.11.2025, FK+JS: changed from 2x 1oo1 into 1oo2*</t>
  </si>
  <si>
    <t>GnyNHX01QN002-BP01</t>
  </si>
  <si>
    <t>Pressure Nitrogen O2 side</t>
  </si>
  <si>
    <t>STACK GROUP - TEMPERATURE HIGH</t>
  </si>
  <si>
    <t>Gny_TMP_SG1_HL</t>
  </si>
  <si>
    <t>GnyNHB01EQ001-BT02</t>
  </si>
  <si>
    <t>AH 63.0</t>
  </si>
  <si>
    <t>AZHH 65.0</t>
  </si>
  <si>
    <t>°C</t>
  </si>
  <si>
    <t>1oo2</t>
  </si>
  <si>
    <t>Temperature - SG 1 - High limit</t>
  </si>
  <si>
    <t>cooler outlet H2 side</t>
  </si>
  <si>
    <t>V1.3: Warnung von 68 auf 60°C und trip von 70 auf 65 reduziert (Hintergrund: SGU BASF)
INTERN: Modul TS 75°C auf 80 geändert. Für 30 min auch 85°C erlaubt.
Messfehler abgeschätzt mit 3,2 K (höher als Messunsicherheit des Sensors, aber inkl. Einflüsse in Kabel und Leittechnik, Vorschlag BASF).
max. Spreizung über Modul: EoL, 1,56 A/cm² -&gt; 10,1 K
Erwärmung während Reaktionszeit + Ansprechzeit Sensor: 2,4 K
85°C - 3,2K -10K-2,4 K = 69,4°C -&gt; gewählt 68°C
Falls die Spreizung geändert wird (anderer Modultyp: MLH GDL), muss auch der Grenzwert angepasst werden.
MLH-GDL: 85°C - 3,2K -13 K-2,4 K = 66,4°C -&gt; zu wählen: Trip bei 65°C
V2.0: 2023-08-31 (JS, BM): MV circuit braker deleted.
V3.3, BM+FR, 2025-01-15: Warning limit was increased from 60 to 63 °C, because at partload with BoL stacks, the cooling is nearly not required and with an operating temperature of 60 °C and a slight overshoot of the Temperature Control it can happen that the temperature rises above 60 °C. 
V3.4, BM, FK, MK, JS, TB, 25.11.2025: changed from 1oo1 to 1oo2 to increase the PFD value.</t>
  </si>
  <si>
    <t>GnyNHB01EQ001-BT03</t>
  </si>
  <si>
    <t>cooler outlet O2 side</t>
  </si>
  <si>
    <t>Gny_TMP_SG2_HL</t>
  </si>
  <si>
    <t>GnyNHB02EQ001-BT02</t>
  </si>
  <si>
    <t>Temperature - SG 2 - High limit</t>
  </si>
  <si>
    <t>Gny_TMP_SG2_O2_HL</t>
  </si>
  <si>
    <t>GnyNHB02EQ001-BT03</t>
  </si>
  <si>
    <t>Temperature - SG 2 O2 - High limit</t>
  </si>
  <si>
    <t>Gny_TMP_SG3_HL</t>
  </si>
  <si>
    <t>GnyNHB03EQ001-BT02</t>
  </si>
  <si>
    <t>Temperature - SG 3 - High limit</t>
  </si>
  <si>
    <t>Gny_TMP_SG3_O2_HL</t>
  </si>
  <si>
    <t>GnyNHB03EQ001-BT03</t>
  </si>
  <si>
    <t>Temperature - SG 3 O2 - High limit</t>
  </si>
  <si>
    <t>Gny_TMP_SG4_HL</t>
  </si>
  <si>
    <t>GnyNHB04EQ001-BT02</t>
  </si>
  <si>
    <t>Temperature - SG 4 - High limit</t>
  </si>
  <si>
    <t>Gny_TMP_SG4_O2_HL</t>
  </si>
  <si>
    <t>GnyNHB04EQ001-BT03</t>
  </si>
  <si>
    <t>Temperature - SG 4 O2 - High limit</t>
  </si>
  <si>
    <t>Gny_TMP_SG5_HL</t>
  </si>
  <si>
    <t>GnyNHB05EQ001-BT02</t>
  </si>
  <si>
    <t>Temperature - SG 5 - High limit</t>
  </si>
  <si>
    <t>Gny_TMP_SG5_O2_HL</t>
  </si>
  <si>
    <t>GnyNHB05EQ001-BT03</t>
  </si>
  <si>
    <t>Temperature - SG 5 O2 - High limit</t>
  </si>
  <si>
    <t>Gny_TMP_SG6_HL</t>
  </si>
  <si>
    <t>GnyNHB06EQ001-BT02</t>
  </si>
  <si>
    <t>Temperature - SG 6 - High limit</t>
  </si>
  <si>
    <t>Gny_TMP_SG6_O2_HL</t>
  </si>
  <si>
    <t>GnyNHB06EQ001-BT03</t>
  </si>
  <si>
    <t>Temperature - SG 6 O2 - High limit</t>
  </si>
  <si>
    <t>STACK GROUP - TEMPERATURE LOW</t>
  </si>
  <si>
    <t>AL 5.0</t>
  </si>
  <si>
    <t>AZLL 2.0</t>
  </si>
  <si>
    <t>10 min</t>
  </si>
  <si>
    <t>10s</t>
  </si>
  <si>
    <r>
      <rPr>
        <strike/>
        <sz val="11"/>
        <color theme="1"/>
        <rFont val="Calibri"/>
        <family val="2"/>
        <scheme val="minor"/>
      </rPr>
      <t xml:space="preserve">
</t>
    </r>
    <r>
      <rPr>
        <sz val="11"/>
        <color theme="1"/>
        <rFont val="Calibri"/>
        <family val="2"/>
        <scheme val="minor"/>
      </rPr>
      <t xml:space="preserve">Project specific: Mainly dependent on recooling system and plant location. Especially relevant in multi array plant with water/glycol mixtures (&lt; 0°C). </t>
    </r>
  </si>
  <si>
    <t>GAS ANALYTICS H2</t>
  </si>
  <si>
    <t>shutoff source when high or unknown/invalid, inertization after high</t>
  </si>
  <si>
    <t>Gny_CCN_GA_H2_HL1</t>
  </si>
  <si>
    <t>GnyNHC01BQ001-BQ01</t>
  </si>
  <si>
    <t>AZHHHH 7000</t>
  </si>
  <si>
    <t>ppm</t>
  </si>
  <si>
    <t xml:space="preserve">
1oo2*</t>
  </si>
  <si>
    <t>Concentration - Gas analytic H2 - High limit for Deoxo</t>
  </si>
  <si>
    <t>Concentration of sensor 1</t>
  </si>
  <si>
    <t>2s</t>
  </si>
  <si>
    <t>Deoxo shall be protected by closing the product gas valve until gas quality is good enough again. Limit is not fixed and must be adopted depending on deoxo design.
If no deoxo is installed downstream, the closing of product gas valve  is not mandatory. It may be necessary to change this value to other project specific restrictions/downstream systems.Values below 7.000 ppm are not considered as practical and would limit operation.
*One sensor fault (GA_H2_S1_NOT_RDY or GA_H2_S2_NOT_RDY): Bypass of affected Sensor due to faulty sensor and logic is degraded from 1oo2 to 1oo1. After a delay of 72 h the SIF is tripped.
In case of two sensor faults (GA_H2_S1_NOT_RDY and GA_H2_S2_NOT_RDY) the SIF is tripped without delay.</t>
  </si>
  <si>
    <t xml:space="preserve">
V1.4: Failure cause: fault in refinment distribution. 
Value relevant for deoxo protection . See decision in BASF project. Safety oriented shut down of refinement pump necessary.
26.07.2023 STO of PolRect in S* since AC circuit breaker is sufficient for SIL2
V2.0 2023-08-11: failure in refinement distribution (only possible during electrolyer standby) covered by safety oriented pump shutdown.
V3.2, 2024-07-02, BM, JS, RW: Negations of bad signal, sensor fault and calibration mode deleted since these are covered by "S1 / S2 not ready".
V3.3, 2025-04-23, BM+FR+JS: moved trip of Refinement Pump to from CCN_GA_H2_HL1 to CCN_GA_H2_HL2, because first limit is reserved for Deoxo
V3.4_001, 20260211, BM: changed AHHH to AHHHH due to additional Limit on operational side for N2 purge on O2 side</t>
  </si>
  <si>
    <t>GnyNHC01BQ001-BQ02</t>
  </si>
  <si>
    <t>Concentration of sensor 2</t>
  </si>
  <si>
    <t>Gny_CCN_GA_H2_HL2</t>
  </si>
  <si>
    <t>AZHHHHH 17000</t>
  </si>
  <si>
    <t>Concentration - Gas analytic H2 - High limit for Electrolyzer</t>
  </si>
  <si>
    <t>Not valid for downstream systems (Customer/DeOxo),
Limit reduced to 17000 ppm due to measurement deviation/offset of 3000 ppm. Pump in refinement is shut down in order to prevent foreign gas increase based on faulty water distrbution.
*One sensor fault (GA_H2_S1_NOT_RDY or GA_H2_S2_NOT_RDY): Bypass of affected Sensor due to faulty sensor and logic is degraded from 1oo2 to 1oo1. After a delay of 72 h the SIF is tripped.
In case of two sensor faults (GA_H2_S1_NOT_RDY and GA_H2_S2_NOT_RDY) the SIF is tripped without delay.</t>
  </si>
  <si>
    <t>Gny_GA_H2_S1_NOT_RDY</t>
  </si>
  <si>
    <t>GnyNHC01BQ001-QM27</t>
  </si>
  <si>
    <t>XB02</t>
  </si>
  <si>
    <t>Bool</t>
  </si>
  <si>
    <t>1oo6</t>
  </si>
  <si>
    <t>Gas analytic H2 - Sensor 1 not ready</t>
  </si>
  <si>
    <t>0= cal. valve in calibration pos.</t>
  </si>
  <si>
    <r>
      <t xml:space="preserve">- Sensor Drift (KZ31) is Delta between saved Gas Concentration during Validation (KZ10/KZ20) and saved Setpoint [SP] of Validation Gas (KZ71)
- the Setpoint of the Validation Gas is also saved and only updated when a new Gas Concentration for Validation Gas is saved (i.e. changing the Setpoint is possible without influencing the last evaluation)
- warning/alarm message for calibration request on sensor drift
- min flow at L 10.0 l/h
</t>
    </r>
    <r>
      <rPr>
        <sz val="11"/>
        <color rgb="FF0000FF"/>
        <rFont val="Calibri"/>
        <family val="2"/>
        <scheme val="minor"/>
      </rPr>
      <t>- delay time of 10 s for flow shall be on-delay and off-delay</t>
    </r>
    <r>
      <rPr>
        <sz val="11"/>
        <color theme="1"/>
        <rFont val="Calibri"/>
        <family val="2"/>
        <scheme val="minor"/>
      </rPr>
      <t xml:space="preserve">
* limit values depend on Setpoint [SP] of Validation Gas, e.g. for validation gas of 500 ppm the alarm values should be ASLL -100 ppm (-20% of 500 ppm) and ASHH 1500 ppm (300% of 500 ppm)</t>
    </r>
  </si>
  <si>
    <t>V1.3: Warning changed
double failure not considered (no valid sensor signal available + high foreign gas concentration)
22.05.2023: PolGr führt auf H2 Seite im Normalbetrieb nicht zu einer Fremdgaserhöhung
25.05.2023: Produktgasventil geschlossen, wenn Gasanalyitc aus ist, um Systeme stromab zu schützen. Spülung wieder eingefügt, damit Refinement nicht abgeschaltet werden muss (Problematisch: O2 in H2 bei Refinmentbetrieb)
V2.0 2023-08-16: Shut down of rectifier/polrect/N2 purge only in S*
V2.0: 2023-08-31 (JS, BM): MV circuit braker deleted.
V3.1, V2.1 (FR, 01.02.2024): CMD_PRD_VLV_CLS changed from NP* to S* to keep closed after purge
V3.2, 2024-07-01, BM, RW, JS, FR: GA not ready split up in S1 and S2. Actors (rectifier STO &amp; N2 purge deleted. instead "GA Not Ready"; Sensor drift included from operational part
V3.3, 2025-05-13, FR+RW: the limit values are dynamic and depend on the Setpoint of the Validation Gas; Sensor Drift and Setpoint are saved until new measurement of validation gas</t>
  </si>
  <si>
    <t>GnyNHC01BQ001-BF01</t>
  </si>
  <si>
    <t>XG02</t>
  </si>
  <si>
    <t>10 s</t>
  </si>
  <si>
    <t>0= low flow of sensor 1</t>
  </si>
  <si>
    <t>XM02</t>
  </si>
  <si>
    <t>1= bad signal of sensor 1</t>
  </si>
  <si>
    <t>0= fault of gas sensor 1</t>
  </si>
  <si>
    <t>GnyNHC01BQ001-KZ31</t>
  </si>
  <si>
    <t>AL -15% SP*</t>
  </si>
  <si>
    <t>ASLL -20% SP*</t>
  </si>
  <si>
    <t>Delta
ppmV</t>
  </si>
  <si>
    <t>1 s</t>
  </si>
  <si>
    <t>sensor drift low of gas sensor 1 (from BPCS)</t>
  </si>
  <si>
    <t>AH 200% SP*</t>
  </si>
  <si>
    <t>ASHH 300% SP*</t>
  </si>
  <si>
    <t>sensor drift high of gas sensor 1 (from BPCS)</t>
  </si>
  <si>
    <t>Gny_GA_H2_S2_NOT_RDY</t>
  </si>
  <si>
    <t>GnyNHC01BQ001-QM23</t>
  </si>
  <si>
    <t>Gas analytic H2 - Sensor 2 not ready</t>
  </si>
  <si>
    <t>GnyNHC01BQ001-BF02</t>
  </si>
  <si>
    <t>0= low flow of sensor 2</t>
  </si>
  <si>
    <t>1= bad signal of sensor 2</t>
  </si>
  <si>
    <t>0= fault of gas sensor 2</t>
  </si>
  <si>
    <t>GnyNHC01BQ001-KZ32</t>
  </si>
  <si>
    <t>sensor drift low of gas sensor 2 (from BPCS)</t>
  </si>
  <si>
    <t>sensor drift high of gas sensor 2 (from BPCS)</t>
  </si>
  <si>
    <t>Gny_GA_H2_DIL_FLW</t>
  </si>
  <si>
    <t>GnyNHC01BQ001-QM11</t>
  </si>
  <si>
    <t>20 s</t>
  </si>
  <si>
    <t>2oo8</t>
  </si>
  <si>
    <t>Gasanalytic H2 - Dilution of flow</t>
  </si>
  <si>
    <t>2 sampling valves not closed at the same time</t>
  </si>
  <si>
    <t xml:space="preserve">mixing of gas streams causes invalid measurement. 
Additional operational action:
If valve does not close or open in 5 s after command, corresponding command is triggered twice. If the valve does not react after second command trip is initiated.
</t>
  </si>
  <si>
    <t>V1.3: comment changed, Delay changed to 20s in order to allow simultaneously opening of 2 sampling valves (for smoother switchover and continous flow)
22.05.2023: PolGr führt auf H2 Seite im Normalbetrieb nicht zu einer Fremdgaserhöhung
V2.0 2023-08-16: Shut down of rectifier/polrect/N2 purge only in S*
V2.0: 2023-08-31 (JS, BM): MV circuit braker deleted.</t>
  </si>
  <si>
    <t>GnyNHC01BQ001-QM12</t>
  </si>
  <si>
    <t>Valve does not close</t>
  </si>
  <si>
    <t>bool</t>
  </si>
  <si>
    <t>zwei volle Durchtaktungen</t>
  </si>
  <si>
    <t>Flow O2 in H2 (discont.)</t>
  </si>
  <si>
    <t>GnyNHC01BQ001-QM13</t>
  </si>
  <si>
    <t>GnyNHC01BQ001-QM14</t>
  </si>
  <si>
    <t>GnyNHC01BQ001-QM15</t>
  </si>
  <si>
    <t>GnyNHC01BQ001-QM16</t>
  </si>
  <si>
    <t>GnyNHC01BQ001-QM17</t>
  </si>
  <si>
    <t>GnyNHC01BQ001-QM24</t>
  </si>
  <si>
    <t>Gny_GA_H2_SWC_ERR</t>
  </si>
  <si>
    <t>640 s</t>
  </si>
  <si>
    <t>1oo7</t>
  </si>
  <si>
    <t>Gasanalytic H2 - Switching error</t>
  </si>
  <si>
    <t>sampling valve closed 
for longer than time needed for one measuring cycle</t>
  </si>
  <si>
    <t>Gny_GA_H2_VAL_ERR</t>
  </si>
  <si>
    <t>1 day</t>
  </si>
  <si>
    <t>Gasanalytic H2 - Validation error</t>
  </si>
  <si>
    <t>validation gas valve closed 
for longer than time needed for one measuring cycle</t>
  </si>
  <si>
    <t xml:space="preserve">time needs to be adjusted in accordence with required validation frequency
</t>
  </si>
  <si>
    <t>22.05.2023: PolGr führt auf H2 Seite im Normalbetrieb nicht zu einer Fremdgaserhöhung
V2.0 2023-08-16: Shut down of rectifier/polrect/N2 purge only in S*
V2.0: 2023-08-31 (JS, BM): MV circuit braker deleted.</t>
  </si>
  <si>
    <t>GAS ANALYTICS O2</t>
  </si>
  <si>
    <t>Gny_CCN_GA_O2_HL</t>
  </si>
  <si>
    <t>GnyNHE01BQ001-BQ01</t>
  </si>
  <si>
    <t>AZHHH 2.0</t>
  </si>
  <si>
    <t>0.1</t>
  </si>
  <si>
    <t>%</t>
  </si>
  <si>
    <t xml:space="preserve">Concentration - Gas analytic O2 - High limit </t>
  </si>
  <si>
    <t>adjust acc. to requirements of downstream systems (Customer/DeOxo)
*One sensor fault (GA_O2_S1_NOT_RDY or GA_O2_S2_NOT_RDY): Bypass of affected Sensor due to faulty sensor and logic is degraded from 1oo2 to 1oo1. After a delay of 72 h the SIF is tripped.
In case of two sensor faults (GA_O2_S1_NOT_RDY and GA_O2_S2_NOT_RDY) the SIF is tripped without delay.</t>
  </si>
  <si>
    <r>
      <rPr>
        <sz val="11"/>
        <color rgb="FF000000"/>
        <rFont val="Calibri"/>
        <family val="2"/>
        <scheme val="minor"/>
      </rPr>
      <t xml:space="preserve">V1.3: Warning changed
V1.4: Warning not required because already implemented in operational logic (same sensor)
22.05.2023: PolGr von S auf S* geändert, da bereits über N2 Spülung geschützt
25.05.2023: Produktgasventil von NP auf NP* geändert. </t>
    </r>
    <r>
      <rPr>
        <strike/>
        <sz val="11"/>
        <color rgb="FF000000"/>
        <rFont val="Calibri"/>
        <family val="2"/>
        <scheme val="minor"/>
      </rPr>
      <t xml:space="preserve">Info: H2 Seite muss in S gespült werden, da das Refinement die Ursache für FG sein kann. Mit Spülung auf H2 Seite wird kein H2 mehr auf O2 Seite gefördert.
</t>
    </r>
    <r>
      <rPr>
        <sz val="11"/>
        <color rgb="FF000000"/>
        <rFont val="Calibri"/>
        <family val="2"/>
        <scheme val="minor"/>
      </rPr>
      <t>V2.0 2023-08-11: failure in module  or slow degradation. Purging not required in S. Refinement failure covered by SIS trip of refinement pump-&gt; no purge in S required
V2.0: 2023-08-31 (JS, BM): MV circuit braker deleted.
V3.1, V2.1 (FR, 01.02.2024): CMD_PRD_VLV_CLS changed from NP* to S* to keep closed after purge
V3.2, BM, RW, JS, 2024-07-01: "sensor fault" and "bad signal" deleted since covered by "GA_NOT_RDY"; additionally (1oo3, before 1oo2) "GA_Not_RDY" included.</t>
    </r>
  </si>
  <si>
    <t>GnyNHE01BQ001-BQ02</t>
  </si>
  <si>
    <t>Gny_GA_O2_S1_NOT_RDY</t>
  </si>
  <si>
    <t>GnyNHE01BQ001-QM27</t>
  </si>
  <si>
    <t>Gas analytic O2 - Sensor 1 not ready</t>
  </si>
  <si>
    <r>
      <t xml:space="preserve">- Sensor Drift (KZ31) is Delta between saved Gas Concentration during Validation (KZ10/KZ20) and saved Setpoint [SP] of Validation Gas (KZ71)
- the Setpoint of the Validation Gas is also saved and only updated when a new Gas Concentration for Validation Gas is saved (i.e. changing the Setpoint is possible without influencing the last evaluation)
- warning/alarm message for calibration request on sensor drift
- min flow at L 10.0 l/h
</t>
    </r>
    <r>
      <rPr>
        <sz val="11"/>
        <color rgb="FF0000FF"/>
        <rFont val="Calibri"/>
        <family val="2"/>
        <scheme val="minor"/>
      </rPr>
      <t>- delay time of 10 s for flow shall be on-delay and off-delay</t>
    </r>
    <r>
      <rPr>
        <sz val="11"/>
        <color theme="1"/>
        <rFont val="Calibri"/>
        <family val="2"/>
        <scheme val="minor"/>
      </rPr>
      <t xml:space="preserve">
* limit values depend on Setpoint [SP] of Validation Gas, e.g. for validation gas of 1.2 Vol% the alarm values should be ASLL -0.12 Vol% (-10% of 1.2 Vol%) and ASHH 0.3 Vol% (25% of 1.2 Vol%)</t>
    </r>
  </si>
  <si>
    <t>GnyNHE01BQ001-BF01</t>
  </si>
  <si>
    <t>GnyNHE01BQ001-KZ31</t>
  </si>
  <si>
    <t>AL -8% SP*</t>
  </si>
  <si>
    <t>ASLL -10% SP*</t>
  </si>
  <si>
    <t>Delta
Vol %</t>
  </si>
  <si>
    <t>sensor drift low of gas sensor 1 (signal from BPCS)</t>
  </si>
  <si>
    <t>AH 20% SP*</t>
  </si>
  <si>
    <t>ASHH 25% SP*</t>
  </si>
  <si>
    <t>sensor drift high of gas sensor 1 (signal from BPCS)</t>
  </si>
  <si>
    <t>Gny_GA_O2_S2_NOT_RDY</t>
  </si>
  <si>
    <t>GnyNHE01BQ001-QM23</t>
  </si>
  <si>
    <t>Gas analytic O2 - Sensor 2 not ready</t>
  </si>
  <si>
    <t>GnyNHE01BQ001-BF02</t>
  </si>
  <si>
    <t>GnyNHE01BQ001-KZ32</t>
  </si>
  <si>
    <t>sensor drift low of gas sensor 2 (signal from BPCS)</t>
  </si>
  <si>
    <t>sensor drift high of gas sensor 2 (signal from BPCS)</t>
  </si>
  <si>
    <t>Gny_GA_O2_DIL_FLW</t>
  </si>
  <si>
    <t>GnyNHE01BQ001-QM11</t>
  </si>
  <si>
    <t>Gasanalytic O2 - Dilution of flow</t>
  </si>
  <si>
    <t>V1.3: comment changed, Delay changed
22.05.2023: PolGr von S auf S* geändert, da bereits über N2 Spülung geschützt
V2.0 2023-08-16: Shut down of rectifier/polrect/N2 purge only in S*
V2.0: 2023-08-31 (JS, BM): MV circuit braker deleted.
V3.4_001, FK+FP, 13.01.2026: added QM17</t>
  </si>
  <si>
    <t>GnyNHE01BQ001-QM12</t>
  </si>
  <si>
    <t>GnyNHE01BQ001-QM13</t>
  </si>
  <si>
    <t>GnyNHE01BQ001-QM14</t>
  </si>
  <si>
    <t>GnyNHE01BQ001-QM15</t>
  </si>
  <si>
    <t>GnyNHE01BQ001-QM16</t>
  </si>
  <si>
    <t>GnyNHE01BQ001-QM17</t>
  </si>
  <si>
    <t>GnyNHE01BQ001-QM24</t>
  </si>
  <si>
    <t>Gny_GA_O2_SWC_ERR</t>
  </si>
  <si>
    <t>Gasanalytic O2 - Switching error</t>
  </si>
  <si>
    <t>Gny_GA_O2_VAL_ERR</t>
  </si>
  <si>
    <t>Gasanalytic O2 - Validation error</t>
  </si>
  <si>
    <t xml:space="preserve">time needs to be adjusted in accordience with required validation frequency
</t>
  </si>
  <si>
    <t>V2.0 2023-08-16: Shut down of rectifier/polrect/N2 purge only in S*
V2.0: 2023-08-31 (JS, BM): MV circuit braker deleted.</t>
  </si>
  <si>
    <t>RECTIFIER SYSTEM (THYRIPOL) - RECTIFIER</t>
  </si>
  <si>
    <t>Gny_D_CUR_REC1&amp;2_HL</t>
  </si>
  <si>
    <t>GnyNHA01BZ011-KZ02</t>
  </si>
  <si>
    <t>AZH |500.0|</t>
  </si>
  <si>
    <t>A</t>
  </si>
  <si>
    <t>2oo2</t>
  </si>
  <si>
    <t>Delta between Rect1 and Rect2 too high (delta &gt; 500 A) &amp; rectifier current too low or too high - DCM control failure</t>
  </si>
  <si>
    <t>too high delta between Rectifier
 currents</t>
  </si>
  <si>
    <t>5 h*</t>
  </si>
  <si>
    <t>GnyNHA01BZ011-BC01</t>
  </si>
  <si>
    <t>or</t>
  </si>
  <si>
    <t>GnyNHA01BZ012-BC01</t>
  </si>
  <si>
    <t>Gny_D_CUR_REC3&amp;4_HL</t>
  </si>
  <si>
    <t>GnyNHA01BZ013-KZ02</t>
  </si>
  <si>
    <t>Delta between Rect3 and Rect4 too high (delta &gt; 500 A) &amp; rectifier current too low or too high - DCM control failure</t>
  </si>
  <si>
    <t>GnyNHA01BZ013-BC01</t>
  </si>
  <si>
    <t>GnyNHA01BZ014-BC01</t>
  </si>
  <si>
    <t>Gny_CMD_REC1_OFF_FLT</t>
  </si>
  <si>
    <t>GnyNHA01TB001-KF01</t>
  </si>
  <si>
    <t>Rectifier 1 
Protection Command (E-Stop) Fault</t>
  </si>
  <si>
    <t>1= Prot. Feedback Off not active</t>
  </si>
  <si>
    <t>H 100</t>
  </si>
  <si>
    <t>SIL Current Meas. &gt; 100A</t>
  </si>
  <si>
    <t>YB32</t>
  </si>
  <si>
    <t>3 s</t>
  </si>
  <si>
    <t>0= Prot. Cmd. (E-Stop) active</t>
  </si>
  <si>
    <t>Gny_CMD_REC2_OFF_FLT</t>
  </si>
  <si>
    <t>GnyNHA01TB002-KF01</t>
  </si>
  <si>
    <t>Rectifier 2 
Protection Command (E-Stop) Fault</t>
  </si>
  <si>
    <t>Gny_CMD_REC3_OFF_FLT</t>
  </si>
  <si>
    <t>GnyNHA01TB003-KF01</t>
  </si>
  <si>
    <t>Rectifier 3 
Protection Command (E-Stop) Fault</t>
  </si>
  <si>
    <t>Gny_CMD_REC4_OFF_FLT</t>
  </si>
  <si>
    <t>GnyNHA01TB004-KF01</t>
  </si>
  <si>
    <t>Rectifier 4 
Protection Command (E-Stop) Fault</t>
  </si>
  <si>
    <t>Gny_REC1_NOT_OFF</t>
  </si>
  <si>
    <t>Rectifier 1 not off</t>
  </si>
  <si>
    <t>Opening of DC disconnectors blocked while rectifiers in operation (&gt;100 A).
Only status message shall be triggered on this cause, as this is not a fault condition.</t>
  </si>
  <si>
    <t>V3.0, BM, 8.11.2023: new modular rectifier design
V3.3, FR, 01.10.2024: STO and SCO not active (2oo2) instead of STO/E-Stop (1oo2), otherwise operational opening of DC disconnectors would not work
V3.3, BM, 02.04.2025: Fedback changed from 0=active to 1=active;  "STO" changed to "Prot. Cmd. (E-Stop)", added evaluation of SIL Current Measurement to determine whether Rectifier is Off, because Feedback of Prot. Cmd is not reliable enough
V3.3, FR+AD, 04.04.2025: simplified to 1oo1 after discussion with Arne: it should be enough to evaluate the SIL Current Measurement, Disconnectors are only opened operationally after the rectifier pulses were disabled and the E-Stop was activated. If SIL Current Measurement does not work correctly, the rectifiers are blocked via Delta Current SIF already</t>
  </si>
  <si>
    <t>Gny_REC2_NOT_OFF</t>
  </si>
  <si>
    <t>Rectifier 2 not off</t>
  </si>
  <si>
    <t>Gny_REC3_NOT_OFF</t>
  </si>
  <si>
    <t>Rectifier 3 not off</t>
  </si>
  <si>
    <t>Gny_REC4_NOT_OFF</t>
  </si>
  <si>
    <t>Rectifier 4 not off</t>
  </si>
  <si>
    <t>EMERGENCY STOP (THYRIPOL)</t>
  </si>
  <si>
    <t>Gny_EM_STOP_RECT</t>
  </si>
  <si>
    <t>GnyNHA01KF001-SF01</t>
  </si>
  <si>
    <t>XW01/02</t>
  </si>
  <si>
    <t>Emergency Stop - Rectifier Cabinet</t>
  </si>
  <si>
    <t>ESD Rectifier Control Cabinet</t>
  </si>
  <si>
    <t xml:space="preserve">-Manual pushbutton on rectifier I&amp;C cabinet
-project specific definition of door switches and ESD buttonsthat shall be considered
- control does not initiate opening of DC disconnectors and discharging by discharge resistors -&gt; rest voltage stays active 
</t>
  </si>
  <si>
    <t xml:space="preserve">
N2 purge deleted.Cause identifier changed from EM_STOP to EM_STOP_RECT
V3.2, 2024-03-11 (BM) comment added: "- control does not initiate opening of DC disconnectors and discharging by discharge resistors -&gt; rest voltage stays active"
V3.3 seperated into an individual cause
V3.4, FK, JS, 2025-12-10: removed MOS</t>
  </si>
  <si>
    <t>Gny_DOOR_CTC_RECT</t>
  </si>
  <si>
    <t>GnyNHA01QQ001-BG01</t>
  </si>
  <si>
    <t>Door Contact - Recifier Room</t>
  </si>
  <si>
    <t>Door contact rectifier room (supplied by customer)
OPTIONAL</t>
  </si>
  <si>
    <t>5 h</t>
  </si>
  <si>
    <t>Project specific decision if needed. 
Normally organizational measures (lock at door) are sufficient for rectifier room access. See building requirements and HAZOP. If door contact is used, the rectifier shut down shall be followed by automatic start of maintenance step sequence which activates discharge resistors.- Rectifer door contact to be deactivated for commissioning purpose only.</t>
  </si>
  <si>
    <t>V2.0, 2023-08-30: Comment for door switches added. 
V3.1, 2024-01-17 (RW, FR, BM): door contacts and RDS for signals and switsches updated (fence and door contact new)
V3.3 seperated into an individual cause
V3.3, BM, FR, JS: Door contact only optional. If automatic shut dwown is considered automatic discharge shall be considered as well.
V3.4, BM, 8.12.2025: no rectifier room anymore since rectifier is installed inside array fence</t>
  </si>
  <si>
    <t>Gny_DOOR_CTC_ARRAY</t>
  </si>
  <si>
    <t>GnyNHY01QQ001-BG01</t>
  </si>
  <si>
    <t>Door Contact - Array Fence</t>
  </si>
  <si>
    <t>Door contact - Array Fence
(supplied by customer)
ONLY OPTIONAL</t>
  </si>
  <si>
    <t>Project specific decision if needed. Normally organizational measures (lock at gate) are sufficient for array access. See building requirements and HAZOP. If door contact is used, the rectifier shut down shall be followed by automatic start of maintenance step sequence which activates discharge resistors.
The "MV Circuit Breaker" should be tripped only, when the AC side of the rectifiers can be accessed from the Array fence area. In projects with a separate rectifier room, the trip of the "MV Circuit Breaker" is not required.</t>
  </si>
  <si>
    <t>V3.3, 2025-04-01 (FR, FP): changed Door contact Array Fence "G01NHY01KF001-BG01" to "G01NHY01QQ01-BG01", seperated into an individual cause
V3.3, BM, FR, JS: Door contact only optional. If automatic shut dwown is considered automatic discharge shall be considered as well.
V3.4, BM, FK, JS, TB, MK,2025-12-10: deleted to simplify project execution. Organizational measures are sufficient. Building requirements shall be adopted accordingly that door contact is no option.</t>
  </si>
  <si>
    <t>Gny_EM_STOP_ARRAY</t>
  </si>
  <si>
    <t>GnyNHY01KF001-SF01</t>
  </si>
  <si>
    <t>Emergency Stop - Array Cabinet</t>
  </si>
  <si>
    <t>Array I&amp;C Cabinet</t>
  </si>
  <si>
    <t xml:space="preserve">-Manual pushbutton on array I&amp;C cabinet
</t>
  </si>
  <si>
    <t>V2.0: 2023-08-31 (JS, RW, BM) added as new loop.
V3.1, 2024-01-17 (RW, FR, BM): Rectifier ESD button changed to ESD of Array I&amp;C. Plant ESD deleted since already covered by BoP part.
V3.1, V2.1 (FR, 01.02.2024): CMD_PRD_VLV_CLS changed from NP* to S* to keep closed after purge
V3.3 (FR, 01.04.2024): "1ooX" changed to "1oo1", seperated into an individual cause
V3.4, FK, JS, 2025-12-10: removed MOS</t>
  </si>
  <si>
    <t>TRANSFORMER (THYRIPOL)</t>
  </si>
  <si>
    <t>Gny_TRF_BHZ_PROT</t>
  </si>
  <si>
    <t>GnyNHA01TA001-BU01</t>
  </si>
  <si>
    <t>Buchholz Protection</t>
  </si>
  <si>
    <t>also hardwired via E-Stop loop to MV CB</t>
  </si>
  <si>
    <t>V3.4, JN, BM, 19.08.2025: comment in column "M" changed from "also hardiwired" or "also harwired to MV CB" to "also harwired via E-stop loop to MV CB"</t>
  </si>
  <si>
    <t>Gny_TMP_WND_TRF_HL</t>
  </si>
  <si>
    <t>GnyNHA01TA001-BT02</t>
  </si>
  <si>
    <t>Winding Temperature Transformer High</t>
  </si>
  <si>
    <t>Gny_TMP_OIL_TRF_HL</t>
  </si>
  <si>
    <t>GnyNHA01TA001-BT01</t>
  </si>
  <si>
    <t>Oil temp. Transformer High</t>
  </si>
  <si>
    <t>Gny_PRS_OIL_TRF_HL</t>
  </si>
  <si>
    <t>GnyNHA01TA001-FL01</t>
  </si>
  <si>
    <t>Transformer Oil pressure High</t>
  </si>
  <si>
    <t>13.11.2025
implemented change</t>
  </si>
  <si>
    <t>F. Kneppe</t>
  </si>
  <si>
    <t>V3.4, JN, BM, 19.08.2025: comment in column "M" changed from "also hardiwired" or "also harwired to MV CB" to "also harwired via E-stop loop to MV CB"
V3.4, BM, RK, 10.10.2025: "RDSPP changed from "...BP..." to "...FL...", since it is a PSV with position feedback and not a pressure switch</t>
  </si>
  <si>
    <t>Gny_PRS_OIL_TCH_HL</t>
  </si>
  <si>
    <t>GnyNHA01TA001-FL02</t>
  </si>
  <si>
    <t>Tap Changer Oil pressure High</t>
  </si>
  <si>
    <t>V3.1 (BM): added as new cause &amp; effect in V2.1
V3.4, JN, BM, 19.08.2025: comment in column "M" changed from "also hardwired" or "also harwired to MV CB" to "also harwired via E-stop loop to MV CB"
V3.4, BM, RK, 10.10.2025: "RDSPP changed from "...BP..." to "...FL...", since it is a PSV with position feedback and not a pressure switch</t>
  </si>
  <si>
    <t>Gny_TMP_OIL_TCH_HL</t>
  </si>
  <si>
    <t>GnyNHA01TA001-BU02</t>
  </si>
  <si>
    <t>Tap changer Protective Relay</t>
  </si>
  <si>
    <t>no pre-alarm available</t>
  </si>
  <si>
    <t>Gny_CUR_1&amp;2_TRF_HL</t>
  </si>
  <si>
    <t>GnyNHA01TA001-FC01</t>
  </si>
  <si>
    <t>XG01</t>
  </si>
  <si>
    <t>Overcurrent protection 1 &amp; 2</t>
  </si>
  <si>
    <t>pre-alarm seperate (pick-up)</t>
  </si>
  <si>
    <t>Gny_CUR_3&amp;4_TRF_HL</t>
  </si>
  <si>
    <t>GnyNHA01TA001-FC02</t>
  </si>
  <si>
    <t>Overcurrent protection 3 &amp; 4</t>
  </si>
  <si>
    <t>Gny_TCH_SWC_ERR</t>
  </si>
  <si>
    <t>1.4</t>
  </si>
  <si>
    <t>GnyNHA01TA001-QA02</t>
  </si>
  <si>
    <t>Tap changer incomplete switching</t>
  </si>
  <si>
    <t>RECTIFIER SYSTEM (THYRIPOL) - DISCONNECTORS</t>
  </si>
  <si>
    <t>Gny_DC-_REC1_HWL_PLG</t>
  </si>
  <si>
    <t>GnyNHA01QZ001-QB02</t>
  </si>
  <si>
    <t>Rectifier 1 DC- disconnector
Handwheel plugged</t>
  </si>
  <si>
    <t>DC- handwheel plugged</t>
  </si>
  <si>
    <t>Operation of disconnectors and rectifiers blocked when hand wheel of DC disconnetors is plugged.</t>
  </si>
  <si>
    <t>V3.0, BM, 8.11.2023: new modular rectifier design
V3.3, BM+FR, 16.10.2024: N* added to block disconnector operation
deleted "During operation of rectifiers the trip is not active"</t>
  </si>
  <si>
    <t>Gny_DC-_REC2_HWL_PLG</t>
  </si>
  <si>
    <t>GnyNHA01QZ002-QB02</t>
  </si>
  <si>
    <t>Rectifier 2 DC- disconnector
Handwheel plugged</t>
  </si>
  <si>
    <t>Gny_DC-_REC3_HWL_PLG</t>
  </si>
  <si>
    <t>GnyNHA01QZ003-QB02</t>
  </si>
  <si>
    <t>Rectifier 3 DC- disconnector
Handwheel plugged</t>
  </si>
  <si>
    <t>Gny_DC-_REC4_HWL_PLG</t>
  </si>
  <si>
    <t>GnyNHA01QZ004-QB02</t>
  </si>
  <si>
    <t>Rectifier 4 DC- disconnector
Handwheel plugged</t>
  </si>
  <si>
    <t>Gny_DC+_REC1_HWL_PLG</t>
  </si>
  <si>
    <t>GnyNHA01QZ001-QB01</t>
  </si>
  <si>
    <t>Rectifier 1 DC+ disconnector
Handwheel plugged</t>
  </si>
  <si>
    <t>DC+ handwheel plugged</t>
  </si>
  <si>
    <t>Gny_DC+_REC2_HWL_PLG</t>
  </si>
  <si>
    <t>GnyNHA01QZ002-QB01</t>
  </si>
  <si>
    <t>Rectifier 2 DC+ disconnector
Handwheel plugged</t>
  </si>
  <si>
    <t>Gny_DC+_REC3_HWL_PLG</t>
  </si>
  <si>
    <t>GnyNHA01QZ003-QB01</t>
  </si>
  <si>
    <t>Rectifier 3 DC+ disconnector
Handwheel plugged</t>
  </si>
  <si>
    <t>Gny_DC+_REC4_HWL_PLG</t>
  </si>
  <si>
    <t>GnyNHA01QZ004-QB01</t>
  </si>
  <si>
    <t>Rectifier 4 DC+ disconnector
Handwheel plugged</t>
  </si>
  <si>
    <t>Rectifier Current (IGBT) - OPTIONAL</t>
  </si>
  <si>
    <t>D_CUR_REC1&amp;2_HL</t>
  </si>
  <si>
    <t>G01NHA01BZ011-KZ02</t>
  </si>
  <si>
    <t>Delta between Rect Row 1 and Rect Row 2 too high (delta &gt; 500 A) &amp; rectifier current too low or too high - DCM control failure</t>
  </si>
  <si>
    <t>Internal control failure of DCM leads to too low or too high current of one rectifier row. N2 purge shall start after array shutdown.
Max.allowable  trip value for delta is 500 A.
If current measurement signal is "bad quality" or lost, protection loop shall be triggered.</t>
  </si>
  <si>
    <t>V1.4 added due to QIS item (DCM control failure)
V2.0: 28.08.2023 (BM) Falls das Stromsignal verloren geht soll der Schutzkreis auslösen. Es soll kein Ersatzwert gebildet werden.
V2.0: 2023-08-31 (JS, BM): N2 purge not part of SIL loop, since local zones are small and not considered dangerous.
V3.0, BM, 25.10.2023: TAG numbers of SIS Measurment changed
BM, 8.11.2023: Name of loop identifier changed
V3.1, V2.1 (FR, 01.02.2024): CMD_PRD_VLV_CLS changed from NP* to S* to keep closed after purge</t>
  </si>
  <si>
    <t>G01NHA01BZ011-BC01</t>
  </si>
  <si>
    <t>L 2500</t>
  </si>
  <si>
    <t>G01NHA01BZ012-BC01</t>
  </si>
  <si>
    <t>H 8000</t>
  </si>
  <si>
    <t>Emergency Stop (IGBT) - OPTIONAL</t>
  </si>
  <si>
    <t>EM_STOP_RECT</t>
  </si>
  <si>
    <t>G01NHA01TB001-SF01</t>
  </si>
  <si>
    <t>1ooX</t>
  </si>
  <si>
    <t>emergency stop rectifier / door contact (rect. room &amp; array fence)</t>
  </si>
  <si>
    <t>LV Control Panel (IGBT)
Row 1</t>
  </si>
  <si>
    <t xml:space="preserve">-Manual pushbutton on rectifier LV Control cabinet
- Rectifer housing door contact to be deactivated for commissioning purpose only
- Rectifier housing door contact is implemented in IGBT converter (Ingeteam's scope)
- control does not initiate opening of DC disconnectors and discharging by discharge resistors -&gt; rest voltage stays active 
- Fence contact optional
</t>
  </si>
  <si>
    <t>V2.0, 2023-08-30: Comment for door switches added.
N2 purge deleted.Cause identifier changed from EM_STOP to EM_STOP_RECT
V3.1, 2024-01-17 (RW, FR, BM): door contacts and RDS for signals and switsches updated (fence and door contact new)
V3.2, 2024-03-11 (BM) comment added: "- control does not initiate opening of DC disconnectors and discharging by discharge resistors -&gt; rest voltage stays active"</t>
  </si>
  <si>
    <t>G01NHA01TB002-SF01</t>
  </si>
  <si>
    <t>LV Control Panel (IGBT)
Row2</t>
  </si>
  <si>
    <t>G01NHA01QQ001-BG01</t>
  </si>
  <si>
    <t>Door contact rectifier housing</t>
  </si>
  <si>
    <t>G01NHY01KF001-BG01
Array fence contact</t>
  </si>
  <si>
    <t>Fence door contact
(optional, supplied by customer)</t>
  </si>
  <si>
    <t>Transformer (IGBT) - OPTIONAL</t>
  </si>
  <si>
    <t>TRF_BHZ_PROT_ROW1</t>
  </si>
  <si>
    <t>G01NHA01TA001-BU01</t>
  </si>
  <si>
    <t>also hardwired to MV CB</t>
  </si>
  <si>
    <t>TMP_WND_TRF_HL</t>
  </si>
  <si>
    <t>G01NHA01TA001-BT02</t>
  </si>
  <si>
    <t>project specific</t>
  </si>
  <si>
    <t>TMP_OIL_TRF_HL_ROW1</t>
  </si>
  <si>
    <t>G01NHA01TA001-BT01</t>
  </si>
  <si>
    <t>PRS_OIL_TRF_HL_ROW1</t>
  </si>
  <si>
    <t>G01NHA01TA001-BP01</t>
  </si>
  <si>
    <t>TMP_OIL_TCH_HL_ROW1</t>
  </si>
  <si>
    <t>G01NHA01TA001-BU02</t>
  </si>
  <si>
    <t>CUR_TRF1_HL</t>
  </si>
  <si>
    <t>T01BBA01QA00x-BC01</t>
  </si>
  <si>
    <t>Overcurrent protection Row 1</t>
  </si>
  <si>
    <t>integral function of MV CB
(not processes in array control)</t>
  </si>
  <si>
    <t>Trip and shut down of MV CB directly implemented in MV Switchgear by others.
x= number of Array (starting number tbd)
AC CB will not be tripped since covered by MV CB feedback (not closed)</t>
  </si>
  <si>
    <t>TCH_SWC_ERR_ROW1</t>
  </si>
  <si>
    <t>G01NHA01TA001-QA02</t>
  </si>
  <si>
    <t>TRF_BHZ_PROT_ROW2</t>
  </si>
  <si>
    <t>G01NHA01TA002-BU01</t>
  </si>
  <si>
    <t>G01NHA01TA002-BT02</t>
  </si>
  <si>
    <t>Project  specific</t>
  </si>
  <si>
    <t>TMP_OIL_TRF_HL_ROW2</t>
  </si>
  <si>
    <t>G01NHA01TA002-BT01</t>
  </si>
  <si>
    <t>PRS_OIL_TRF_HL_ROW2</t>
  </si>
  <si>
    <t>G01NHA01TA002-BP01</t>
  </si>
  <si>
    <t>TMP_OIL_TCH_HL_ROW2</t>
  </si>
  <si>
    <t>G01NHA01TA002-BU02</t>
  </si>
  <si>
    <t>CUR_TRF2_HL</t>
  </si>
  <si>
    <t>T01BBA01QA00x-BC02</t>
  </si>
  <si>
    <t>Overcurrent protection Row 2</t>
  </si>
  <si>
    <t>TCH_SWC_ERR_ROW2</t>
  </si>
  <si>
    <t>G01NHA01TA002-QA02</t>
  </si>
  <si>
    <t>Rectifier System (IGBT) - OPTIONAL</t>
  </si>
  <si>
    <t>AC_RW1_NO</t>
  </si>
  <si>
    <t>G01NHA01QZ001-QA10</t>
  </si>
  <si>
    <t>GrpErr</t>
  </si>
  <si>
    <t>5 s</t>
  </si>
  <si>
    <t>1oo4</t>
  </si>
  <si>
    <t>AC CB Rectifier Row 1
Feedback Fault Open</t>
  </si>
  <si>
    <t>AC CBs feedback error (do not open)</t>
  </si>
  <si>
    <t>When AC CBs do not open, if required, the next higher switch (MV CB) is opened.
Logic implemented by IGBT controller, too.</t>
  </si>
  <si>
    <t>G01NHA01QZ001-QA20</t>
  </si>
  <si>
    <t>G01NHA01QZ001-QA30</t>
  </si>
  <si>
    <t>G01NHA01QZ001-QA40</t>
  </si>
  <si>
    <t>AC_RW2_NO</t>
  </si>
  <si>
    <t>G01NHA01QZ002-QA10</t>
  </si>
  <si>
    <t>AC CB Rectifier Row 2
Feedback Fault Open</t>
  </si>
  <si>
    <t>G01NHA01QZ002-QA20</t>
  </si>
  <si>
    <t>G01NHA01QZ002-QA30</t>
  </si>
  <si>
    <t>G01NHA01QZ002-QA40</t>
  </si>
  <si>
    <r>
      <rPr>
        <sz val="10"/>
        <color rgb="FF000000"/>
        <rFont val="Arial"/>
        <family val="2"/>
      </rPr>
      <t xml:space="preserve"> </t>
    </r>
    <r>
      <rPr>
        <sz val="36"/>
        <color rgb="FF000000"/>
        <rFont val="Arial"/>
        <family val="2"/>
      </rPr>
      <t xml:space="preserve">Operational Protection
</t>
    </r>
    <r>
      <rPr>
        <sz val="20"/>
        <color rgb="FF000000"/>
        <rFont val="Arial"/>
        <family val="2"/>
      </rPr>
      <t xml:space="preserve">Electrolysis System ny - Elyzer P-300 Reference Plant
</t>
    </r>
    <r>
      <rPr>
        <sz val="12"/>
        <color rgb="FFFF0000"/>
        <rFont val="Arial"/>
        <family val="2"/>
      </rPr>
      <t xml:space="preserve">- has to be adjusted project specifically - 
</t>
    </r>
    <r>
      <rPr>
        <sz val="10"/>
        <color rgb="FF000000"/>
        <rFont val="Arial"/>
        <family val="2"/>
      </rPr>
      <t>S --&gt; storing, reset required
N --&gt; non storing, no reset required
NP--&gt; non storing purge, reset when purge is finished or canceled</t>
    </r>
  </si>
  <si>
    <t>Rectifier 1-4 OFF (immediate)</t>
  </si>
  <si>
    <t>Rectifier 1-4 OFF (ramp) 3)</t>
  </si>
  <si>
    <t>Discharge resistor x</t>
  </si>
  <si>
    <t>N2 Purging H2&amp;O2 side</t>
  </si>
  <si>
    <t>Controlled N2 Purging O2 side</t>
  </si>
  <si>
    <t>Array - Inert required</t>
  </si>
  <si>
    <t>Array - H2 ready</t>
  </si>
  <si>
    <t>Rectifier Cooling Pump</t>
  </si>
  <si>
    <t>Water Refinement Pump</t>
  </si>
  <si>
    <t>Buffer Tank - Set Inert required</t>
  </si>
  <si>
    <t>Buffer Tank - Reset H2 ready</t>
  </si>
  <si>
    <t>Gas Analytic H2/O2</t>
  </si>
  <si>
    <t>Sample Gas Pump 1 H2</t>
  </si>
  <si>
    <t>Sample Gas Pump 2 H2</t>
  </si>
  <si>
    <t>Sample Gas Pump 1 O2</t>
  </si>
  <si>
    <t>Sample Gas Pump 2 O2</t>
  </si>
  <si>
    <t>Trafo Oil Pump</t>
  </si>
  <si>
    <t>MV Circuit Breaker 2)</t>
  </si>
  <si>
    <t>Tap changer 1)</t>
  </si>
  <si>
    <t>Rectifier 1-2 OFF (immediate)</t>
  </si>
  <si>
    <t>Rectifier 1-2 OFF (ramp) 3)</t>
  </si>
  <si>
    <t>DC Disconnectors 
Rectifier 
Row 1&amp;2</t>
  </si>
  <si>
    <t>AC Circuit Breakers Row 1</t>
  </si>
  <si>
    <t>AC Circuit Breakers Row 2</t>
  </si>
  <si>
    <t>Load reduction to 40 %</t>
  </si>
  <si>
    <t>=GnyNHA01TB001-KF01;YQ02
=GnyNHA01TB002-KF01;YQ02
=GnyNHA01TB003-KF01;YQ02
=GnyNHA01TB004-KF01;YQ02</t>
  </si>
  <si>
    <t>=GnyNHA01TB001-KF01;YQ01
=GnyNHA01TB002-KF01;YQ01
=GnyNHA01TB003-KF01;YQ01
=GnyNHA01TB004-KF01;YQ01</t>
  </si>
  <si>
    <t>=GnyNHA01RA00x-KF01;YB11</t>
  </si>
  <si>
    <t>=GnyNHX01KF201/KZ00</t>
  </si>
  <si>
    <t>=GnyNHX01QN001-QN01</t>
  </si>
  <si>
    <t>=GnyNHX01QN002-QN01</t>
  </si>
  <si>
    <t>=GnyNHY01KF101/KZ103</t>
  </si>
  <si>
    <t>=GnyNHY01KF101/KZ100</t>
  </si>
  <si>
    <t>=GnyNHG01QM001-QM01;YB31</t>
  </si>
  <si>
    <t>=GnyNHA01EQ001-GP01;YB21
=GnyNHA01EQ001-GP02;YB21</t>
  </si>
  <si>
    <t>=GnyNHH01HP001-GP01;YV01</t>
  </si>
  <si>
    <t>=GnyNHY01KF102;YV01</t>
  </si>
  <si>
    <t>=GnyNHY01KF102;YV02</t>
  </si>
  <si>
    <t>=GnyNHC01KF202/KZ16
=GnyNHE01KF202/KZ16</t>
  </si>
  <si>
    <t>=GnyNHC01BQ001-GP01
=GnyNHC01BQ001-QM70</t>
  </si>
  <si>
    <t>=GnyNHC01BQ001-GP02
=GnyNHC01BQ001-QM71</t>
  </si>
  <si>
    <t>=GnyNHE01BQ001-GP01
=GnyNHE01BQ001-QM70</t>
  </si>
  <si>
    <t>=GnyNHE01BQ001-GP02
=GnyNHE01BQ001-QM71</t>
  </si>
  <si>
    <t>=GnyNHA01TA001-GP01;YB11
=GnyNHA01TA001-GP02;YB11</t>
  </si>
  <si>
    <t>=T01BBA01QA00x-QA01;YW01</t>
  </si>
  <si>
    <t>=GnyNHA01TA001-QA02;YB22</t>
  </si>
  <si>
    <t>=GnyNHA01TB001-KF01;YQ02
=GnyNHA01TB002-KF01;YQ02</t>
  </si>
  <si>
    <t>=GnyNHA01TB001-KF01;YQ01
=GnyNHA01TB002-KF01;YQ01</t>
  </si>
  <si>
    <t>=G01NHA01TA002-QA02;YB22</t>
  </si>
  <si>
    <t>=G01NHA01QZ001-QA12;YB12</t>
  </si>
  <si>
    <t>=G01NHA01QZ001-QA32;YB12</t>
  </si>
  <si>
    <t>=G01NHA01QZ002-QA12;YB12</t>
  </si>
  <si>
    <t>=G01NHA01QZ002-QA32;YB12</t>
  </si>
  <si>
    <t>=G01NHA01QZ001-QA12;YB12
'=G01NHA01QZ001-QA13;YB12</t>
  </si>
  <si>
    <t>=G01NHA01QZ001-QA32;YB12
=G01NHA01QZ001-QA33;YB12</t>
  </si>
  <si>
    <t>=G01NHA01QZ002-QA12;YB12
=G01NHA01QZ002-QA13;YB12</t>
  </si>
  <si>
    <t>=G01NHA01QZ002-QA33;YB12
=G01NHA01QZ002-QA32;YB12</t>
  </si>
  <si>
    <t>=G01NHA01KF201-/KZ31</t>
  </si>
  <si>
    <t>=G01NHA01KF201-/KZ32</t>
  </si>
  <si>
    <t>INTERNAL: 
'V3.3: Columns for Rectifier 3 &amp; 4, "trafo oil pump" and column "rect. Cooling pump" are only applicable for thyristor based rectifier system.
Rectifier OFF shall trigger the shut down sequence of rectifiers incl. opening of all AC circuit breakers (by Ingeteam).</t>
  </si>
  <si>
    <t>start</t>
  </si>
  <si>
    <t>on</t>
  </si>
  <si>
    <t>Not open</t>
  </si>
  <si>
    <t>Not closing</t>
  </si>
  <si>
    <t>PLS#</t>
  </si>
  <si>
    <t>Identifier</t>
  </si>
  <si>
    <t>Switch/Limit</t>
  </si>
  <si>
    <t>W_DC</t>
  </si>
  <si>
    <t>A_DC</t>
  </si>
  <si>
    <t>A_DG</t>
  </si>
  <si>
    <t>Func 2</t>
  </si>
  <si>
    <t>INTERFACE (TO BLOCK)</t>
  </si>
  <si>
    <t>Warning: Country specific requirements DE: separation is required.</t>
  </si>
  <si>
    <t>GnyNHY01KF101-KZ81</t>
  </si>
  <si>
    <t>Communication fault with Block</t>
  </si>
  <si>
    <t>Lifebit freezed</t>
  </si>
  <si>
    <t>If communication to BoP is lost, then the array must shut down and go to safe state.
If reset is required, this shall be implemented in the higher level system</t>
  </si>
  <si>
    <t>V1.4 (FR): added communication with BoP
V2.0 (JS, FR, RW, FH): OPTIONAL: only H2 side shall be purged since all arrays are purged at the same time (software not yet implemented)
V3.1 (BM, KB): Inter required status shall be set
V3.2, BM, FR, 2024.05.15: first line deleted (signal "0") , NHY01KF102-KZ01 changed to KF101-KZ81
V3.3, BM+FR, 2025-04-22: changed S to N, because reset shall be done in higher level system
V3.4, FK, 2025-10-31: changed "BoP" to "Block" in description</t>
  </si>
  <si>
    <t>GnyNHY01KF101-KZ75</t>
  </si>
  <si>
    <t>Array - Trip (from Block)</t>
  </si>
  <si>
    <t>via AS-AS communication</t>
  </si>
  <si>
    <t>If reset is required, this shall be implemented in the higher level system</t>
  </si>
  <si>
    <t>V1.4 (FR): added communication with BoP
V3.2, BM, FR, 2024.05.15: first line deleted (signal "0") , NHY01KF102-KZ01 changed to KF101-KZ75
V3.3, BM+FR, 2025-04-22: changed S to N, because reset shall be done in higher level system
V3.4, FK, 2025-10-31: changed "BoP" to "Block" and "Array" to "ElySys" in description</t>
  </si>
  <si>
    <t>GnyNHY01KF101-KZ77</t>
  </si>
  <si>
    <t>Array - Trip with N2 Purge (from Block)</t>
  </si>
  <si>
    <t>During N2 Purge the Rectifiers must also be shutdown to reach a safe inerted state.
If reset is required, this shall be implemented in the higher level system</t>
  </si>
  <si>
    <t>V1.4 (FR): added communication with BoP
V2.0 (JS, FR, RW, FH): OPTIONAL: only H2 side shall be purged since all arrays are purged at the same time (software not yet implemented)
V3.1 (BM, KB): Inter required status shall be set
V3.2, BM, FR, 2024.05.15:  NHY01KF102-KZ03 changed to KF101-KZ77 XV01
V3.3, BM+FR, 2025-04-22: changed S to N, because reset shall be done in higher level system
V3.4, FK, 2025-10-31: changed "BoP" to "Block" and "Array" to "ElySys" in description</t>
  </si>
  <si>
    <t>GnyNHY01KF101-KZ78</t>
  </si>
  <si>
    <t>Product Gas Release (from Block)</t>
  </si>
  <si>
    <t>via AS-AS communication,
no message</t>
  </si>
  <si>
    <t>The product gas release will control the product valve, when no other interlock or protection signals of the electrolyzer are active.</t>
  </si>
  <si>
    <t>V1.4 (FR): added communication with BoP
V3.2, BM, FR, 2024.05.15: NHY01KF102 changed to KF101-KZ78 XV01
V3.4, FK, 2025-10-31: changed "BoP" to "Block" in description</t>
  </si>
  <si>
    <t>GnyNHY01KF101-KZ79</t>
  </si>
  <si>
    <t>Close Demin Supply Valve (from Block)</t>
  </si>
  <si>
    <t>V1.4 (FR): added communication with BoP
V3.2, BM, FR, 2024.05.15: NHY01KF102 changed to KF101-KZ79 XV01
V3.3, BM+FR, 2025-04-22: changed S to N, because reset shall be done in higher level system
V3.4, FK, 2025-10-31: changed "BoP" to "Block" in description</t>
  </si>
  <si>
    <t>AH 2500</t>
  </si>
  <si>
    <t>ppmV</t>
  </si>
  <si>
    <t>Concentration - Gas analytic H2 - High limit
during shutdown</t>
  </si>
  <si>
    <t>1 = GA H2 S1 ready</t>
  </si>
  <si>
    <t>GnyNHY01KF101/KZ12</t>
  </si>
  <si>
    <t>XB01</t>
  </si>
  <si>
    <t>0= Array not in operation</t>
  </si>
  <si>
    <t>1 = GA H2 S2 ready</t>
  </si>
  <si>
    <t>- adjust based on downstream systems. Deoxo needs a trip value of e.g. 5000 ppm (to be clarified if SIS or operational). Otherwise higher values are possible, e.g. 8000 ppm
- For multiarray plants it is recommended to consider an additional foreign gas measurement upstream of buffer tank to measure average gas concentration of all arrays. In this case a trip value of 8000 ppm  is possible, because Deoxo is protected by corresponding foreign gas measurement.
- operational limits use the saved gas concentrations instead of the actual measurement value</t>
  </si>
  <si>
    <t>1= Array in operation</t>
  </si>
  <si>
    <t>AHH 5000</t>
  </si>
  <si>
    <t xml:space="preserve">Concentration - Gas analytic H2 - High limit
and product valve not closed </t>
  </si>
  <si>
    <t>If Product gas valve NHC01GT001-QN01 does not close within 10 s, the status of "no inert required" for buffer tank is reset. Indicate cause via message of product valve.</t>
  </si>
  <si>
    <t>GnyNHC01GT001-QN01/VLV</t>
  </si>
  <si>
    <t>GnyNHC01KF202/KZ00</t>
  </si>
  <si>
    <t>S_ERRG</t>
  </si>
  <si>
    <t>1oo3</t>
  </si>
  <si>
    <t xml:space="preserve">Gas analytic H2 - not ready </t>
  </si>
  <si>
    <t>1 = Step error (H2 Gas Analytic sequence)</t>
  </si>
  <si>
    <t xml:space="preserve">09.03.2023 FR+BM+RW
- removed delay of 72 h for sensor drift to prevent operation of electrolyzer with invalid measurement
- instead warning limit to allow operator to mitigate sensor drift before shutdown
- polarization rectifier must be tripped, because there is no valid measurement of concentration
18.04.2024: BM: pol rect comments deleted; step sequence "error" and "step sequence ready" added. Step sequence ready means, that all sampling valves / full cycle of array separators has be measured once.
V3.2, BM, JS, FR, RW, 2024-07-02: sensor drift deleted and shifted to SIS; calibration mode, sensor fault and bad signal replaced by common fault of S1 and S2 since covered by "GA_not ready" which is generated in SIS part
</t>
  </si>
  <si>
    <t>Q_READY</t>
  </si>
  <si>
    <t>0 = Not ready (H2 Gas Analytic sequence)</t>
  </si>
  <si>
    <t>0 = GA H2 S1 not ready</t>
  </si>
  <si>
    <t>0 = GA H2 S2 not ready</t>
  </si>
  <si>
    <t>GnyNHC01BQ001-BP10</t>
  </si>
  <si>
    <t>AH 60.0</t>
  </si>
  <si>
    <t>ASHH 80.0</t>
  </si>
  <si>
    <t>Suction Pressure - Sample Gas Pump 1 H2</t>
  </si>
  <si>
    <t>V3.4_001, 2025-12-17, FK+RW: added for redundant gas analytic option</t>
  </si>
  <si>
    <t>GnyNHC01BQ001-BP11</t>
  </si>
  <si>
    <t>Suction Pressure - Sample Gas Pump 2 H2</t>
  </si>
  <si>
    <t>AH 1.8</t>
  </si>
  <si>
    <t>ASHH 1.9</t>
  </si>
  <si>
    <t>Vol %</t>
  </si>
  <si>
    <t>- INFO: Measurement deviation with 95 Vol-% of N2 content on O2 side is approx. 2,06 Vol-% for H2 in N2. An automated measurement offset is not considered.
- operational limits use the saved gas concentrations instead of the actual measurement value</t>
  </si>
  <si>
    <t>V3.1 (BM, KB), 8.1.2024: when inertisation is triggered, operation of polrect is not possible (see "Array inert required
'=G01NHB01KF201;XA02")
V3.1 FR+RW+KB 26.01.2024
- Note: The stored value is used for the operational switch-off and not the actual measured value.
V3.2, FR,JS,RW,BM, 2024-07-02: calibration mode, sensor fault and bad signal deleted and replaced by common signal of S1 and S2 "GA_not ready" which is generated in SIS part</t>
  </si>
  <si>
    <t>1 = GA O2 S1 ready</t>
  </si>
  <si>
    <t>1 = GA O2 S2 ready</t>
  </si>
  <si>
    <t>GnyNHE01KF202/KZ00</t>
  </si>
  <si>
    <t>Gas analytic O2 - not ready</t>
  </si>
  <si>
    <t>1 = Step error (O2 Gas Analytic sequence)</t>
  </si>
  <si>
    <t>09.03.2023 FR+BM+RW
- removed delay of 72 h for sensor drift to prevent operation of electrolyzer with invalid measurement
- instead warning limit to allow operator to mitigate sensor drift before shutdown
- polarization rectifier must be tripped, because there is no valid measurement of concentration
18.04.2024: BM: pol rect comments deleted; step sequence "error" and "step sequence ready" added. Step sequence ready means, that all sampling valves / full cycle of array separators has be measured once.
V3.2, FR,JS,RW,BM, 2024-07-02: calibration mode, sensor fault and bad signal deleted and replaced by common signal of S1 and S2 "GA_not ready" which is generated in SIS part</t>
  </si>
  <si>
    <t>0 = Not ready (O2 Gas Analytic sequence)</t>
  </si>
  <si>
    <t>0 = GA O2 S1 not ready</t>
  </si>
  <si>
    <t>0 = GA O2 S2 not ready</t>
  </si>
  <si>
    <t>GnyNHE01BQ001-BP10</t>
  </si>
  <si>
    <t>Suction Pressure - Sample Gas Pump 1 O2</t>
  </si>
  <si>
    <t>GnyNHE01BQ001-BP11</t>
  </si>
  <si>
    <t>Suction Pressure - Sample Gas Pump 2 O2</t>
  </si>
  <si>
    <t>WATER MANAGEMENT</t>
  </si>
  <si>
    <t>1.3</t>
  </si>
  <si>
    <t>GnyNHC01BL001-BL02</t>
  </si>
  <si>
    <t>ASHH 42.0</t>
  </si>
  <si>
    <t>Gas Separator Level Max</t>
  </si>
  <si>
    <t>0 cm equal to bottom of Separator</t>
  </si>
  <si>
    <t>V1.4 (FR): do not switch off demin water pump, it's enough to close the supply valve (especially relevant for multi array)</t>
  </si>
  <si>
    <t>GnyNHE01BL001-BL02</t>
  </si>
  <si>
    <t xml:space="preserve"> AL (Note 1)</t>
  </si>
  <si>
    <t>ASLL (Note 1)</t>
  </si>
  <si>
    <t>Gas Separator Level Min</t>
  </si>
  <si>
    <t>Note 1: depending on electrolyzer load (sum of rect. current) a variable limit is set:
warning: min 13,2 cm / trip: min 12,2 cm</t>
  </si>
  <si>
    <t>V3.0, BM, 24.10.2023: fix of mistake, Cell AT74: values were changed from 8/9 cm to 12,2/13,2 cm
V3.3, 25.04.2025, FR+BM: variable limit was adjusted (see tab var. level limits)</t>
  </si>
  <si>
    <t>GAS MANAGEMENT</t>
  </si>
  <si>
    <t>GnyNHC01HP001-BP02</t>
  </si>
  <si>
    <t>ASLL 10.0</t>
  </si>
  <si>
    <t>1 min</t>
  </si>
  <si>
    <t>Underpressure Monitoring H2 Side</t>
  </si>
  <si>
    <t>V2.0: 2023-08-29 (JW, FR, BM, RW): Betriebliche Verriegelung der Gleichrichter hizugefügt.
V2.0: 2023-08-31 (JS, BM): "inert required" mit S gesetzt, um Fehlerfall "offenes Abblaseventil" mit abzudecken
V3.1 (BM, KB), 8.1.2024: when inertisation is triggered, operation of polrect is not possible (see "Array inert required
'=G01NHB01KF201;XA02")
V3.1,V2.1 2024-01-23 (KB,FR): Delay Time for Warning changed (complete new column inserted)
V3.3, BM, FR, JS: Increase of trip value from 5 to 10 mbarg to cover measurement uncertainty. warning also increased from 10 to 15 mbarg.</t>
  </si>
  <si>
    <t>ASLLL -5.0</t>
  </si>
  <si>
    <t>Vacuum Protection H2 Side</t>
  </si>
  <si>
    <t>in case of sensor fault use BP01 as substitute value</t>
  </si>
  <si>
    <t>When the blowoff valves are closed and the pressure hold with N2 does not work, the Gas Analytic can cause a vacuum in the system (for which it is not designed). When only one Gas Analytic is running or when N2 is only injected on one side (due to a fault), this can also lead to high differential pressure with according level shift. -&gt; Gas Analytic shall be shut down, when slight underpressure is detected. "N" selected since no quitting is required, but a restart is necessary anyway - means no automatic restart.</t>
  </si>
  <si>
    <t>V3.3_200  / V3.4, 10.10.2025, FK+BM: added cause to avoid underpressure in unlikely case that N2 is not present or if NHX01QN001/2-QM21 are defect.
V3.4, BM, JS, FK, TB, 2025-11-17: New to avoid running in underpressure in case of manipulated N2 supply. In case of discussions with customers that "-5" is below "0" mbarg, it is allowed to go with "0 mbarg" instead.</t>
  </si>
  <si>
    <t>GnyNHE01HP001-BP02</t>
  </si>
  <si>
    <t>ASL -5.0</t>
  </si>
  <si>
    <t>Vacuum Protection O2 Side</t>
  </si>
  <si>
    <t>Blow off valve and Product Gas Valve open at same time on H2 side</t>
  </si>
  <si>
    <t>Check back closed</t>
  </si>
  <si>
    <t>V2.0: 20230829 (JW, FR, BM, RW): Hinzugefügt. Fehlerhaftes Öffnen des Abblaseventils (H2)-&gt; Produktgasventil soll schließen</t>
  </si>
  <si>
    <t>GnyNHC01GT001-QN02/VLV</t>
  </si>
  <si>
    <t>STACK GROUP x - TEMPERATURES (x = 1..6)</t>
  </si>
  <si>
    <t>GnyNHB0xHT001-BT01</t>
  </si>
  <si>
    <t>AH 68.0</t>
  </si>
  <si>
    <t>ASHH 70.0</t>
  </si>
  <si>
    <t>High Temp. Outlet Module 1 / Group x</t>
  </si>
  <si>
    <t>after 5min of &gt;100A of rectifier no action upon 1 detected sensor fault (1oo2SR),
alarm only enabled, when according row is enabled (warning remains enabled even when row is disabled)</t>
  </si>
  <si>
    <t>V.3.2: BM, 26.04.2024: "after 5min of &gt;100A of rectifier no action upon 1 detected sensor fault (1oo2SR)" updated with (1oo2SR) selective redundancy and shifted to comments
V3.3, FR, 25.03.2025: alarm only enabled, when according row is enabled (warning remains enabled even when row is disabled), replaced S1/S2 with S
V3.4, FR, 18.11.2025: simplified display of trips by showing only the trips of one group and using placeholder "NHB0x"</t>
  </si>
  <si>
    <t>GnyNHB0xHT001-BT02</t>
  </si>
  <si>
    <t>GnyNHB0xHT002-BT01</t>
  </si>
  <si>
    <t>High Temp. Outlet Module 2 / Group x</t>
  </si>
  <si>
    <t>GnyNHB0xHT002-BT02</t>
  </si>
  <si>
    <t>GnyNHB0xHT003-BT01</t>
  </si>
  <si>
    <t>High Temp. Outlet Module 3 / Group x</t>
  </si>
  <si>
    <t>GnyNHB0xHT003-BT02</t>
  </si>
  <si>
    <t>GnyNHB0xHT004-BT01</t>
  </si>
  <si>
    <t>High Temp. Outlet Module 4 / Group x</t>
  </si>
  <si>
    <t>GnyNHB0xHT004-BT02</t>
  </si>
  <si>
    <t>GnyNHB0xHT001-KZ11</t>
  </si>
  <si>
    <t>AH |8.0|</t>
  </si>
  <si>
    <t>ASHH |10.0|</t>
  </si>
  <si>
    <t>Diff. Temp. Outlet Module 1 / Group x</t>
  </si>
  <si>
    <t>Delta between GnyNHB0xHT001-BT01 and GnyNHB0xHT001-BT02</t>
  </si>
  <si>
    <t>Only enabled, when Array is in operation, according row is enabled and both sensor signals are valid.
In case of blocked stack inlet the temperature on hydrogen side will increase, whereas on oxygen side the stack still is cooled by refinement inlet.</t>
  </si>
  <si>
    <t>V2.0 (FR): only adapted tag KZ11, which is the delta evaluation of the two sensors in the software
V3.1,V2.1 (KB): During Standstill the Temperaturedeviation will increase due to the water refinement. Because of this it was decided to only enable this function when the array is in operation and the delay time has been increased to 2min.
V3.3, BM, FR, 2024-07-19: delay coming increased from 2 to 5 min, since during start up there can still be deviations caused by different temp. during standstill, which are not critical.value increased form 2 to 3K to set back warning with hysterisis of 1 K.
FR, 2024-09-24: warnings should only be enabled, when array is in operation and according Stack Row is enabled
KB, BM, 2025-02-07: limit changed from 3 to 5 K, based on temperature deviation during normal operation (~2-3 K, due to influence of water refinement)
V.3.4, BM, FK, TB, 14.11.2025: Feedback from Kassoe operation included. In case of blocked stack inlet the temperature on hydrogen side will increase, whereas on oxygen side the stack still is cooled by refinement inlet. Kassoe: warning 8 K, 30 s delay, 10 K, 60 s delay. Warning changed from 5 to 8 K. Alarm and rectifier shutdown new implemented. This protection loop just increases the chance of identifying a shut off stack, but does not make sure to identify a shut of stack under all potential boundary conditions.</t>
  </si>
  <si>
    <t>GnyNHB0xHT002-KZ11</t>
  </si>
  <si>
    <t>Diff. Temp. Outlet Module 2 / Group x</t>
  </si>
  <si>
    <t>Delta between GnyNHB0xHT002-BT01 and GnyNHB0xHT002-BT02</t>
  </si>
  <si>
    <t>GnyNHB0xHT003-KZ11</t>
  </si>
  <si>
    <t>Diff. Temp. Outlet Module 3 / Group x</t>
  </si>
  <si>
    <t>Delta between GnyNHB0xHT003-BT01 and GnyNHB0xHT003-BT02</t>
  </si>
  <si>
    <t>GnyNHB0xHT004-KZ11</t>
  </si>
  <si>
    <t>Diff. Temp. Outlet Module 4 / Group x</t>
  </si>
  <si>
    <t>Delta between GnyNHB0xHT004-BT01 and GnyNHB0xHT004-BT02</t>
  </si>
  <si>
    <t>GnyNHB0xEQ001-BT01</t>
  </si>
  <si>
    <t>ASLL 2.0</t>
  </si>
  <si>
    <t>5 min</t>
  </si>
  <si>
    <t>Temp. Cooling Water Return / Group x</t>
  </si>
  <si>
    <t>Freeze protection in case of unintended cooling water flow with cold cooling water.
Only applicable if cooling water can be below 0°C (water/glycol).</t>
  </si>
  <si>
    <t xml:space="preserve">V3.4, BM: New Trip. See also DDN for cold cooling water conditions. </t>
  </si>
  <si>
    <t>GnyNHB0xEQ001-BQ01</t>
  </si>
  <si>
    <t>XQ02</t>
  </si>
  <si>
    <t>ASLL 4.0</t>
  </si>
  <si>
    <t>Low Temp. Modules Group x</t>
  </si>
  <si>
    <t>V3.4, FR, 28.11.2025: simplified display of trips by showing only the trips of one group and using placeholder "NHB0x"</t>
  </si>
  <si>
    <t>GnyNHB0xEQ001-BQ02</t>
  </si>
  <si>
    <t>L 4.0</t>
  </si>
  <si>
    <t>Temp. min Modules H2 Group 1</t>
  </si>
  <si>
    <t>STACK GROUP x - VOLTAGES (x = 1..6, only in case of stack voltage measurement)</t>
  </si>
  <si>
    <t>GnyNHB0xKF002-BA01</t>
  </si>
  <si>
    <t>AH 115</t>
  </si>
  <si>
    <t>(ASHH 120.0)</t>
  </si>
  <si>
    <t>V</t>
  </si>
  <si>
    <t>15 s</t>
  </si>
  <si>
    <t>High Stack Voltage Module 1 / Group x</t>
  </si>
  <si>
    <t>TRIP only optional
Warning and optional trip is only active when electrolyer is in operation (&gt; 100 A)
Voltage trips are only active, if respective row is in operation &amp; enabled.</t>
  </si>
  <si>
    <t>V1.4: Alternative zur Einzelzellspannungsmessung
Abschaltung wurde wieder eingefügt, da zuverlässiger als Einzelzellspannungsmessung.
Ggf. kann bei Ausfall einer Stackspannungsmessung ein Ersatzwert gebildet werden: Reihenspannung - Summe der anderen Stackspannungen
V2.0, 2023-10-09: Nach Rücksprache mit Th. Bäzner: Trip nur optional und nicht verpflichtend.
V3.0, BM, 24.10.2023: Tag no changed from G01...KF001.... to G01....KF002.....
V3.3, BM, FR, 2024-11-15: delay coming for warning low and high added.
V3.3, BM, FR, 2024.11.25: added: "Voltage trips are only active, if respective row is in operation."
V3.4, FR, 18.11.2025: simplified display of trips by showing only the trips of one group and using placeholder "NHB0x"</t>
  </si>
  <si>
    <t>AL 75</t>
  </si>
  <si>
    <t>(ASLL 72,5)</t>
  </si>
  <si>
    <t>Low Stack Voltage Module 1 / Group x</t>
  </si>
  <si>
    <t>GnyNHB0xKF002-BA02</t>
  </si>
  <si>
    <t>High Stack Voltage Module 2 / Group x</t>
  </si>
  <si>
    <t>Low Stack Voltage Module 2 / Group x</t>
  </si>
  <si>
    <t>GnyNHB0xKF002-BA03</t>
  </si>
  <si>
    <t>High Stack Voltage Module 3 / Group x</t>
  </si>
  <si>
    <t>Low Stack Voltage Module 3 / Group x</t>
  </si>
  <si>
    <t>GnyNHB0xKF002-BA04</t>
  </si>
  <si>
    <t>High Stack Voltage Module 4 / Group x</t>
  </si>
  <si>
    <t>Low Stack Voltage Module 4 / Group x</t>
  </si>
  <si>
    <t>WATER REFINEMENT</t>
  </si>
  <si>
    <t>GnyNHH01HP001-BF01</t>
  </si>
  <si>
    <t>AL (SP-20%)</t>
  </si>
  <si>
    <t>ASLL (SP-30%)</t>
  </si>
  <si>
    <t>m³/h</t>
  </si>
  <si>
    <t>Minflow Protection Pump (low flow)</t>
  </si>
  <si>
    <t>minimum warning/trip limit 4.4/4.0 m³/h</t>
  </si>
  <si>
    <t>project specific, rectifier shall be ramped down with different time delay (5 min)
The warning/trip limit shall be limited to minimum 4 m³/h (tbc by selected pump) to protect the pump, when the setpoint is controlled by operator in manual/external mode.</t>
  </si>
  <si>
    <t>V1.4 (FR): fix hysteresis, no need for percent of SP
V3.0 (KB, BM), 17.10.2023: Ramp down of rectifiers included, since there is no sense in operating the electrolyzer for longer periods without refinement. There would only be the isolation monitoring to shut down in case of stopped refinement unit.
V3.0(KB),07.11.23: Refinement Pump shutdown and rectifier ramp down separated into different rows
V3.2, BM, 2024-07-03: comment to trip value in manual mode added
V3.3, BM+FR, 2025-04-28: limit warning/trip limit to 4.4/4.0 m³/h independent of pump or controller mode</t>
  </si>
  <si>
    <t>GnyNHH01HP001-QN01</t>
  </si>
  <si>
    <t>CtrlError</t>
  </si>
  <si>
    <t>Control Error- Water Refinement Control Valve</t>
  </si>
  <si>
    <t>Valve position set value and feedback differ too much (2%)</t>
  </si>
  <si>
    <t>V3.0(KB),07.11.23: Refinement Pump shutdown and rectifier ramp down separated into different rows
V3.3., KB; BM, 15.07.2024: Abweichung von 10 auf 2% geändert (Software: MonTiDynamic=30 sec; PosDeadB=2.0)</t>
  </si>
  <si>
    <t>1=Array in Operation</t>
  </si>
  <si>
    <t>When the Waterrefinement pump is not running, while Array is in Operation. Message for this is included in the pump typical</t>
  </si>
  <si>
    <t>V3.0(KB),07.11.23: Refinement Pump shutdown and rectifier ramp down separated into different rows</t>
  </si>
  <si>
    <t>GnyNHH01HP001-GP01</t>
  </si>
  <si>
    <t>Water Ref Pump Fbk Off</t>
  </si>
  <si>
    <t>rectifier shall be ramped down with different time delay (5 min)</t>
  </si>
  <si>
    <t>V3.0 (KB, BM), 17.10.2023: Ramp down of rectifiers included, since there is no sense in operating the electrolyzer for longer periods without refinement. There would only be the isolation monitoring to shut down in case of stopped refinement unit.</t>
  </si>
  <si>
    <t>N2 SYSTEM</t>
  </si>
  <si>
    <t>ASLL 1.0</t>
  </si>
  <si>
    <t>60 s</t>
  </si>
  <si>
    <t>N2 Supply Pressure too low</t>
  </si>
  <si>
    <t>project specific, if there is a sudden loss of nitrogen it might be better to keep array in operation, because the array needs nitrogen by N2 skid if the array is shut down (preesure hold on O2 side). Blow off lances of H2 need to avoid ingress of air if array shuts down (blanketed lances).</t>
  </si>
  <si>
    <t>L 1.2</t>
  </si>
  <si>
    <t>L 1.0</t>
  </si>
  <si>
    <t>N2 Supply Separator/Header</t>
  </si>
  <si>
    <t>GnyNHX01QN001-QN01/VLV</t>
  </si>
  <si>
    <t>N2 To H2 Side</t>
  </si>
  <si>
    <t>no messages for this cause</t>
  </si>
  <si>
    <t>V1.4 (FR): removed protect of product valve, 
because product valve is interlocked, when H2 ready is reset
V2.0, 2023-08-31, (JS, BM, RW): Rectifier shut down in "N" to cover loss of instrument air and preventing continious blow off of H2 to atmosphere.
V3.1, 2024-01-26 (BM,FR): Removed "N" from rectifier shutdown to avoid unintended interlock of rectifier during normal operational pressure holding (at standby). Therefore separate, new cause for rectifier shutdown during operation (see below).
V3.2, 2024-04-04, BM: Effect corrected. "S" for "H2 ready" not for "demin supply valve"</t>
  </si>
  <si>
    <t>GnyNHX01QN001-QM21</t>
  </si>
  <si>
    <t>GnyNHX01QN001-QM11</t>
  </si>
  <si>
    <t/>
  </si>
  <si>
    <t>GnyNHX01KF201/KZ57</t>
  </si>
  <si>
    <t>6 s</t>
  </si>
  <si>
    <t>N2 To H2 Side During Operation</t>
  </si>
  <si>
    <t>1=N2 To H2 Side</t>
  </si>
  <si>
    <t>indicate cause via message of Shut-Off Valve QM21</t>
  </si>
  <si>
    <t>V3.1, 2024-01-26 (BM,FR): added new cause to cover loss of instrument air and fault of N2 control, which would lead to continious blow off of H2 to atmosphere. In this case the rectifier shall be shut down.
V3.1, 2024-03-04 (BM+FR): "G01NHY01KF101-KZ11" changed to "G01NHY01KF101/KZ12;XB01" and "N2 To H2 Side" changed to "G01NHX01KF201/KZ57;XB01"
V3.3, 2025-04-29 (FR): changed comment, indicate cause via message of Shut-Off Valve</t>
  </si>
  <si>
    <t>1=Array in operation</t>
  </si>
  <si>
    <t>N2 purging of product gas line</t>
  </si>
  <si>
    <t>if product valve closed too slow after impurity  -&gt;  indicate cause via message of product valve</t>
  </si>
  <si>
    <t xml:space="preserve">0= Product Valve Not Closed </t>
  </si>
  <si>
    <t>GnyNHY01KF101-KZ80</t>
  </si>
  <si>
    <t>SIS - Communication Fault</t>
  </si>
  <si>
    <t>1= Fault of Lifebit Monitoring</t>
  </si>
  <si>
    <t xml:space="preserve">On communication fault to SIS: Rectifier Safe Off, Demin Supply Shufoff and Safety N2 Purge is caused in SIS. Pressure hold with N2 and correct function of Gas Analytic is not possible. Therefore shut down Gas Analytic. Furthermore the mentioned SIF Effects, which are caused in the SIS, shall be considered as active (or bad signal state) in the BPCS logic to react accordingly.
</t>
  </si>
  <si>
    <t>V3.3_200, 2025-10-09, FK+JS+TB: new cause to react on communication fault of SIS (this is necessary since the BPCS and SIS CPU are segregated now)</t>
  </si>
  <si>
    <t>CPU Restart</t>
  </si>
  <si>
    <t>Process Control System not available</t>
  </si>
  <si>
    <t>no message for this cause</t>
  </si>
  <si>
    <t>inertization status not known</t>
  </si>
  <si>
    <t>V3.1 (BM, KB): when inertisation is required, operation of polrect and rectifier is not possible (see "Array inert required =G01NHB01KF201;XA02"), therfore not necessary to switch here off again.
V3.3, FR, 2025-04-08: removed opening of MV circuit breaker because this will happen anyway, added "no message for this cause"</t>
  </si>
  <si>
    <t>GnyNHY01KF101/KZ100</t>
  </si>
  <si>
    <t>0= H2 Ready not active</t>
  </si>
  <si>
    <t>The array must be purged with H2 before the gas is released to the buffer tank. The status "H2 ready" is set when the sum of the produced H2 exceeds 5 times the plant volume. The status is reset whenever N2 or O2 comes into the separators (see according interlock conditions).</t>
  </si>
  <si>
    <t>3.1</t>
  </si>
  <si>
    <t>GnyNHY01KF101/KZ103</t>
  </si>
  <si>
    <t>Array - inert required</t>
  </si>
  <si>
    <t>0= Inert Required</t>
  </si>
  <si>
    <t>V2.0 31.08.2023: (BM, FR): added to avoid start of rectifiers when status "inert required" is active
V3.1. (BM, KB), 8.1.2024: H2 ready shall be put "off"</t>
  </si>
  <si>
    <t>failsafe signal from SIS</t>
  </si>
  <si>
    <r>
      <t xml:space="preserve">tap changer should remain in position, when transformer tripped </t>
    </r>
    <r>
      <rPr>
        <sz val="11"/>
        <color rgb="FF0000FF"/>
        <rFont val="Calibri"/>
        <family val="2"/>
        <scheme val="minor"/>
      </rPr>
      <t>due to overcurrent or tap changer related faults</t>
    </r>
    <r>
      <rPr>
        <sz val="11"/>
        <color theme="1"/>
        <rFont val="Calibri"/>
        <family val="2"/>
        <scheme val="minor"/>
      </rPr>
      <t xml:space="preserve"> -&gt; fault analysis; </t>
    </r>
    <r>
      <rPr>
        <sz val="11"/>
        <color rgb="FF0000FF"/>
        <rFont val="Calibri"/>
        <family val="2"/>
        <scheme val="minor"/>
      </rPr>
      <t>transformer overtemperature trips excluded because not related to tap changer or overcurrent</t>
    </r>
    <r>
      <rPr>
        <sz val="11"/>
        <color theme="1"/>
        <rFont val="Calibri"/>
        <family val="2"/>
        <scheme val="minor"/>
      </rPr>
      <t xml:space="preserve">
rectifier is already interlocked by failsafe trip </t>
    </r>
    <r>
      <rPr>
        <sz val="11"/>
        <color rgb="FF0000FF"/>
        <rFont val="Calibri"/>
        <family val="2"/>
        <scheme val="minor"/>
      </rPr>
      <t>in SIS</t>
    </r>
  </si>
  <si>
    <t>V1.4 (FR+AD): added causes for tap changer forced trip to prevent position change of tap changer after cirtical transformer trip
V3.1: (BM) copied "V2.1 (FR+AD): added cause"
V3.4_001, 03.02.2026 (FK, JN): added comment "failsafe signal from SIS" and adjusted comments, causes with more detailed reasoning</t>
  </si>
  <si>
    <t>Transformer Oil Pressure Switch High</t>
  </si>
  <si>
    <t>Tap Changer Oil Pressure Switch High</t>
  </si>
  <si>
    <t>GnyNHA01TA001-BF01</t>
  </si>
  <si>
    <t>No Trafo Oil Circulation (low flow) while Rectifier System On</t>
  </si>
  <si>
    <t>0=No Trafo oil circulation</t>
  </si>
  <si>
    <t>Only optional
When no oil circulation flow is detected, then the temperature measurement of the transformer is not reliable. This means the rectifier current must be stopped to unload the transformer. It is sufficient to stop the rectifier, the MV circuit breaker can remain closed. Additionally the oil pump is stopped for pump protection.</t>
  </si>
  <si>
    <t>V3.1 &amp; V2.1, 22.02.24 (FR+KB+AD): added cause, because missing
V3.1, 2024-03-04 (BM+FR): "G01NHY01KF101-KZ11" changed to "G01NHY01KF101/KZ12;XB01"
V3.3, Nemanja, BM, 2024.12.11: "only optional added"
V3.3, 2025-03-28 (FR): "G01NHY01KF101/KZ12" changed to "G01NHA01KF201/KZ11" (Rectifier System State On)</t>
  </si>
  <si>
    <t>GnyNHA01KF201/KZ11</t>
  </si>
  <si>
    <t>1=Rectifier System State On</t>
  </si>
  <si>
    <t>AH 105.0</t>
  </si>
  <si>
    <t>ASHH 120.0</t>
  </si>
  <si>
    <t>Oil Temperature High</t>
  </si>
  <si>
    <t xml:space="preserve"> project specific, operational trip limit needs to be set min. 10 K below SIS trip limit (see supplier documentation)</t>
  </si>
  <si>
    <t>V3.3, FR, 16.01.2025: changed limit from 135/140 to 105/120 after feedback from Josef Niedernhuber 
V3.4, JN, BM, 19.08.2025: comment added: "operational trip limit needs to be set min. 10 K below SIS trip limit (see supplier documentation)"</t>
  </si>
  <si>
    <t>AH 125.0</t>
  </si>
  <si>
    <t>ASHH 140.0</t>
  </si>
  <si>
    <t>Winding Temperature High</t>
  </si>
  <si>
    <t xml:space="preserve">  project specific, operational trip limit needs to be set min. 10 K below SIS trip limit (see supplier documentation)</t>
  </si>
  <si>
    <t>V3.3, FR, 16.01.2025: changed limit from 115/120 to 125/140 after feedback from Josef Niedernhuber 
V3.4, JN, BM, 19.08.2025: comment added: "operational trip limit needs to be set min. 10 K below SIS trip limit (see supplier documentation)"</t>
  </si>
  <si>
    <t>XJ01</t>
  </si>
  <si>
    <r>
      <rPr>
        <sz val="11"/>
        <rFont val="Calibri"/>
        <family val="2"/>
        <scheme val="minor"/>
      </rPr>
      <t xml:space="preserve">Overcurrent Protection </t>
    </r>
    <r>
      <rPr>
        <sz val="11"/>
        <color rgb="FF0000FF"/>
        <rFont val="Calibri"/>
        <family val="2"/>
        <scheme val="minor"/>
      </rPr>
      <t xml:space="preserve">- Live Contact </t>
    </r>
  </si>
  <si>
    <t>Channel 1</t>
  </si>
  <si>
    <r>
      <t xml:space="preserve">Array shut down if life </t>
    </r>
    <r>
      <rPr>
        <sz val="11"/>
        <color rgb="FF0000FF"/>
        <rFont val="Calibri"/>
        <family val="2"/>
        <scheme val="minor"/>
      </rPr>
      <t>contact</t>
    </r>
    <r>
      <rPr>
        <sz val="11"/>
        <color theme="1"/>
        <rFont val="Calibri"/>
        <family val="2"/>
        <scheme val="minor"/>
      </rPr>
      <t xml:space="preserve"> to protection relay is </t>
    </r>
    <r>
      <rPr>
        <sz val="11"/>
        <color rgb="FF0000FF"/>
        <rFont val="Calibri"/>
        <family val="2"/>
        <scheme val="minor"/>
      </rPr>
      <t>indicating fault</t>
    </r>
    <r>
      <rPr>
        <sz val="11"/>
        <color theme="1"/>
        <rFont val="Calibri"/>
        <family val="2"/>
        <scheme val="minor"/>
      </rPr>
      <t>. After array shut down the MV circuit breaker shall be opened (to be confirmed project specifically)</t>
    </r>
  </si>
  <si>
    <t>V2.0: 2023-08-31: (JS, RW, FH, BM): not connectet to SIS logic, since SIS logic triggers over current signal anyway when it is lost (signal "0")
V3.4_001, FK, 2026-04-02: changed "life bit" to "live contact"; changed 1oo1 to 1oo2 and indicating that it is a 2 channel-antivalent evaluation (NC and NO contact)</t>
  </si>
  <si>
    <t>XJ02</t>
  </si>
  <si>
    <t>Channel 2</t>
  </si>
  <si>
    <r>
      <rPr>
        <sz val="11"/>
        <rFont val="Calibri"/>
        <family val="2"/>
        <scheme val="minor"/>
      </rPr>
      <t>Overcurrent Protection</t>
    </r>
    <r>
      <rPr>
        <sz val="11"/>
        <color rgb="FF0000FF"/>
        <rFont val="Calibri"/>
        <family val="2"/>
        <scheme val="minor"/>
      </rPr>
      <t xml:space="preserve"> - Live Contact </t>
    </r>
  </si>
  <si>
    <t>T01BBA01QA00x-QA01</t>
  </si>
  <si>
    <t>MV Circuit Breaker Open</t>
  </si>
  <si>
    <t>not closed</t>
  </si>
  <si>
    <t>not used for IGBT</t>
  </si>
  <si>
    <t>RECTIFIER ROW x (THYRIPOL, x = 1..4)</t>
  </si>
  <si>
    <t>GnyNHA01TB00x-KZ52</t>
  </si>
  <si>
    <t>XU01</t>
  </si>
  <si>
    <t>Rectif. x fault active</t>
  </si>
  <si>
    <t>communicated via Rectifier</t>
  </si>
  <si>
    <t>internal faults causing a common fault signal;
Alarm only enabled, when according row is enabled.</t>
  </si>
  <si>
    <t>V1.4 (FR): specified common fault signal
V3.3, BM, FR, 2024-11-14: changed from ramped to immediate shutdown. internal fault will suddely shut down the rectifier, so others should do the same.
V3.3, FR, 25.03.2025: alarm/warning only enabled, when according row is enabled (removed S1/S2)
V3.4, FR, 2025-11-28: used placeholder x for Rectifier Row to show cause only once</t>
  </si>
  <si>
    <t>GnyNHA01TB00x-KZ56</t>
  </si>
  <si>
    <t>Rectif. x communication fault</t>
  </si>
  <si>
    <t>Lifebit evaluation</t>
  </si>
  <si>
    <t>on communication fault the affected rectifer must stop itself (configured in rectifier); the rectifier is though interlocked to trigger the rectifier sequence and monitor the shutdown (in case of fault the sequence will trigger a shutdown via the failsafe commands); Alarm only enabled, when according row is enabled.</t>
  </si>
  <si>
    <t>V1.4 (FR+AD): added interlock for communication fault
V3.3, BM, FR, 2024-11-14: changed from ramped to immediate shutdown. internal fault will suddely shut down the rectifier, so others should do the same.
V3.3, FR, 25.03.2025: alarm/warning only enabled, when according row is enabled (removed S1/S2)
V3.4, FR, 2025-11-28: used placeholder x for Rectifier Row to show cause only once</t>
  </si>
  <si>
    <t>GnyNHA01TB00x-KZ96</t>
  </si>
  <si>
    <t>= 60010</t>
  </si>
  <si>
    <t>Rectif. x Fault Code = 60010</t>
  </si>
  <si>
    <t>Uneven Current Distribution</t>
  </si>
  <si>
    <t>On a thyristor fault of the rectifiers, the fuse for the according phase is tripped and the rectifier alarms this condition with fault code =60010 (Uneven Current Distribution). In this case the AC side is interconnected with the DC side of the Rectifier and the MV Circuit Breaker must be opened to protect a damage of the Rectifier Cooling equipment due to isolation issues. A shutdown of the rectifiers is already issued by "Fault Active" signal.</t>
  </si>
  <si>
    <t>V3.3, FR+MB, 2025-04-08: added new cause
V3.4, FR, 2025-11-28: used placeholder x for Rectifier Row to show cause only once</t>
  </si>
  <si>
    <r>
      <t>GnyNHA01FA00</t>
    </r>
    <r>
      <rPr>
        <sz val="10"/>
        <color theme="1"/>
        <rFont val="Arial"/>
        <family val="2"/>
      </rPr>
      <t>x-QA01</t>
    </r>
  </si>
  <si>
    <t>Overvoltage Protection - Rectifier x</t>
  </si>
  <si>
    <t>0= Overvolt. Prot. fault</t>
  </si>
  <si>
    <t>When overvoltage protection is faulty, array must not be started again. However it will not be tripped during operation. Alarm only enabled, when according row is enabled.</t>
  </si>
  <si>
    <t>V3.1 (FR+AD): added interlock
V3.3, FR, 25.03.2025: alarm/warning only enabled, when according row is enabled (removed S1/S2)
V3.3_201, FR, 2025-11-27: changed "GnyNHA01TB001-KZ51" (Pulse Enable) to "GnyNHA01KF301/KZ11" (Rectifier Row - State On), because this state is fault-tolerant to communication error
V3.4, FR, 2025-11-28: used placeholder x for Rectifier Row to show cause only once</t>
  </si>
  <si>
    <t>GnyNHA01KF30x/KZ11</t>
  </si>
  <si>
    <t>0= Rectifier Row x not On</t>
  </si>
  <si>
    <t>GnyNHA01TB00x-BT01</t>
  </si>
  <si>
    <t>AH 85.0</t>
  </si>
  <si>
    <t>ASHH 90.0</t>
  </si>
  <si>
    <t>High Busbar Temp. Phase U - Rectifier x</t>
  </si>
  <si>
    <t>Signal communicated via rectifier</t>
  </si>
  <si>
    <t xml:space="preserve"> Alarm only enabled, when according row is enabled.</t>
  </si>
  <si>
    <t>GnyNHA01TB00x-BT02</t>
  </si>
  <si>
    <t>High Busbar Temp. Phase V - Rectifier x</t>
  </si>
  <si>
    <t>GnyNHA01TB00x-BT03</t>
  </si>
  <si>
    <t>High Busbar Temp. Phase W - Rectifier x</t>
  </si>
  <si>
    <t>AL 3.0</t>
  </si>
  <si>
    <t>Low Busbar Temp. Phase U - Rectifier x</t>
  </si>
  <si>
    <t>Low trip is required to react on sensor fault.
Signal communicated via rectifier</t>
  </si>
  <si>
    <t>Alarm only enabled, when according row is enabled. On low temperature, it must be checked that the cooling dose at the rectifier busbar did not take any damage due to freezing. Low temperature may also be indicated on sensor fault.</t>
  </si>
  <si>
    <t>V3.3, FR+MB+UG, 2025-04-29: added new cause
V3.4, FR, 2025-11-28: used placeholder x for Rectifier Row to show cause only once</t>
  </si>
  <si>
    <t>Low Busbar Temp. Phase V - Rectifier x</t>
  </si>
  <si>
    <t>Low Busbar Temp. Phase W - Rectifier x</t>
  </si>
  <si>
    <t>GnyNHA01BZ01x-TF01</t>
  </si>
  <si>
    <t>XW02</t>
  </si>
  <si>
    <t>DC Isolation Alarm - Rectifier x</t>
  </si>
  <si>
    <t>Fault of isolation measurement</t>
  </si>
  <si>
    <t xml:space="preserve"> Alarm only enabled, when according row is enabled.
Limit value according to ASLL of analogue value XQ01.</t>
  </si>
  <si>
    <t>V1.4 (FR): on fault of isolation measurement, the analog value can not be trusted and the (pol.) rectifier must be shutoff
V3.3, FR, 25.03.2025: alarm/warning only enabled, when according row is enabled (removed S1/S2)
V3.4, MB, 07.10.2025: comment added "Limit value according to ASLL of analogue value XQ01"
V3.4, FR, 2025-11-28: used placeholder x for Rectifier Row to show cause only once</t>
  </si>
  <si>
    <t>AL 40</t>
  </si>
  <si>
    <t>ASLL 20.0</t>
  </si>
  <si>
    <t>kOhm</t>
  </si>
  <si>
    <t>DC Isolation Monitoring - Rectifier x</t>
  </si>
  <si>
    <t>Analog process signal</t>
  </si>
  <si>
    <t>- project specific, adjust during commissioning
 Alarm only enabled, when according row is enabled.</t>
  </si>
  <si>
    <t>V1.4 (FR): on fault of isolation measurement, the analog value can not be trusted and the (pol.) rectifier must be shutoff
V3.3, FR, 25.03.2025: alarm/warning only enabled, when according row is enabled (removed S1/S2)
V3.3, MB, 13.05.2025: warning reduced from 150 to 100 kOhm
V3.4, FR, 2025-11-28: used placeholder x for Rectifier Row to show cause only once
V3.4, U-AG, TB, BM, 2025-12-15:  warning/trip levels reduced from 100/40 to 40/20 kOhm, as preliminary limits until a variable, water conductivity dependent isolation limit is defined. Hysteresis reduced from 10 to 5 kOhm.</t>
  </si>
  <si>
    <t>GnyNHA01QZ00x-QB01</t>
  </si>
  <si>
    <t>DC+ or DC -disconnector Rectifier x - not open</t>
  </si>
  <si>
    <t>Discharge resistor must not be activated, when DC+ or DC- disconnector is not open</t>
  </si>
  <si>
    <t>V1.4 added cause
V3.0, BM, 07.11.2023: "circuit breaker" changed to disconnector and second disconnectors (DC-) added.
V3.3, BM, FR, 20240930: "XB02" changed to "XB01"
V3.4, FR, 2025-11-28: used placeholder x for Rectifier Row to show cause only once</t>
  </si>
  <si>
    <t>GnyNHA01QZ00x-QB02</t>
  </si>
  <si>
    <t xml:space="preserve">40/66 s for AH/ASHH
</t>
  </si>
  <si>
    <t>DC Current Control Deviation - Rectifier x</t>
  </si>
  <si>
    <t>1= Rectifier Row x is On</t>
  </si>
  <si>
    <t>Thyripol Control failure. Measured value of rectifier current differs to much from set point, while rectifier is in operation and not waiting for tap changer.
Alarm only enabled, when according row is enabled.</t>
  </si>
  <si>
    <t>V2.0 added
V3.0, BM, 25.10.2023: TAG no of SIS current measurment changed
V3.3, FR, 25.03.2025: alarm/warning only enabled, when according row is enabled (removed S1/S2)
V3.3_201, FR, 27.11.2025: changed "GnyNHA01TB00x-KZ51" (Pulse Enable) to "GnyNHA01KF30x/KZ11" (Rectifier Row - State On), because this state is fault-tolerant to communication error
V3.4, FR, 2025-11-28: used placeholder x for Rectifier Row to show cause only once</t>
  </si>
  <si>
    <t>GnyNHA01TB00x-KZ54</t>
  </si>
  <si>
    <t>XH52</t>
  </si>
  <si>
    <t>0= Alpha G Limit not reached</t>
  </si>
  <si>
    <t>GnyNHA01BZ01x-KZ03</t>
  </si>
  <si>
    <t>AH |300.0|</t>
  </si>
  <si>
    <t>ASHH |300.0|</t>
  </si>
  <si>
    <t>100.0</t>
  </si>
  <si>
    <t>Delta between G01NHA01TB00x-KZ21 and G01NHA01TB00x-KZ75</t>
  </si>
  <si>
    <t>GnyNHA01RA00x-KF01</t>
  </si>
  <si>
    <t>XB13</t>
  </si>
  <si>
    <t>Discharge Resistor - Rectifier x active</t>
  </si>
  <si>
    <t>Check command</t>
  </si>
  <si>
    <t>Interlock only enabled, when according row is enabled.</t>
  </si>
  <si>
    <r>
      <t>V1.4 (FR): interlock only (pol.) rectifier of same row
V2.1 (FR: added N</t>
    </r>
    <r>
      <rPr>
        <vertAlign val="superscript"/>
        <sz val="11"/>
        <rFont val="Calibri"/>
        <family val="2"/>
        <scheme val="minor"/>
      </rPr>
      <t>1</t>
    </r>
    <r>
      <rPr>
        <sz val="11"/>
        <rFont val="Calibri"/>
        <family val="2"/>
        <scheme val="minor"/>
      </rPr>
      <t xml:space="preserve"> for other rectifier rows
V3.3, FR, 25.03.2025: Interlock of all Rectifier Rows, but only, when according row is enabled.
V3.4, FR, 2025-11-28: used placeholder x for Rectifier Row to show cause only once</t>
    </r>
  </si>
  <si>
    <t>GnyNHA01TB00x-BF01</t>
  </si>
  <si>
    <t>AL 4.2</t>
  </si>
  <si>
    <t>Low Cooling Flow Rectifier x</t>
  </si>
  <si>
    <t xml:space="preserve">normal flow 5 m³/h
Signal communicated via rectifier </t>
  </si>
  <si>
    <t>Trip for DCM control is covered by Array control.
Flow alarm low limit only enabled, when corresponding Rectifier Row is in State On or Rectifier Cooling Pump On.  Alarm only enabled, when according row is enabled.</t>
  </si>
  <si>
    <t xml:space="preserve">V1.4 (FR): faster shutoff required to protect rectifier
V3.0: Thyripol: Trip is performed by internal Thyripol control. for Thyripol the sensor signal from -BF01 is communicated via the rectifier as -KZ85
V3.0, BM, 24.10.2023: values increased based on new modular rectifier design
V3.2, 2024.06.12, BM: normal flow of 4 changed to 5 m³/h
V3.2, BM, 2024-07-02: "For Thyripol Rectifier only" added
V3.3, FR+KB, 2025-03-20: Added "NHA01KF305/KZ11" (Rectifier Cooling - State On) in order to monitor Cooling Flow already when Rectifier Cooling is started
V3.3, FR, 25.03.2025: alarm/warning only enabled, when according row is enabled (removed S1/S2), removed "-KZ85" and use only sensor tag in software, added warning delay of 5s to suppress warning during pump start
V3.3_201, FR, 27.11.2025: changed condition "NHA01KF305/KZ11" (Rectifier Cooling - State On) to "NHA01KF305/KZ50" (Rectifier Cooling - Pump On) to activate monitoring also in Standby Mode, when pump is running. Changed condition "NHA01TB00x-KZ51" (Pulse Enable) to "NHA01KF30x/KZ11" (Rectifier Row - State On), because more fault-tolerant on communication error.
V3.4, FR, 2025-11-28: used placeholder x for Rectifier Row to show cause only once
</t>
  </si>
  <si>
    <t>GnyNHA01KF305/KZ50</t>
  </si>
  <si>
    <t>AH 54.5</t>
  </si>
  <si>
    <t>ASHH 56.0</t>
  </si>
  <si>
    <t>High Cooling Temp. Rectifier x</t>
  </si>
  <si>
    <t xml:space="preserve">Max. normal return temp. ~51°C.  
Signal communicated via rectifier </t>
  </si>
  <si>
    <t>V3.0, BM, 24.10.2023: new rectifier design, temperature sensor changed to return line and values adopted.
V3.2, BM, 2024-07-02: "For Thyripol Rectifier only" added
V3.3, FR, 25.03.2025: alarm/warning only enabled, when according row is enabled (removed S1/S2), removed "-KZ86" and use only sensor tag in software
V3.4, FR, 2025-11-28: used placeholder x for Rectifier Row to show cause only once</t>
  </si>
  <si>
    <t>AL 10.0</t>
  </si>
  <si>
    <t>ASLL 5.0</t>
  </si>
  <si>
    <t>Low Cooling Temp. Rectifier x</t>
  </si>
  <si>
    <t xml:space="preserve">Low trip is required to react on sensor fault.  
Signal communicated via rectifier </t>
  </si>
  <si>
    <t>V3.3, FR, 27.09.2024: added trip on low temperature to react on sensor fault (this is now neccessary, because the signal is communicated as 0 or negative value by rectifier without signal state, rectifier does not trip itself)
V3.3, FR, 25.03.2025: alarm/warning only enabled, when according row is enabled (removed S1/S2), removed "-KZ86" and use only sensor tag in software
V3.4, FR, 2025-11-28: used placeholder x for Rectifier Row to show cause only once</t>
  </si>
  <si>
    <t>RECTIFIER COOLING (THYRIPOL)</t>
  </si>
  <si>
    <t>GnyNHA01EQ001-BP01</t>
  </si>
  <si>
    <t>AL 0.3</t>
  </si>
  <si>
    <t>ASLL 0.1</t>
  </si>
  <si>
    <t>Low Pressure Rect. Cooling Water</t>
  </si>
  <si>
    <t>Set to 0 A DC instant</t>
  </si>
  <si>
    <t>Interlock of Main Rectifier and  cooling Pump can be deleted project specifically. Consequence: increase pump protection but lower availabilty (sensor Fault): to be discussed with customer</t>
  </si>
  <si>
    <t>V1.4 changed from 1,0 bar warn to 0,3 bar. Changed 0,5 bar switch to 0,1 bar.
V1.4 (FR): faster shutoff required
V1.4 (BM): addtional Pumps switch off and remark revised
V3.2, BM, 2024-07-02: "For Thyripol Rectifier only" added</t>
  </si>
  <si>
    <t>GnyNHA01EQ001-BP02</t>
  </si>
  <si>
    <t>AH 5.0</t>
  </si>
  <si>
    <t>ASHH 5.5</t>
  </si>
  <si>
    <t>High Pressure Rect. Cooling Water</t>
  </si>
  <si>
    <t>Interlock of Main Rectifier and  cooling Pump can be deleted project specifically. Consequence; avoidance of unintended release of deionat via saftey relief valve; but lower availabilty (sensor Fault): to be discussed with customer if deionat can be release into room of rectifiere cooling unit.</t>
  </si>
  <si>
    <t>V1.4 (FR): faster shutoff required
V1.4 (BM):  addtional Pumps switch off and remark revised
V3.0: (BM), 24.10.2023: Warning/alarm increased from 4/4.5 to 5/5.5 due to increased design pressure (old: 6 barg/new 8 barg)
V3.2, BM, 2024-07-02: "For Thyripol Rectifier only" added</t>
  </si>
  <si>
    <t>GnyNHA01EQ001-BT01</t>
  </si>
  <si>
    <t>Freeze Protection Rectifier Cooling</t>
  </si>
  <si>
    <t>Only interlock. No trip during operation of rectifier (&gt; 100 A).</t>
  </si>
  <si>
    <t>V3.0, BM, 07.11.2023: Comment changed: new: time delay, trip by temp. Below dew point.
V3.3, BM, 2025-05-13: Comment deleted since a control valve is considered anyway in V3.3
V3.4, BM, 2026-02-24: Time delay changed from 0ss to 5 min, because this is considered sufficent for freeze protection (OMV feedback). Comment added: "Only interlock. No trip during operation of rectifier (&gt; 100 A)."</t>
  </si>
  <si>
    <t>GnyNHA01EQ001-BQ01</t>
  </si>
  <si>
    <t>AH 1.0</t>
  </si>
  <si>
    <t>ASHH 2.5</t>
  </si>
  <si>
    <t>µS/cm</t>
  </si>
  <si>
    <t>Conductivity Monitoring Rectifier</t>
  </si>
  <si>
    <t>A trip of rectifier at high conductivity is not mandatory in terms of personnel protection (potential carry over to rectifier cooling is not relevant &amp; rectifier room is not accessible during operation). Only a damage of rectifier (short circuit) is expected at very high conductivities (worst case). Thus, only a warning is mandatory.
Nevertheless, a trip can be implemented project specifically to avoid technical damage on the rectifier (short circuit).</t>
  </si>
  <si>
    <t>V1.4 (FR): project specific interlocks should be considered in the reference software by default -&gt; if not required, they can be removed in the project
V3.0, BM, 25.10.2023: changed from 10/25 µS/cm to 1/2,5. see mail from Ulf Geck (25.10.2023). Lower conductivity for modular rectifier necessary to get sufficient electrical isolation.
V3.2, BM, 2024-07-02: "For Thyripol Rectifier only" added</t>
  </si>
  <si>
    <t>GnyNHA01EQ001-KZ31</t>
  </si>
  <si>
    <t>AL 18.0</t>
  </si>
  <si>
    <t>ASLL 16.0</t>
  </si>
  <si>
    <t>Low Total Flow Rectifier Cooling</t>
  </si>
  <si>
    <t>sum of all 4 rectifier flows (KZ31) low</t>
  </si>
  <si>
    <t>Pump protection only enabled when pump is running.</t>
  </si>
  <si>
    <t>V1.4 (FR): faster shutoff required
V1.4 (BM): delete pump switch over in case of low flow alarm
V3.0, BM, 24.10.2023: new value; pump protection; no protection of rectifiers (makes only sense when only two rectifiers operate, than 2*4m³/h + 2 m³/h)
V3.2, BM, 2024-07-02: "For Thyripol Rectifier only" added
V3.3, FR, 2025-02-18: added W_DC of 5s to prevent message on pump start</t>
  </si>
  <si>
    <r>
      <t>S</t>
    </r>
    <r>
      <rPr>
        <vertAlign val="superscript"/>
        <sz val="11"/>
        <rFont val="Calibri"/>
        <family val="2"/>
        <scheme val="minor"/>
      </rPr>
      <t>4)</t>
    </r>
  </si>
  <si>
    <t>tap changer should remain in position, when transformer tripped -&gt; fault analysis;
rectifier is already interlocked by failsafe trip
When MV CB not closed, rectifier should be off already and interlocked for switching on -&gt; only to detect faulty MV CB feedback</t>
  </si>
  <si>
    <t>Transformer Oil Pressure High</t>
  </si>
  <si>
    <t>Oil Temp. Transformer Alarm</t>
  </si>
  <si>
    <t>Operator to check setpoint</t>
  </si>
  <si>
    <t>new for IGBT</t>
  </si>
  <si>
    <t>AH 115.0</t>
  </si>
  <si>
    <t>MV supply (IGBT) - OPTIONAL</t>
  </si>
  <si>
    <t>MV CB 1 not closed</t>
  </si>
  <si>
    <t>T01BBA01QA00x-QA02</t>
  </si>
  <si>
    <t>MV CB 2 not closed</t>
  </si>
  <si>
    <t>Discharge Resistor (IGBT) - OPTIONAL</t>
  </si>
  <si>
    <t>G01NHA01RA001-KF01</t>
  </si>
  <si>
    <t>Discharge Resistor active</t>
  </si>
  <si>
    <t xml:space="preserve">Signal is only accepted if the DC contactor is open.
</t>
  </si>
  <si>
    <t>V3.3, BM, 20240902:Kommentar ergänzt</t>
  </si>
  <si>
    <t>G01NHA01RA002-KF01</t>
  </si>
  <si>
    <t>Rectifier (IGBT) - OPTIONAL</t>
  </si>
  <si>
    <t>G01NHA01TB001-KZ52</t>
  </si>
  <si>
    <t>Rectif. Row 1 fault active</t>
  </si>
  <si>
    <t>- Effected power line is switched off by converter controller instantaneously, after short communication delay parallel power line  is switched off by converter controller instantaneously, too
- Internal faults causing a common fault signal (including overvoltage, IGBT fault,...);
- Trip all rectifiers because asynchronous operation is not allowed
- Electrolyzer controller sends normal stop to both rectifier rows (both IC2 controllers).</t>
  </si>
  <si>
    <t>G01NHA01TB002-KZ52</t>
  </si>
  <si>
    <t>Rectif. Row 2 fault active</t>
  </si>
  <si>
    <t>G01NHA01TB001-KZ56</t>
  </si>
  <si>
    <t>Rectif. Row 1 communication fault</t>
  </si>
  <si>
    <t>- When communication is lost effected IC2 controller initiates a current ramp down with 10 % / s to minimum operation current (e.g. 40 %); 30 s after minimum current has reached ACB is open
- Trip all rectifiers because asynchronous operation is not allowed
- Electrolyzer controller sends normal stop to both rectifier rows (both IC2 controllers).</t>
  </si>
  <si>
    <t>G01NHA01TB002-KZ56</t>
  </si>
  <si>
    <t>Rectif. Row 2 communication fault</t>
  </si>
  <si>
    <t>G01NHA01BZ011-TF01</t>
  </si>
  <si>
    <t>Isolation Alarm - Rectifier Row 1</t>
  </si>
  <si>
    <t>G01NHA01BZ012-TF01</t>
  </si>
  <si>
    <t>Isolation Alarm - Rectifier Row 2</t>
  </si>
  <si>
    <t>AL 150.0</t>
  </si>
  <si>
    <t>ASLL 40.0</t>
  </si>
  <si>
    <t>Isolation monitoring Row 1</t>
  </si>
  <si>
    <t xml:space="preserve">- project specific, adjust during commissioning
</t>
  </si>
  <si>
    <t>Isolation monitoring Row 2</t>
  </si>
  <si>
    <t>G01NHA01QZ001-QA12</t>
  </si>
  <si>
    <t>DC side Row 1
not disconneted</t>
  </si>
  <si>
    <t>DC disconnector or DC precharge disconnector not open</t>
  </si>
  <si>
    <t>- All contactors and breakers of the power unit (2 power lines / half a row) are open excluding the discharge resistor contactor.
- Logic implemented by internal IGBT system.
- To be checked by Ingeteam if discharge resistor activation is accepted.
- Command to connect discharge resistor and feedback is exchanged via Profinet and directly displayed at electrolyzer operator system
- Trip all rectifiers because asynchronous operation is not allowed
- Electrolyzer controller sends normal stop to both rectifier rows (both IC2 controllers).</t>
  </si>
  <si>
    <t>V3.3, BM, 20240902: DC pre charge rectifier 2 was missing</t>
  </si>
  <si>
    <t>G01NHA01QZ001-QA32</t>
  </si>
  <si>
    <t>G01NHA01QZ001-QA13</t>
  </si>
  <si>
    <t>G01NHA01QZ001-QA33</t>
  </si>
  <si>
    <t>G01NHA01QZ002-QA12</t>
  </si>
  <si>
    <t>DC side Row 2
not disconneted</t>
  </si>
  <si>
    <t>G01NHA01QZ002-QA32</t>
  </si>
  <si>
    <t>G01NHA01QZ002-QA13</t>
  </si>
  <si>
    <t>G01NHA01QZ002-QA33</t>
  </si>
  <si>
    <t xml:space="preserve">DC Disconnector Rectifier 1&amp;2 Row 1 - Feedback Fault </t>
  </si>
  <si>
    <t>DC Disconnector feedback error</t>
  </si>
  <si>
    <t>V3.3, BM, 20240902: DC pre charge disconnectors QA13/33 were added</t>
  </si>
  <si>
    <t xml:space="preserve">DC Disconnector Pre-Charge Rectifier 1&amp;2 Row 1 - Feedback Fault </t>
  </si>
  <si>
    <t xml:space="preserve">DC Disconnector Rectifier 3&amp;4 Row 1 - Feedback Fault </t>
  </si>
  <si>
    <t xml:space="preserve">DC Disconnector Pre-Charge Rectifier 3&amp;4 Row 1 - Feedback Fault </t>
  </si>
  <si>
    <t xml:space="preserve">DC Disconnector Rectifier 1&amp;2 Row 2 - Feedback Fault </t>
  </si>
  <si>
    <t xml:space="preserve">DC Disconnector Pre-ChargeRectifier 1&amp;2 Row 2 - Feedback Fault </t>
  </si>
  <si>
    <t xml:space="preserve">DC Disconnector Rectifier 3&amp;4 Row 2 - Feedback Fault </t>
  </si>
  <si>
    <t xml:space="preserve">DC Disconnector Pre-Charge Rectifier 3&amp;4 Row 2 - Feedback Fault </t>
  </si>
  <si>
    <t>G01NHA01BZ011-KZ03</t>
  </si>
  <si>
    <t>'40/66 s for AH/ASHH</t>
  </si>
  <si>
    <t>Delta between G01NHA01TB001-KZ21 and G01NHA01BZ001-BC02</t>
  </si>
  <si>
    <t>G01NHA01BZ012-KZ03</t>
  </si>
  <si>
    <t>Delta between G01NHA01TB002-KZ21 and G01NHA01BZ002-BC02</t>
  </si>
  <si>
    <t>DC disconnector Rectifier  Row1   DC 
Not ON (not closed)</t>
  </si>
  <si>
    <t>DC disconnectors not closed</t>
  </si>
  <si>
    <t>Logic implementd by internal IGBT controller. Not all ACB of one row are opened, only ACBs of effected power line. Nevertheless all rows will be ramped down due to asymeetrical operation.</t>
  </si>
  <si>
    <t>DC disconnector Rectifier  Row2  DC 
Not ON (not closed)</t>
  </si>
  <si>
    <t>LV AC CB of converter system 1 Row 1 Not ON (not closed)</t>
  </si>
  <si>
    <t>AC CB Row 1 not closed</t>
  </si>
  <si>
    <t>- All contactors and breakers of the power unit (2 power lines / half a row) are open excluding the discharge resistor contactor.
- Logic implemented by internal IGBT system.
- To be checked by Ingeteam if discharge resitor activation is accepted.
- Command to connect discharge resistor and feedback is exchanged via Profinet and directly displayed at electrolyzer operator system
- Trip all rectifiers because asynchronous operation is not allowed
- Electrolyzer controller sends normal stop to both rectifier rows (both IC2 controllers).</t>
  </si>
  <si>
    <t>LV AC CB of converter system 2 Row 1 Not ON (not closed)</t>
  </si>
  <si>
    <t>LV AC CB of converter system 3 Row 1 Not ON (not closed)</t>
  </si>
  <si>
    <t>LV AC CB of converter system 4 Row 1 Not ON (not closed)</t>
  </si>
  <si>
    <t>LV AC CB of converter system 1 Row 2 Not ON (not closed)</t>
  </si>
  <si>
    <t>AC CB Row 2 not closed</t>
  </si>
  <si>
    <t>LV AC CB of converter system 2 Row 2 Not ON (not closed)</t>
  </si>
  <si>
    <t>LV AC CB of converter system 3 Row 2 Not ON (not closed)</t>
  </si>
  <si>
    <t>LV AC CB of converter system 4 Row 2 Not ON (not closed)</t>
  </si>
  <si>
    <t>G01NHA01QZ001-QB11</t>
  </si>
  <si>
    <t>AC CB Pre-Charge Rectifier  Row1  
Not OFF (not opened)</t>
  </si>
  <si>
    <t>Pre-Charge AC CB row 1 not closed</t>
  </si>
  <si>
    <t>G01NHA01QZ001-QB21</t>
  </si>
  <si>
    <t>G01NHA01QZ001-QB31</t>
  </si>
  <si>
    <t>G01NHA01QZ001-QB41</t>
  </si>
  <si>
    <t>G01NHA01QZ002-QB11</t>
  </si>
  <si>
    <t>AC CB Pre-Charge Rectifier  Row2
Not OFF (not opened)</t>
  </si>
  <si>
    <t>Pre-Charge AC CB row 2 not closed</t>
  </si>
  <si>
    <t>V3.3, BM,JS, BC, 20240903: new</t>
  </si>
  <si>
    <t>G01NHA01QZ002-QB21</t>
  </si>
  <si>
    <t>G01NHA01QZ002-QB31</t>
  </si>
  <si>
    <t>G01NHA01QZ002-QB41</t>
  </si>
  <si>
    <t>G01NHY01KF101/KZ12</t>
  </si>
  <si>
    <t>Rectifier not off</t>
  </si>
  <si>
    <t>1 = Array in operation</t>
  </si>
  <si>
    <t>'Cause will lead to a sequence error</t>
  </si>
  <si>
    <t>G01NHA01TB001-KF101</t>
  </si>
  <si>
    <t>Err</t>
  </si>
  <si>
    <t>Command on step sequence error
Monitoring of sequence steps Row 1</t>
  </si>
  <si>
    <t>G01NHA01TB001-KF102</t>
  </si>
  <si>
    <t>Command off step sequence error
Monitoring of sequence steps Row 1</t>
  </si>
  <si>
    <t>G01NHA01TB002-KF101</t>
  </si>
  <si>
    <t>Command on step sequence error
Monitoring of sequence steps Row 2</t>
  </si>
  <si>
    <t>G01NHA01TB002-KF102</t>
  </si>
  <si>
    <t>Command off step sequence error
Monitoring of sequence steps Row 2</t>
  </si>
  <si>
    <r>
      <t xml:space="preserve"> </t>
    </r>
    <r>
      <rPr>
        <sz val="36"/>
        <rFont val="Arial"/>
        <family val="2"/>
      </rPr>
      <t>Operational Messages without Protection</t>
    </r>
    <r>
      <rPr>
        <sz val="20"/>
        <rFont val="Arial"/>
        <family val="2"/>
      </rPr>
      <t xml:space="preserve">
Array X - Elyzer P-300 Reference Plant
</t>
    </r>
    <r>
      <rPr>
        <sz val="12"/>
        <color rgb="FFFF0000"/>
        <rFont val="Arial"/>
        <family val="2"/>
      </rPr>
      <t xml:space="preserve">- has to be adjusted project specifically - </t>
    </r>
    <r>
      <rPr>
        <sz val="12"/>
        <rFont val="Arial"/>
        <family val="2"/>
      </rPr>
      <t xml:space="preserve">
</t>
    </r>
  </si>
  <si>
    <r>
      <t xml:space="preserve"> </t>
    </r>
    <r>
      <rPr>
        <sz val="36"/>
        <rFont val="Arial"/>
        <family val="2"/>
      </rPr>
      <t>Operational Messages without Protection</t>
    </r>
    <r>
      <rPr>
        <sz val="20"/>
        <rFont val="Arial"/>
        <family val="2"/>
      </rPr>
      <t xml:space="preserve">
Electrolysis System ny - Elyzer P-300 Reference Plant
</t>
    </r>
    <r>
      <rPr>
        <sz val="12"/>
        <color rgb="FFFF0000"/>
        <rFont val="Arial"/>
        <family val="2"/>
      </rPr>
      <t xml:space="preserve">- has to be adjusted project specifically - </t>
    </r>
  </si>
  <si>
    <t>Alarm</t>
  </si>
  <si>
    <t>W_DG</t>
  </si>
  <si>
    <t>Sensor 1 - Calibration active</t>
  </si>
  <si>
    <t>indicated via message of -BQ01</t>
  </si>
  <si>
    <t>V3.1, 2024-09-24 (FR): changed to 1oo1 and added comment for clarification
V3.4_001, 2026-01-13 (FK): bugfix, changed QM23 to QM27, because QM27 belongs to Sensor 1</t>
  </si>
  <si>
    <t>Sensor 2 - Calibration active</t>
  </si>
  <si>
    <t>indicated via message of -BQ02</t>
  </si>
  <si>
    <t>V3.1, 2024-09-24 (FR): changed to 1oo1 and added comment for clarification
V3.4_001, 2026-01-13 (FK): bugfix, changed QM27 to QM23, because QM23 belongs to Sensor 2</t>
  </si>
  <si>
    <t>XG51</t>
  </si>
  <si>
    <t>Sensor 1 - High Flow O2 in H2</t>
  </si>
  <si>
    <t>H 100.0 l/h (project specific adjustment needed), only enabled when system is filled with H2 and at least one measurement cycle of gas analytic was executed</t>
  </si>
  <si>
    <t>Array - H2 Ready</t>
  </si>
  <si>
    <t>Sensor 2 - High Flow O2 in H2</t>
  </si>
  <si>
    <t>mbar</t>
  </si>
  <si>
    <t>Monitoring of bellow Gaspump</t>
  </si>
  <si>
    <t>GnyNHC01BQ001-QN22</t>
  </si>
  <si>
    <t>Pressure Validation gas</t>
  </si>
  <si>
    <t>L 10.0 Barg, project specific, can be defined by operator, based on bottle size and lead time</t>
  </si>
  <si>
    <t>GnyNHC01BQ001-BF10</t>
  </si>
  <si>
    <t>GnyNHC01BQ001-FC01</t>
  </si>
  <si>
    <t>Circuit breaker feedback</t>
  </si>
  <si>
    <t>Group fault alarm</t>
  </si>
  <si>
    <t>GnyNHC01BQ001-EQ01</t>
  </si>
  <si>
    <t>Gas Cooler -Fault</t>
  </si>
  <si>
    <t>GnyNHC01BQ001-KZ33</t>
  </si>
  <si>
    <t>ASH |1000.0|</t>
  </si>
  <si>
    <t>250.0</t>
  </si>
  <si>
    <t>Delta Sensordrift O2 in H2</t>
  </si>
  <si>
    <t>saved measurement values -&gt; delta of both sensors -&gt; maximum evaluation (KZ33)</t>
  </si>
  <si>
    <t>V3.3, 2025-03-12 (FR+KB+RW): generate only warning message on delta drift and do not trigger validation, drift evaluation always enabled, hysteresis of 250 ppm</t>
  </si>
  <si>
    <t>Sensor 1 - High Flow H2 in O2</t>
  </si>
  <si>
    <t>H 100.0 l/h (project specific adjustment needed)</t>
  </si>
  <si>
    <t>Sensor 2 - High Flow H2 in O2</t>
  </si>
  <si>
    <t>GnyNHE01BQ001-QN22</t>
  </si>
  <si>
    <t>GnyNHE01BQ001-BF10</t>
  </si>
  <si>
    <t>GnyNHE01BQ001-FC01</t>
  </si>
  <si>
    <t>GnyNHE01BQ001-EQ01</t>
  </si>
  <si>
    <t>GnyNHE01BQ001-KZ33</t>
  </si>
  <si>
    <t>ASH |0.2|</t>
  </si>
  <si>
    <t>0.05</t>
  </si>
  <si>
    <t>Delta Sensordrift H2 in O2</t>
  </si>
  <si>
    <t>V3.3, 2025-03-12 (FR+KB+RW): generate only warning message on delta drift and do not trigger validation, drift evaluation always enabled, hysteresis of 0.05 Vol%</t>
  </si>
  <si>
    <t>GnyNHC01BL001-KZ11</t>
  </si>
  <si>
    <t>AH |3.0|</t>
  </si>
  <si>
    <t>Deviation Monitoring Level H2</t>
  </si>
  <si>
    <t>Delta between G01NHC01BL001-BL01 and G01NHC01BL001-BL02</t>
  </si>
  <si>
    <t>V2.0 (FR): only adapted tag KZ11, which is the delta evaluation of the two sensors in the software</t>
  </si>
  <si>
    <t>GnyNHE01BL001-KZ11</t>
  </si>
  <si>
    <t>Deviation Monitoring Level O2</t>
  </si>
  <si>
    <t>Delta between G01NHE01BL001-BL01 and G01NHE01BL001-BL02</t>
  </si>
  <si>
    <t>GnyNHG01QM001-QN01</t>
  </si>
  <si>
    <t>Control valve - Demin water supply</t>
  </si>
  <si>
    <t>GnyNHC01HP001-KZ11</t>
  </si>
  <si>
    <t>AH |12.0|</t>
  </si>
  <si>
    <t>Deviation Monitoring Pressure H2</t>
  </si>
  <si>
    <t>Delta between G01NHC01HP001-BP01 and G01NHC01HP001-BP02</t>
  </si>
  <si>
    <t>GnyNHE01HP001-KZ11</t>
  </si>
  <si>
    <t>Deviation Monitoring Pressure O2</t>
  </si>
  <si>
    <t>Delta between G01NHE01HP001-BP01 and G01NHE01HP001-BP02</t>
  </si>
  <si>
    <t>High Pressure H2</t>
  </si>
  <si>
    <t>V3.0, BM, JS, 30.10.2023: Druck hoch wurde gelöscht um mehr betrieblichen Spielraum zu bekommen. Bei einem plötzlichen Druckanstieg würde eine Druck hoch Abschaltung sowieso zum Druck hoch SIS und Ansprechen des PSV führen. Deshalb nur SIS Abschaltung, welche ein dauerhaftes Abblase verhindert.
V3.3, FR, 24.04.2025: moved from operational trips to message only</t>
  </si>
  <si>
    <t>High Pressure O2</t>
  </si>
  <si>
    <t>GnyNHC01GT001-QN01</t>
  </si>
  <si>
    <t>GnyNHC01GT001-QN02</t>
  </si>
  <si>
    <t>GnyNHE01GT001-QN01</t>
  </si>
  <si>
    <t>GnyNHC01HP001-BT01</t>
  </si>
  <si>
    <t>Temp. HX in</t>
  </si>
  <si>
    <t>GnyNHC01GT001-BT01</t>
  </si>
  <si>
    <t>AH 45.0</t>
  </si>
  <si>
    <t>Temp. HX out</t>
  </si>
  <si>
    <t>Values and Limit project specific (downstream gas system)</t>
  </si>
  <si>
    <t>GnyNHE01HP001-BT01</t>
  </si>
  <si>
    <t>GnyNHE01GT001-BT01</t>
  </si>
  <si>
    <t>GnyNHP01WP001-BT01</t>
  </si>
  <si>
    <t>AL 2.0</t>
  </si>
  <si>
    <t>Temperature - WCR Gas Cooler H2</t>
  </si>
  <si>
    <t>Optional and project specific: Only necessary for cooling water with potential of freezing</t>
  </si>
  <si>
    <t>V3.3, BM: Warning high at 45°C changed to warning low 2°C , DC 5min in case of cw with freeze potetial</t>
  </si>
  <si>
    <t>GnyNHP01WP001-BT02</t>
  </si>
  <si>
    <t>Temperature - WCR Gas Cooler O2</t>
  </si>
  <si>
    <t>GnyNHP01WP001-QN01</t>
  </si>
  <si>
    <t>Control Valve - Gas Cooler H2 Cooling Water</t>
  </si>
  <si>
    <t>GnyNHP01WP001-QN02</t>
  </si>
  <si>
    <t>Control Valve - Gas Cooler O2 Cooling Water</t>
  </si>
  <si>
    <t>STACK GROUP x (x = 1..6)</t>
  </si>
  <si>
    <t>AH 3.0</t>
  </si>
  <si>
    <t>Conductivity Monitoring SGx H2 side</t>
  </si>
  <si>
    <t>V2.0 (FR): use 1oo1 for each stack group instead of 1oo6, no functional change
V3.4, FR, 28.11.2025: simplified display of messages by showing only the messages of one group and using placeholder "NHB0x"</t>
  </si>
  <si>
    <t>Conductivity Monitoring SGx O2 side</t>
  </si>
  <si>
    <t>GnyNHB0xEQ001-QN01</t>
  </si>
  <si>
    <t>Control valve - Module group x</t>
  </si>
  <si>
    <t>V3.4, FR, 28.11.2025: simplified display of messages by showing only the messages of one group and using placeholder "NHB0x"</t>
  </si>
  <si>
    <t>GnyNHB0xKF001-FC0x</t>
  </si>
  <si>
    <t>XW01</t>
  </si>
  <si>
    <t>24VDC Distribution - feedback</t>
  </si>
  <si>
    <t>GnyNHB0xKF001-TB0x</t>
  </si>
  <si>
    <t>24VDC Generation - feedback</t>
  </si>
  <si>
    <t>GnyNHH01HP001-KF92</t>
  </si>
  <si>
    <t>AH (SP+5%)
AL (SP-5%)</t>
  </si>
  <si>
    <t>Flowdistribution Refinement</t>
  </si>
  <si>
    <t>Control error warning, when process value (=G01NHH01HP001-BF30) is deviating too much from setpoint
and Split Rate Control (KZ50) enabled</t>
  </si>
  <si>
    <t>V3.1, FR, 2024-09-24: changed BF30 to KF92, because the message is generated by the PID controller
V3.3, KB, 2025-04-03: KZ50 added to specify that this is only active when Split Rate Control enabled</t>
  </si>
  <si>
    <t>GnyNHH01KF201-KZ50</t>
  </si>
  <si>
    <t>GnyNHH01HP001-BQ01</t>
  </si>
  <si>
    <t>AH 65.0</t>
  </si>
  <si>
    <t>Temperature - Water Refinement loop</t>
  </si>
  <si>
    <t>GnyNHH01HP001-BQ02</t>
  </si>
  <si>
    <t>AH 0.2</t>
  </si>
  <si>
    <t>AHH 0.5</t>
  </si>
  <si>
    <t>Ion Exchanger Row 1 - High Conductivity</t>
  </si>
  <si>
    <t>Pre-Warning at 0,2 to exchange the ion exchanger the next 3 days. Alarm at 0,5 to exchange Ion exchanger immediatelly. Warnings and/or alarms are only valid if refinement pumps are running.</t>
  </si>
  <si>
    <t>V3.0, BM, 07.11.2023: comment changed: "minimum" corrected to "maximum"; "Warnings and/or alarms are only valid if refinement pumps are running."
V3.3, FR, 25.04.2025: split into two separate causes, there should be no 2oo2 or maximum evaluation. If there is a second conductivity measurement, each sensor will give a warning message on the high limit</t>
  </si>
  <si>
    <t>GnyNHH01HP001-BQ03 (optional)</t>
  </si>
  <si>
    <t>Ion Exchanger Row 2 - High Conductivity</t>
  </si>
  <si>
    <t>GnyNHH01HP001-BP01</t>
  </si>
  <si>
    <t>AL -0.25</t>
  </si>
  <si>
    <t xml:space="preserve">Refinement Pump - Low Suction Pressure </t>
  </si>
  <si>
    <t>Suction pressure of Refinement Pump too low</t>
  </si>
  <si>
    <t>V3.4, BM, 2025-09-30, Neccessary because additional strainer at suction side of refinement pump is installed to protect the pump from cavitation.</t>
  </si>
  <si>
    <t>GnyNHH01HP001-BP02</t>
  </si>
  <si>
    <t>AH 4.2</t>
  </si>
  <si>
    <t>Refinement Pump - High Pressure</t>
  </si>
  <si>
    <t>Warning at shall be 0,5 bar higher than pressure with new filter at nominal flow. To be adjusted during comissioning.</t>
  </si>
  <si>
    <t>V.3.2, BM, 2024-05-15: changed from 3 to 4,2 barg. Comment changed.
V3.3,BM, Cause description changed from "Refinement Filter - High Differential Pressure" to " Refinement Pump - High Pressure"</t>
  </si>
  <si>
    <t>GnyNHH01HP001-KZ01</t>
  </si>
  <si>
    <t>Refinement Particle Filter - High Differential Pressure</t>
  </si>
  <si>
    <t>Warning at too high differential pressure between BP02 and BP03. Exchange of filter bag necessary.</t>
  </si>
  <si>
    <t>V3.4, BM, 2025-09-30, Monitoring of additional fine filter. Filter is especially necessary during commissioning of dry stacks.</t>
  </si>
  <si>
    <t>GnyNHH01HP001-KZ02</t>
  </si>
  <si>
    <t>Refinement Resin Filter - High Differential Pressure</t>
  </si>
  <si>
    <t>Warning at too high differential pressure between BP04 and BP05. Exchange of filter bag necessary.</t>
  </si>
  <si>
    <t>V3.4, BM, 2025-09-30, Monitoring of resin filter.</t>
  </si>
  <si>
    <t>AH 2.0</t>
  </si>
  <si>
    <t>N2 Supply - Pressure High</t>
  </si>
  <si>
    <t>Values to be checked project specific</t>
  </si>
  <si>
    <t>V3.1, V2.1 (KB): added delay coming. When N2 manual valve gets opened, the pressure will overshoot and warning will stay active because of hysteresis
V3.3, V3.1, 2024-10-29: Warning limit increased from 1,6 to 2,0 barg in order to not run in unintended warning every time when N2 purge starts</t>
  </si>
  <si>
    <t>H 1.6</t>
  </si>
  <si>
    <t>Values project specific</t>
  </si>
  <si>
    <t>GnyNHX01QN001-KZ11</t>
  </si>
  <si>
    <t>AH |0.2|</t>
  </si>
  <si>
    <t>N2 Supply - Delta Pressure High</t>
  </si>
  <si>
    <t>Delta between G01NHX01QN001-BP01 and G01NHX01QN002-BP01
Values project specific</t>
  </si>
  <si>
    <t>AL 600.0</t>
  </si>
  <si>
    <t>Flowmeter - Nitrogen H2 side</t>
  </si>
  <si>
    <t>Low N2 Flow during purge of H2 side</t>
  </si>
  <si>
    <t>GnyNHX01KF201-KZ55</t>
  </si>
  <si>
    <t>N2 System - N2 Purge H2 side</t>
  </si>
  <si>
    <t>GnyNHX01QN001-QN01</t>
  </si>
  <si>
    <t>Control Valve - Nitrogen H2 side</t>
  </si>
  <si>
    <t>Flowmeter - Nitrogen O2 side</t>
  </si>
  <si>
    <t>Low N2 Flow during purge of O2 side</t>
  </si>
  <si>
    <t>GnyNHX01KF201-KZ56</t>
  </si>
  <si>
    <t>N2 System - N2 Purge O2 side</t>
  </si>
  <si>
    <t>GnyNHX01QN002-QN01</t>
  </si>
  <si>
    <t>Control Valve - Nitrogen O2 side</t>
  </si>
  <si>
    <t>GnyNHY01KF001-BAxx</t>
  </si>
  <si>
    <t>Voltage monitoring</t>
  </si>
  <si>
    <t>feedback</t>
  </si>
  <si>
    <t>GnyNHY01KF001-FCxx</t>
  </si>
  <si>
    <t>GnyNHY01KF001-QAxx</t>
  </si>
  <si>
    <t>GnyNHY01KF001-TBxx</t>
  </si>
  <si>
    <t>24VDC generation feedback</t>
  </si>
  <si>
    <t>GnyNHY01KF001-KZ61</t>
  </si>
  <si>
    <t>CPU Power Supply Module 1 - Available</t>
  </si>
  <si>
    <t>Module State is evaluated in the Software via "Read System State Blocks". Waning is issued if one of the redundant power supplies is not available.</t>
  </si>
  <si>
    <t>V3.3, KB, 20.08.2025: Created entry</t>
  </si>
  <si>
    <t>GnyNHY01KF001-KZ62</t>
  </si>
  <si>
    <t>CPU Power Supply Module 2 - Available</t>
  </si>
  <si>
    <t>1.2</t>
  </si>
  <si>
    <t>Buchholzrelay AL1</t>
  </si>
  <si>
    <t>Oil Temp. Transformer Alarm 1</t>
  </si>
  <si>
    <t>GnyNHA01TA001-BT20</t>
  </si>
  <si>
    <t>Cooling Water inlet</t>
  </si>
  <si>
    <t>Optional</t>
  </si>
  <si>
    <t>V3.3, Nemanja, BM, 2024.12.11: "only optional added"</t>
  </si>
  <si>
    <t>GnyNHA01TA001-BT21</t>
  </si>
  <si>
    <t>Cooling Water outlet</t>
  </si>
  <si>
    <t>Winding Temperature Transformer Al1</t>
  </si>
  <si>
    <t>GnyNHA01TA001-BL01</t>
  </si>
  <si>
    <t>Oil Level Min</t>
  </si>
  <si>
    <t>Oil Level Max</t>
  </si>
  <si>
    <t>GnyNHA01TA001-BL02</t>
  </si>
  <si>
    <t>Transformer leakage level high</t>
  </si>
  <si>
    <t>GnyNHA01TA001-BL03</t>
  </si>
  <si>
    <t>Tap changer oil Level Min</t>
  </si>
  <si>
    <t>Tap changer oil Level Max</t>
  </si>
  <si>
    <t>Oil Circulation Alarm 1</t>
  </si>
  <si>
    <t>GnyNHA01TA001-BF02</t>
  </si>
  <si>
    <t>Cooling Flow Alarm 1</t>
  </si>
  <si>
    <t>Overcurrent protection pickup</t>
  </si>
  <si>
    <t>Overcurrent protection - Fault</t>
  </si>
  <si>
    <t>GnyNHA01TA001-GP01</t>
  </si>
  <si>
    <t>Oil pump not running</t>
  </si>
  <si>
    <t>Only active if rectifier current &gt; 100 A DC</t>
  </si>
  <si>
    <t>XR01</t>
  </si>
  <si>
    <t>Tap changer not running</t>
  </si>
  <si>
    <t>Feedback - Main Circuit Breaker ON</t>
  </si>
  <si>
    <t>XB07</t>
  </si>
  <si>
    <t>Tap changer - not Remote</t>
  </si>
  <si>
    <t>GnyNHA01KF001-BAxx</t>
  </si>
  <si>
    <t>Voltage monitoring - Rectifier cabinet 1</t>
  </si>
  <si>
    <t>Fuse trip</t>
  </si>
  <si>
    <t>GnyNHA01KF001-FCxx</t>
  </si>
  <si>
    <t>Voltage monitoring/distribution - Rectifier cabinet 1</t>
  </si>
  <si>
    <t>GnyNHA01KF001-QAxx</t>
  </si>
  <si>
    <t>Voltage distribution - Rectifier cabinet 1</t>
  </si>
  <si>
    <t>GnyNHA01KF001-TBxx</t>
  </si>
  <si>
    <t>UPS Generation - Rectifier cabinet 1</t>
  </si>
  <si>
    <t>GnyNHA01KF002-BAxx</t>
  </si>
  <si>
    <t>Voltage monitoring - Rectifier cabinet 2</t>
  </si>
  <si>
    <t>GnyNHA01KF002-FCxx</t>
  </si>
  <si>
    <t>Voltage monitoring/distribution - Rectifier cabinet 2</t>
  </si>
  <si>
    <t>GnyNHA01KF002-QAxx</t>
  </si>
  <si>
    <t>Voltage distribution - Rectifier cabinet 2</t>
  </si>
  <si>
    <t>GnyNHA01KF002-TBxx</t>
  </si>
  <si>
    <t>UPS Generation - Rectifier cabinet 2</t>
  </si>
  <si>
    <t>GnyNHA01BZ00x-FC01</t>
  </si>
  <si>
    <t>24VDC Distribution fault - Rectifier x</t>
  </si>
  <si>
    <t>V3.4, FR, 2025-11-28: used placeholder x for Rectifier Row to show cause only once</t>
  </si>
  <si>
    <t>GnyNHA01BZ00x-TF01</t>
  </si>
  <si>
    <t>DC Isolation Warning - Rectifier x</t>
  </si>
  <si>
    <t>Group warning of isolation monitoring</t>
  </si>
  <si>
    <t>V1.4 (FR): added message
V3.4, FR, 2025-11-28: used placeholder x for Rectifier Row to show cause only once</t>
  </si>
  <si>
    <t>GnyNHA01QZ00x-QB11</t>
  </si>
  <si>
    <t>Main switch - Disconnector DC+ Rectifier x</t>
  </si>
  <si>
    <t>Feedback open</t>
  </si>
  <si>
    <t>V3.4, FR, 2025-11-28: used placeholder x for Rectifier Row to show cause only once
V3.4_001, FK, 2026-01-30: bugfix, 1-signal triggers the message</t>
  </si>
  <si>
    <t>GnyNHA01QZ00x-QB12</t>
  </si>
  <si>
    <t>Main switch - Disconnector DC- Rectifier x</t>
  </si>
  <si>
    <t>AH 48.0</t>
  </si>
  <si>
    <t>Rectifier Cooling Outlet - Temperature High</t>
  </si>
  <si>
    <t>V3.0, BM, 7.11.2023: new modular rectifier design; 48°C is equal to the rectifier inlet temperature during type test</t>
  </si>
  <si>
    <t>Rectifier Cooling Outlet - Temperature Low</t>
  </si>
  <si>
    <t>Freeze Warning Rectifier Cooling</t>
  </si>
  <si>
    <t>V3.3, JS, BM, 6.11.2024: freeze protection is also covered by low flow trip. therefore this cause&amp;effect was shifted from protection by BT01 to warnings of BQ01 only</t>
  </si>
  <si>
    <t>GnyNHA01EQ001-QN02</t>
  </si>
  <si>
    <t>Control Valve - Rectifier Cooling Unit Cooling Water</t>
  </si>
  <si>
    <t>V3.2, BM, 03.11.2023: new valve</t>
  </si>
  <si>
    <t>Transformer (IGBT)</t>
  </si>
  <si>
    <t>G01NHA01TA001-BL01</t>
  </si>
  <si>
    <t>G01NHA01TA001-BL03</t>
  </si>
  <si>
    <t>Tap changer invalid position</t>
  </si>
  <si>
    <t>G01NHA01TA002-BL01</t>
  </si>
  <si>
    <t>G01NHA01TA002-BL03</t>
  </si>
  <si>
    <t>G01NHA01TA001-FCxx</t>
  </si>
  <si>
    <t xml:space="preserve">Voltage distribution - Transformer panel </t>
  </si>
  <si>
    <t>Rectifier IGBT (Optional)</t>
  </si>
  <si>
    <t>G01NHA01KF001-BAxx</t>
  </si>
  <si>
    <t>Voltage monitoring - I&amp;C Rectifier cabinet</t>
  </si>
  <si>
    <t>Abnormal voltage</t>
  </si>
  <si>
    <t>G01NHA01KF001-FCxx</t>
  </si>
  <si>
    <t xml:space="preserve">Voltage monitoring/distribution - I&amp;C Rectifier cabinet </t>
  </si>
  <si>
    <t>G01NHA01KF001-QAxx</t>
  </si>
  <si>
    <t>Voltage distribution - I&amp;C Rectifier cabinet</t>
  </si>
  <si>
    <t>G01NHA01KF001-TBxx</t>
  </si>
  <si>
    <t>24 VDC Generation - I&amp;C Rectifier cabinet</t>
  </si>
  <si>
    <t>G01NHA01TB001-KFxx</t>
  </si>
  <si>
    <t>Voltage distribution, UPS - Converter controller Row 1</t>
  </si>
  <si>
    <t>G01NHA01TB001-TAxx</t>
  </si>
  <si>
    <t>24 VDC Generation - Converter controller Row 1</t>
  </si>
  <si>
    <t>G01NHA01TB002-KFxx</t>
  </si>
  <si>
    <t>G01NHA01TB002-TAxx</t>
  </si>
  <si>
    <t>Isolation warning - Electrolyzer Row 1</t>
  </si>
  <si>
    <t>Isolation warning - Electrolyzer Row 2</t>
  </si>
  <si>
    <t>LV AC CB of converter system 1 Row 1 OFF (open)</t>
  </si>
  <si>
    <t>Check back off</t>
  </si>
  <si>
    <t>LV AC CB of converter system 2 Row 1 OFF (open)</t>
  </si>
  <si>
    <t>LV AC CB of converter system 3 Row 1 OFF (open)</t>
  </si>
  <si>
    <t>LV AC CB of converter system 4 Row 1 OFF (open)</t>
  </si>
  <si>
    <t>LV DC of converter system 1/2 Row 1 OFF (open)</t>
  </si>
  <si>
    <t>LV DC of converter system 3/4 Row 1 OFF (open)</t>
  </si>
  <si>
    <t>LV AC CB of converter system 1 Row 2 OFF (open)</t>
  </si>
  <si>
    <t>LV AC CB of converter system 2 Row 2 OFF (open)</t>
  </si>
  <si>
    <t>LV AC CB of converter system 3 Row 2 OFF (open)</t>
  </si>
  <si>
    <t>LV AC CB of converter system 4 Row 2 OFF (open)</t>
  </si>
  <si>
    <t>LV DC of converter system 1/2 Row 2 OFF (open)</t>
  </si>
  <si>
    <t>LV DC of converter system 3/4 Row 2 OFF (open)</t>
  </si>
  <si>
    <t>Variable limits for level NHC/E01BL001-BL01 &amp; BL02</t>
  </si>
  <si>
    <t>*Reference current measurement (SIL): sum of =GnyNHA01BZ011/012/013/014-BC01</t>
  </si>
  <si>
    <t>**Reference current measurement: sum of =GnyNHA01TB001/002/003/004-KZ75 (in case of communication fault to rectifier use SIL measurement as substitution value)</t>
  </si>
  <si>
    <t>BL01</t>
  </si>
  <si>
    <t>BL02</t>
  </si>
  <si>
    <t>BL01&amp;BL02</t>
  </si>
  <si>
    <t>Load*</t>
  </si>
  <si>
    <t>SIS trip*</t>
  </si>
  <si>
    <t>oper. Trip**</t>
  </si>
  <si>
    <t>warning**</t>
  </si>
  <si>
    <t>Delay coming</t>
  </si>
  <si>
    <t>op. set point**</t>
  </si>
  <si>
    <t>7500 A</t>
  </si>
  <si>
    <t>7800 A</t>
  </si>
  <si>
    <t>Device</t>
  </si>
  <si>
    <t>Symbol address</t>
  </si>
  <si>
    <t>Short full</t>
  </si>
  <si>
    <t>Long Full</t>
  </si>
  <si>
    <t>Mainsystem</t>
  </si>
  <si>
    <t>Mainsystem - Description</t>
  </si>
  <si>
    <t>Main System Number</t>
  </si>
  <si>
    <t>Mainsystem Number - Description</t>
  </si>
  <si>
    <t>System</t>
  </si>
  <si>
    <t>System - Description</t>
  </si>
  <si>
    <t>System Number</t>
  </si>
  <si>
    <t>System Number - Description</t>
  </si>
  <si>
    <t>Base Function</t>
  </si>
  <si>
    <t>Base Function - Description</t>
  </si>
  <si>
    <t>Base Function Number</t>
  </si>
  <si>
    <t>Base Function Number - Description</t>
  </si>
  <si>
    <t>Device description</t>
  </si>
  <si>
    <t>Signal tag</t>
  </si>
  <si>
    <t>Signal description</t>
  </si>
  <si>
    <t>Mainsystem Number - Short</t>
  </si>
  <si>
    <t>System Number - Short</t>
  </si>
  <si>
    <t>Base Function Number - Short</t>
  </si>
  <si>
    <t>Device - Short</t>
  </si>
  <si>
    <t>Signal description - Short</t>
  </si>
  <si>
    <t>Sensor/Device</t>
  </si>
  <si>
    <t>Signal type - HW</t>
  </si>
  <si>
    <t>Signal level - HW</t>
  </si>
  <si>
    <t>Connection type - HW</t>
  </si>
  <si>
    <t>Signal form - HW</t>
  </si>
  <si>
    <t>invChannelRequest</t>
  </si>
  <si>
    <t>Data type</t>
  </si>
  <si>
    <t>Signal type - CH</t>
  </si>
  <si>
    <t>Failsafe - CH</t>
  </si>
  <si>
    <t>Function</t>
  </si>
  <si>
    <t>Meas. range Min</t>
  </si>
  <si>
    <t>Meas. range Max</t>
  </si>
  <si>
    <t>Display range Min</t>
  </si>
  <si>
    <t>Display range MAX</t>
  </si>
  <si>
    <t>.HH</t>
  </si>
  <si>
    <t>Limit value</t>
  </si>
  <si>
    <t>.H</t>
  </si>
  <si>
    <t>.L</t>
  </si>
  <si>
    <t>.LL</t>
  </si>
  <si>
    <t>Safety relevant</t>
  </si>
  <si>
    <t>SIL class</t>
  </si>
  <si>
    <t>IED</t>
  </si>
  <si>
    <t>IED type</t>
  </si>
  <si>
    <t>TerminalFrom</t>
  </si>
  <si>
    <t>ConFrom</t>
  </si>
  <si>
    <t>invIO</t>
  </si>
  <si>
    <t>Loop doc number</t>
  </si>
  <si>
    <t>P&amp;ID doc number</t>
  </si>
  <si>
    <t>Revision status</t>
  </si>
  <si>
    <t>Revision comment</t>
  </si>
  <si>
    <t>=G01NHC01BQ001</t>
  </si>
  <si>
    <t>=G01NHC01BQ001-BF01;XG02</t>
  </si>
  <si>
    <t>=G</t>
  </si>
  <si>
    <t>Electrolysis System</t>
  </si>
  <si>
    <t>Electrolysis Array 1</t>
  </si>
  <si>
    <t>NHC</t>
  </si>
  <si>
    <t>H2 Treatment</t>
  </si>
  <si>
    <t>01</t>
  </si>
  <si>
    <t>H2 Treatment System</t>
  </si>
  <si>
    <t>BQ</t>
  </si>
  <si>
    <t>Quality Measuring System</t>
  </si>
  <si>
    <t>001</t>
  </si>
  <si>
    <t>O2 in H2 Measuring System</t>
  </si>
  <si>
    <t>-BF01</t>
  </si>
  <si>
    <t>10301; Flowmeter general</t>
  </si>
  <si>
    <t>Check back off/closed // Limit value &gt;min 1</t>
  </si>
  <si>
    <t>Ely1</t>
  </si>
  <si>
    <t>H2 TRT</t>
  </si>
  <si>
    <t>QUAL</t>
  </si>
  <si>
    <t>Flow1</t>
  </si>
  <si>
    <t>CB ON/OPN/MIN1</t>
  </si>
  <si>
    <t>Electrical</t>
  </si>
  <si>
    <t>24 VDC</t>
  </si>
  <si>
    <t>Wire</t>
  </si>
  <si>
    <t>Normally opened</t>
  </si>
  <si>
    <t>DI</t>
  </si>
  <si>
    <t>1</t>
  </si>
  <si>
    <t>FSZ</t>
  </si>
  <si>
    <t>AH</t>
  </si>
  <si>
    <t>AL</t>
  </si>
  <si>
    <t>Yes</t>
  </si>
  <si>
    <t>=G01NHY01KF001+U012UNA01UH100-KF01</t>
  </si>
  <si>
    <t>6ES7 326-1BK02-0AB0, SM 326, F-DI 24 X DC24V, FAILSAFE</t>
  </si>
  <si>
    <t>XG01:1</t>
  </si>
  <si>
    <t>1B</t>
  </si>
  <si>
    <t>=G01NHC01BQ001-BF01&amp;EFS.001</t>
  </si>
  <si>
    <t>=G01NHC01&amp;MFB.003</t>
  </si>
  <si>
    <t>=A01GCF01CM001</t>
  </si>
  <si>
    <t>=A01GCF01CM001-BL01;XQ01</t>
  </si>
  <si>
    <t>=A</t>
  </si>
  <si>
    <t>Ancillary/Auxiliary Systems</t>
  </si>
  <si>
    <t>Auxilliary Systems</t>
  </si>
  <si>
    <t>GCF</t>
  </si>
  <si>
    <t>Demin Water Supply System</t>
  </si>
  <si>
    <t>Demin Water Supply System 1</t>
  </si>
  <si>
    <t>CM</t>
  </si>
  <si>
    <t>Buffer Tank</t>
  </si>
  <si>
    <t>Buffer Tank 1</t>
  </si>
  <si>
    <t>-BL01</t>
  </si>
  <si>
    <t>Level - Buffer Tank</t>
  </si>
  <si>
    <t>Aux</t>
  </si>
  <si>
    <t>Demin Sup</t>
  </si>
  <si>
    <t>Tnk1</t>
  </si>
  <si>
    <t>Lvl1</t>
  </si>
  <si>
    <t>ANALOG1</t>
  </si>
  <si>
    <t>DR</t>
  </si>
  <si>
    <t>4..20 mA</t>
  </si>
  <si>
    <t>Field bus</t>
  </si>
  <si>
    <t>Continuous signal</t>
  </si>
  <si>
    <t>AI</t>
  </si>
  <si>
    <t>0</t>
  </si>
  <si>
    <t>LIC</t>
  </si>
  <si>
    <t>ASLL</t>
  </si>
  <si>
    <t>=A01GCF01&amp;MFB.001</t>
  </si>
  <si>
    <t>=A01GCF01GP001</t>
  </si>
  <si>
    <t>=A01GCF01GP001-BP01;XQ01</t>
  </si>
  <si>
    <t>GP</t>
  </si>
  <si>
    <t>Pump System</t>
  </si>
  <si>
    <t>Pump System 1</t>
  </si>
  <si>
    <t>-BP01</t>
  </si>
  <si>
    <t>Pressure - Demin Water Outlet</t>
  </si>
  <si>
    <t>PMP1</t>
  </si>
  <si>
    <t>Pres1</t>
  </si>
  <si>
    <t>PI</t>
  </si>
  <si>
    <t>=A01GCF01GP001-BQ01;XQ01</t>
  </si>
  <si>
    <t>-BQ01</t>
  </si>
  <si>
    <t>Conductivity - Demin Water Outlet</t>
  </si>
  <si>
    <t>Qual1</t>
  </si>
  <si>
    <t>=A01GCF01HN001</t>
  </si>
  <si>
    <t>=A01GCF01HN001-BF01;XQ01</t>
  </si>
  <si>
    <t>HN</t>
  </si>
  <si>
    <t>Production Unit</t>
  </si>
  <si>
    <t>Production Unit 1</t>
  </si>
  <si>
    <t>Flowmeter - Water Inlet</t>
  </si>
  <si>
    <t>PROD U1</t>
  </si>
  <si>
    <t>FI</t>
  </si>
  <si>
    <t>=A01GCF01HN001-BP01;XQ01</t>
  </si>
  <si>
    <t>Pressure - Water Inlet</t>
  </si>
  <si>
    <t>=A01GCF01HN001-BQ01;XQ01</t>
  </si>
  <si>
    <t>Conductivity - Water Inlet</t>
  </si>
  <si>
    <t>0   µS/cm</t>
  </si>
  <si>
    <t>20   µS/cm</t>
  </si>
  <si>
    <t>=A01GCF01HN001-BQ01;XQ02</t>
  </si>
  <si>
    <t>ANALOG2</t>
  </si>
  <si>
    <t>TI</t>
  </si>
  <si>
    <t>=A01PAD01EZ001</t>
  </si>
  <si>
    <t>=A01PAD01EZ001-BT01;XQ01</t>
  </si>
  <si>
    <t>PAD</t>
  </si>
  <si>
    <t>Cooling Water Systems</t>
  </si>
  <si>
    <t>Cooling Water System</t>
  </si>
  <si>
    <t>EZ</t>
  </si>
  <si>
    <t>Recooling Systems</t>
  </si>
  <si>
    <t>Recooling Circuit</t>
  </si>
  <si>
    <t>-BT01</t>
  </si>
  <si>
    <t>Temperature - Cooler System Outlet</t>
  </si>
  <si>
    <t>Cool Wtr</t>
  </si>
  <si>
    <t>ReCool</t>
  </si>
  <si>
    <t>Temp1</t>
  </si>
  <si>
    <t>TIC</t>
  </si>
  <si>
    <t>-20   °C</t>
  </si>
  <si>
    <t>80   °C</t>
  </si>
  <si>
    <t>=A01PAD01&amp;MFB.001</t>
  </si>
  <si>
    <t>PAD01EZ001-EQ01GQ01;XQ01</t>
  </si>
  <si>
    <t>-EQ01GQ01</t>
  </si>
  <si>
    <t>Air Cooled Heat Exchanger 1 - 1</t>
  </si>
  <si>
    <t>Air1-1</t>
  </si>
  <si>
    <t>Undefined</t>
  </si>
  <si>
    <t>NS</t>
  </si>
  <si>
    <t>PAD01EZ001-EQ01GQxx;XQ01</t>
  </si>
  <si>
    <t>-EQ01GQxx</t>
  </si>
  <si>
    <t>Air Cooled Heat Exchanger 1 - x</t>
  </si>
  <si>
    <t>Air1-x</t>
  </si>
  <si>
    <t>PAD01EZ001-EQ02GQ01;XQ01</t>
  </si>
  <si>
    <t>-EQ02GQ01</t>
  </si>
  <si>
    <t>Air Cooled Heat Exchanger 2 - 1</t>
  </si>
  <si>
    <t>Air2-1</t>
  </si>
  <si>
    <t>PAD01EZ001-EQ02GQxx;XQ01</t>
  </si>
  <si>
    <t>-EQ02GQxx</t>
  </si>
  <si>
    <t>Air Cooled Heat Exchanger 2 - x</t>
  </si>
  <si>
    <t>Air2-x</t>
  </si>
  <si>
    <t>PAD01EZ001-EQ03GQ01;XQ01</t>
  </si>
  <si>
    <t>-EQ03GQ01</t>
  </si>
  <si>
    <t>Air Cooled Heat Exchanger 3 - 1</t>
  </si>
  <si>
    <t>Air3-1</t>
  </si>
  <si>
    <t>PAD01EZ001-EQ03GQxx;XQ01</t>
  </si>
  <si>
    <t>-EQ03GQxx</t>
  </si>
  <si>
    <t>Air Cooled Heat Exchanger 3 - x</t>
  </si>
  <si>
    <t>Air3-x</t>
  </si>
  <si>
    <t>=A01PAD01GP001</t>
  </si>
  <si>
    <t>=A01PAD01GP001-BP01;XQ01</t>
  </si>
  <si>
    <t>Recooling Pump System</t>
  </si>
  <si>
    <t>Recooling Pump Unit</t>
  </si>
  <si>
    <t>Diff.-Pressure - Cooling Pump 1</t>
  </si>
  <si>
    <t>PD</t>
  </si>
  <si>
    <t>ASHH</t>
  </si>
  <si>
    <t>=A01PAD01GP001-BP02;XQ01</t>
  </si>
  <si>
    <t>-BP02</t>
  </si>
  <si>
    <t>Diff.-Pressure - Cooling Pump 2</t>
  </si>
  <si>
    <t>Pres2</t>
  </si>
  <si>
    <t>=A01PAD01GP001-BP03;XQ01</t>
  </si>
  <si>
    <t>-BP03</t>
  </si>
  <si>
    <t>Pressure - Cooling Pump Input</t>
  </si>
  <si>
    <t>Pres3</t>
  </si>
  <si>
    <t>0   bar</t>
  </si>
  <si>
    <t>8   bar</t>
  </si>
  <si>
    <t>=A01PAD01GP001-BT01;XQ01</t>
  </si>
  <si>
    <t>Temperature - Cooling Pump Input</t>
  </si>
  <si>
    <t>=A01PAD01KF001</t>
  </si>
  <si>
    <t>=A01PAD01KF001-BT01;XQ01</t>
  </si>
  <si>
    <t>KF</t>
  </si>
  <si>
    <t>Control Unit System</t>
  </si>
  <si>
    <t>Cooling Water System Control Unit</t>
  </si>
  <si>
    <t>Temperature - Outside</t>
  </si>
  <si>
    <t>CTRL U1</t>
  </si>
  <si>
    <t>-40   °C</t>
  </si>
  <si>
    <t>60   °C</t>
  </si>
  <si>
    <t>=K01&amp;MFB.001</t>
  </si>
  <si>
    <t>=A01PAD01WP001</t>
  </si>
  <si>
    <t>=A01PAD01WP001-BF01;XQ01</t>
  </si>
  <si>
    <t>WP</t>
  </si>
  <si>
    <t>Recooling Water Distribution System</t>
  </si>
  <si>
    <t>Cooling Water Pipe System</t>
  </si>
  <si>
    <t>Flowmeter - Cooling System Outlet</t>
  </si>
  <si>
    <t>Piping</t>
  </si>
  <si>
    <t>=A01PAD01WP001-BP01;XQ01</t>
  </si>
  <si>
    <t>Pressure - Cooling System Outlet</t>
  </si>
  <si>
    <t>=A01PAD01WP001-BT01;XQ01</t>
  </si>
  <si>
    <t>Temperature - Cooling System Outlet</t>
  </si>
  <si>
    <t>=A01PAD01WP001-BT02;XQ01</t>
  </si>
  <si>
    <t>-BT02</t>
  </si>
  <si>
    <t>Temperature - Compressor Coolingwater Return</t>
  </si>
  <si>
    <t>Temp2</t>
  </si>
  <si>
    <t>=A01PAD01&amp;MFB.002</t>
  </si>
  <si>
    <t>=A01PAD01WP001-BT03;XQ01</t>
  </si>
  <si>
    <t>-BT03</t>
  </si>
  <si>
    <t>Temperature - HVAC Coolingwater Return</t>
  </si>
  <si>
    <t>Temp3</t>
  </si>
  <si>
    <t>=A01PAD01WP001-QN01;XQ01</t>
  </si>
  <si>
    <t>-QN01</t>
  </si>
  <si>
    <t>Control valve - Compressor Coolingwater Return</t>
  </si>
  <si>
    <t>CV1</t>
  </si>
  <si>
    <t>G</t>
  </si>
  <si>
    <t>B10:XQ01</t>
  </si>
  <si>
    <t>EA01</t>
  </si>
  <si>
    <t>=A01QFB01QM001</t>
  </si>
  <si>
    <t>=A01QFB01QM001-BP01;XQ01</t>
  </si>
  <si>
    <t>QFB</t>
  </si>
  <si>
    <t>Instrument Air Supply System</t>
  </si>
  <si>
    <t>Instrument Air Supply System 1</t>
  </si>
  <si>
    <t>QM</t>
  </si>
  <si>
    <t>Instrument Air Distribution System</t>
  </si>
  <si>
    <t>Instrument Air Distribution</t>
  </si>
  <si>
    <t>10922; Gauge pressure transm. without pressure repeater</t>
  </si>
  <si>
    <t>CTRL Air</t>
  </si>
  <si>
    <t>DIST</t>
  </si>
  <si>
    <t>=A01QFB01&amp;MFB.001</t>
  </si>
  <si>
    <t>=A01QJB01WP001</t>
  </si>
  <si>
    <t>=A01QJB01WP001-BP01;XQ01</t>
  </si>
  <si>
    <t>QJB</t>
  </si>
  <si>
    <t>Nitrogen Supply Systems</t>
  </si>
  <si>
    <t>Nitrogen Supply System 1</t>
  </si>
  <si>
    <t>Pipe System</t>
  </si>
  <si>
    <t>Nitrogen Main Distribution</t>
  </si>
  <si>
    <t>10912; Pressure gauge without pressure repeater</t>
  </si>
  <si>
    <t>N2 Sup</t>
  </si>
  <si>
    <t>=A01QJB01&amp;MFB.001</t>
  </si>
  <si>
    <t>=A01QJB01WP003</t>
  </si>
  <si>
    <t>=A01QJB01WP003-BF10;XQ01</t>
  </si>
  <si>
    <t>003</t>
  </si>
  <si>
    <t>Nitrogen Supply AUX1</t>
  </si>
  <si>
    <t>-BF10</t>
  </si>
  <si>
    <t>=A01QJB01WP003-BF60;XQ01</t>
  </si>
  <si>
    <t>-BF60</t>
  </si>
  <si>
    <t>Flow6</t>
  </si>
  <si>
    <t>=A01QJB01WP004</t>
  </si>
  <si>
    <t>=A01QJB01WP004-BF01;XQ01</t>
  </si>
  <si>
    <t>004</t>
  </si>
  <si>
    <t>Nitrogen Supply AUX2</t>
  </si>
  <si>
    <t>=G01NHA01BZ001</t>
  </si>
  <si>
    <t>=G01NHA01BZ001-BC01;XQ01</t>
  </si>
  <si>
    <t>NHA</t>
  </si>
  <si>
    <t>Rectifier Systems</t>
  </si>
  <si>
    <t>Rectifier System 1</t>
  </si>
  <si>
    <t>BZ</t>
  </si>
  <si>
    <t>Measuring Systems</t>
  </si>
  <si>
    <t>Measuring System 1</t>
  </si>
  <si>
    <t>-BC01</t>
  </si>
  <si>
    <t>DC Current Measurement</t>
  </si>
  <si>
    <t>Rect1</t>
  </si>
  <si>
    <t>Meas1</t>
  </si>
  <si>
    <t>Curr1</t>
  </si>
  <si>
    <t>IIC</t>
  </si>
  <si>
    <t>0   kA</t>
  </si>
  <si>
    <t>10   kA</t>
  </si>
  <si>
    <t>=G01NHA01BZ001-TF01;XQ01</t>
  </si>
  <si>
    <t>-TF01</t>
  </si>
  <si>
    <t>DC Isolation Monitoring</t>
  </si>
  <si>
    <t>DC MON1</t>
  </si>
  <si>
    <t>EIS</t>
  </si>
  <si>
    <t>=G01NHA01BZ001-TF02;XQ01</t>
  </si>
  <si>
    <t>-TF02</t>
  </si>
  <si>
    <t>DC Current Measurement (SIL)</t>
  </si>
  <si>
    <t xml:space="preserve">DC MON SIL </t>
  </si>
  <si>
    <t>-XG02</t>
  </si>
  <si>
    <t>IZ</t>
  </si>
  <si>
    <t>0   V</t>
  </si>
  <si>
    <t>10   V</t>
  </si>
  <si>
    <t>=G01NHA01BZ001-TF02&amp;EFS.008</t>
  </si>
  <si>
    <t>=G01NHA01BZ002</t>
  </si>
  <si>
    <t>=G01NHA01BZ002-BC01;XQ01</t>
  </si>
  <si>
    <t>002</t>
  </si>
  <si>
    <t>Measuring System 2</t>
  </si>
  <si>
    <t>Meas2</t>
  </si>
  <si>
    <t>=G01NHA01BZ002-TF01;XQ01</t>
  </si>
  <si>
    <t>=G01NHA01BZ002-TF02;XQ01</t>
  </si>
  <si>
    <t>=G01NHA01BZ002-TF02&amp;EFS.008</t>
  </si>
  <si>
    <t>=G01NHA01BZ003</t>
  </si>
  <si>
    <t>=G01NHA01BZ003-BC01;XQ01</t>
  </si>
  <si>
    <t>Measuring System 3</t>
  </si>
  <si>
    <t>Meas3</t>
  </si>
  <si>
    <t>=G01NHA01BZ003-TF01;XQ01</t>
  </si>
  <si>
    <t>=G01NHA01BZ003-TF02;XQ01</t>
  </si>
  <si>
    <t>=G01NHA01BZ003-TF02&amp;EFS.008</t>
  </si>
  <si>
    <t>=G01NHA01BZ004</t>
  </si>
  <si>
    <t>=G01NHA01BZ004-BC01;XQ01</t>
  </si>
  <si>
    <t>Measuring System 4</t>
  </si>
  <si>
    <t>Meas4</t>
  </si>
  <si>
    <t>=G01NHA01BZ004-TF01;XQ01</t>
  </si>
  <si>
    <t>=G01NHA01BZ004-TF02;XQ01</t>
  </si>
  <si>
    <t>=G01NHA01BZ004-TF02&amp;EFS.008</t>
  </si>
  <si>
    <t>=G01NHA01EQ001</t>
  </si>
  <si>
    <t>=G01NHA01EQ001-BP01;XQ01</t>
  </si>
  <si>
    <t>EQ</t>
  </si>
  <si>
    <t>Cooling Systems</t>
  </si>
  <si>
    <t>Rectifier Cooling System</t>
  </si>
  <si>
    <t>Pressure - Pump Input</t>
  </si>
  <si>
    <t>Cool</t>
  </si>
  <si>
    <t>=G01NHA01KF001+U012UBB01UC001-KF07</t>
  </si>
  <si>
    <t>6DL1 133-6EW00-0EH1, ET 200SP HA, AI-DI16/DQ16X24VDC HART</t>
  </si>
  <si>
    <t>=G01NHA01EQ001-BP01&amp;EFS.001</t>
  </si>
  <si>
    <t>=G01NHA01&amp;MFB.001</t>
  </si>
  <si>
    <t>=G01NHA01EQ001-BP02;XQ01</t>
  </si>
  <si>
    <t>Pressure - Pump Output</t>
  </si>
  <si>
    <t>02</t>
  </si>
  <si>
    <t>=G01NHA01EQ001-BP02&amp;EFS.001</t>
  </si>
  <si>
    <t>=G01NHA01EQ001-BP03;XQ01</t>
  </si>
  <si>
    <t>Pressure - Heat Exchanger Output</t>
  </si>
  <si>
    <t>03</t>
  </si>
  <si>
    <t>=G01NHA01EQ001-BP03&amp;EFS.001</t>
  </si>
  <si>
    <t>=G01NHA01EQ001-BQ01;XQ01</t>
  </si>
  <si>
    <t>Conductivity - Heat Exchanger Outlet</t>
  </si>
  <si>
    <t>XG01:004</t>
  </si>
  <si>
    <t>8</t>
  </si>
  <si>
    <t>04</t>
  </si>
  <si>
    <t>=G01NHA01EQ001-BQ01&amp;EFS.001</t>
  </si>
  <si>
    <t>=G01NHA01EQ001-BQ01;XQ02</t>
  </si>
  <si>
    <t>B10:XQ02</t>
  </si>
  <si>
    <t>05</t>
  </si>
  <si>
    <t>=G01NHA01EQ001-BT01;XQ01</t>
  </si>
  <si>
    <t>Temperature - Heat Exchanger Outlet</t>
  </si>
  <si>
    <t>06</t>
  </si>
  <si>
    <t>=G01NHA01EQ001-BT01&amp;EFS.001</t>
  </si>
  <si>
    <t>=G01NHA01TA001</t>
  </si>
  <si>
    <t>=G01NHA01TA001-BT01;XQ01</t>
  </si>
  <si>
    <t>TA</t>
  </si>
  <si>
    <t>Transformers</t>
  </si>
  <si>
    <t>Rectifier Transformer</t>
  </si>
  <si>
    <t>Temperature switch - Oil temperature</t>
  </si>
  <si>
    <t>Trafo1</t>
  </si>
  <si>
    <t>07</t>
  </si>
  <si>
    <t>=G01NHA01TA001-BT01&amp;EFS.011</t>
  </si>
  <si>
    <t>=G01NHA01TA001-BT02;XQ01</t>
  </si>
  <si>
    <t>Temperature switch - Winding temperature</t>
  </si>
  <si>
    <t>TIZ</t>
  </si>
  <si>
    <t>08</t>
  </si>
  <si>
    <t>=G01NHA01TA001-BT02&amp;EFS.011</t>
  </si>
  <si>
    <t>=G01NHA01TA001-BT10;XQ01</t>
  </si>
  <si>
    <t>-BT10</t>
  </si>
  <si>
    <t>PT100 - Top Oil Temperature</t>
  </si>
  <si>
    <t>Temperature - Top Oil Transformer</t>
  </si>
  <si>
    <t>Oil Temp1</t>
  </si>
  <si>
    <t>PT100</t>
  </si>
  <si>
    <t>=G01NHA01KF001+U012UBB01UC001-KF08</t>
  </si>
  <si>
    <t>6DL1 134-6JH00-0EH1, ET 200SP HA, AI 16XTC/8XRTD 2-/3-/4-WIRE</t>
  </si>
  <si>
    <t>=G01NHA01TA001-BT10&amp;EFS.012</t>
  </si>
  <si>
    <t>=G01NHA01TA001-BT11;XQ01</t>
  </si>
  <si>
    <t>-BT11</t>
  </si>
  <si>
    <t>Oil Temp2</t>
  </si>
  <si>
    <t>=G01NHA01TA001-BT11&amp;EFS.012</t>
  </si>
  <si>
    <t>=G01NHA01TA001-BT20;XQ01</t>
  </si>
  <si>
    <t>-BT20</t>
  </si>
  <si>
    <t>PT100 - Cooling Water Inlet</t>
  </si>
  <si>
    <t>Temperature - Cooling water inlet</t>
  </si>
  <si>
    <t>Cool Temp1</t>
  </si>
  <si>
    <t>=G01NHA01TA001-BT20&amp;EFS.017</t>
  </si>
  <si>
    <t>=G01NHA01TA001-BT21;XQ01</t>
  </si>
  <si>
    <t>-BT21</t>
  </si>
  <si>
    <t>PT100 - Cooling Water Outlet</t>
  </si>
  <si>
    <t>Temperature - Cooling water outlet</t>
  </si>
  <si>
    <t>Cool Temp2</t>
  </si>
  <si>
    <t>=G01NHA01TA001-BT21&amp;EFS.018</t>
  </si>
  <si>
    <t>=G01NHA01WP001</t>
  </si>
  <si>
    <t>=G01NHA01WP001-BT03;XQ01</t>
  </si>
  <si>
    <t>Pipe System 1</t>
  </si>
  <si>
    <t>Temperature Measurement - Cooling Water</t>
  </si>
  <si>
    <t>100   °C</t>
  </si>
  <si>
    <t>=G01NHY01KF001+U012UNA01UH100-KF13</t>
  </si>
  <si>
    <t>10</t>
  </si>
  <si>
    <t>=G01NHA01WP001-BT04;XQ01</t>
  </si>
  <si>
    <t>-BT04</t>
  </si>
  <si>
    <t>Temp4</t>
  </si>
  <si>
    <t>11</t>
  </si>
  <si>
    <t>=G01NHB01EQ001</t>
  </si>
  <si>
    <t>=G01NHB01EQ001-BQ01;XQ01</t>
  </si>
  <si>
    <t>NHB</t>
  </si>
  <si>
    <t>Electrolyzer System</t>
  </si>
  <si>
    <t>Module Group 1</t>
  </si>
  <si>
    <t>Heat Exchanging Systems</t>
  </si>
  <si>
    <t>Heat Exchanging System 1</t>
  </si>
  <si>
    <t>Conductivity WP H2</t>
  </si>
  <si>
    <t>Grp1</t>
  </si>
  <si>
    <t>=G01NHB01KF002+U012UNA01UH111-KF02</t>
  </si>
  <si>
    <t>XQ01B</t>
  </si>
  <si>
    <t>=G01NHB01EQ001-BQ01&amp;EFS.001</t>
  </si>
  <si>
    <t>=G01NHB01&amp;MFB.001</t>
  </si>
  <si>
    <t>=G01NHB01EQ001-BQ01;XQ02</t>
  </si>
  <si>
    <t>XQ02B</t>
  </si>
  <si>
    <t>=G01NHB01EQ001-BQ02;XQ01</t>
  </si>
  <si>
    <t>-BQ02</t>
  </si>
  <si>
    <t>Conductivity WP O2</t>
  </si>
  <si>
    <t>Qual2</t>
  </si>
  <si>
    <t>=G01NHB01EQ001-BQ02&amp;EFS.001</t>
  </si>
  <si>
    <t>=G01NHB01EQ001-BQ02;XQ02</t>
  </si>
  <si>
    <t>=G01NHB01EQ001-BT01;XQ01</t>
  </si>
  <si>
    <t>Temperature WCR</t>
  </si>
  <si>
    <t>=G01NHB01EQ001-BT01&amp;EFS.001</t>
  </si>
  <si>
    <t>=G01NHB01EQ001-BT02;XQ01</t>
  </si>
  <si>
    <t>Temperature WP H2</t>
  </si>
  <si>
    <t>AZH</t>
  </si>
  <si>
    <t>AZL</t>
  </si>
  <si>
    <t>SIL 2</t>
  </si>
  <si>
    <t>=G01NHY01KF001+U012UNA01UH100-KF04</t>
  </si>
  <si>
    <t>6ES7 336-4GE00-0AB0, SM 336, 6AI, 0/4-20mA, failsafe</t>
  </si>
  <si>
    <t>XG02:1</t>
  </si>
  <si>
    <t>1A</t>
  </si>
  <si>
    <t>=G01NHB01EQ001-BT02&amp;EFS.001</t>
  </si>
  <si>
    <t>=G01NHB01EQ001-BT03;XQ01</t>
  </si>
  <si>
    <t>Temperature WP O2</t>
  </si>
  <si>
    <t>XG02:3</t>
  </si>
  <si>
    <t>3A</t>
  </si>
  <si>
    <t>=G01NHB01EQ001-BT03&amp;EFS.001</t>
  </si>
  <si>
    <t>=G01NHB01EQ001-QN01;XQ01</t>
  </si>
  <si>
    <t>Cooling Water - Control Valve</t>
  </si>
  <si>
    <t>-QN01KF01</t>
  </si>
  <si>
    <t>14</t>
  </si>
  <si>
    <t>=G01NHB01EQ001-QN01&amp;EFS.001</t>
  </si>
  <si>
    <t>=G01NHB01HT001</t>
  </si>
  <si>
    <t>=G01NHB01HT001-BT01;XQ01</t>
  </si>
  <si>
    <t>HT</t>
  </si>
  <si>
    <t>Electrolysis Modules</t>
  </si>
  <si>
    <t>Module 1</t>
  </si>
  <si>
    <t>Temperature Module Outlet O2</t>
  </si>
  <si>
    <t>Mod1</t>
  </si>
  <si>
    <t>=G01NHB01HT001-BT01&amp;EFS.001</t>
  </si>
  <si>
    <t>=G01NHB01HT001-BT02;XQ01</t>
  </si>
  <si>
    <t>Temperature Module Outlet H2</t>
  </si>
  <si>
    <t>=G01NHB01HT001-BT02&amp;EFS.001</t>
  </si>
  <si>
    <t>=G01NHB01HT002</t>
  </si>
  <si>
    <t>=G01NHB01HT002-BT01;XQ01</t>
  </si>
  <si>
    <t>Module 2</t>
  </si>
  <si>
    <t>Mod2</t>
  </si>
  <si>
    <t>=G01NHB01HT002-BT01&amp;EFS.001</t>
  </si>
  <si>
    <t>=G01NHB01HT002-BT02;XQ01</t>
  </si>
  <si>
    <t>09</t>
  </si>
  <si>
    <t>=G01NHB01HT002-BT02&amp;EFS.001</t>
  </si>
  <si>
    <t>=G01NHB01HT003</t>
  </si>
  <si>
    <t>=G01NHB01HT003-BT01;XQ01</t>
  </si>
  <si>
    <t>Module 3</t>
  </si>
  <si>
    <t>Mod3</t>
  </si>
  <si>
    <t>=G01NHB01HT003-BT01&amp;EFS.001</t>
  </si>
  <si>
    <t>=G01NHB01HT003-BT02;XQ01</t>
  </si>
  <si>
    <t>=G01NHB01HT003-BT02&amp;EFS.001</t>
  </si>
  <si>
    <t>=G01NHB01HT004</t>
  </si>
  <si>
    <t>=G01NHB01HT004-BT01;XQ01</t>
  </si>
  <si>
    <t>Module 4</t>
  </si>
  <si>
    <t>Mod4</t>
  </si>
  <si>
    <t>12</t>
  </si>
  <si>
    <t>=G01NHB01HT004-BT01&amp;EFS.001</t>
  </si>
  <si>
    <t>=G01NHB01HT004-BT02;XQ01</t>
  </si>
  <si>
    <t>13</t>
  </si>
  <si>
    <t>=G01NHB01HT004-BT02&amp;EFS.001</t>
  </si>
  <si>
    <t>=G01NHB01KF001</t>
  </si>
  <si>
    <t>=G01NHB01KF001-BA01;XQ01</t>
  </si>
  <si>
    <t>Control Units</t>
  </si>
  <si>
    <t>Cell Voltage Measurement</t>
  </si>
  <si>
    <t>-BA01</t>
  </si>
  <si>
    <t>Cell-Voltage-Measurement - Module 1</t>
  </si>
  <si>
    <t>Cell -Voltage Module 1</t>
  </si>
  <si>
    <t>Cell Volt1</t>
  </si>
  <si>
    <t>BA01</t>
  </si>
  <si>
    <t>0...10V</t>
  </si>
  <si>
    <t>EIC</t>
  </si>
  <si>
    <t>3   V</t>
  </si>
  <si>
    <t>=G01NHB01KF001+U012UNA01UH112-KF02</t>
  </si>
  <si>
    <t>6ES7 134-6HB00-0CA1, AI 2 X U/I 2-, 4-WIRE HF</t>
  </si>
  <si>
    <t>=G01NHB01KF001&amp;EFS.053</t>
  </si>
  <si>
    <t>=G01NHB01KF001-BA02;XQ01</t>
  </si>
  <si>
    <t>-BA02</t>
  </si>
  <si>
    <t>Cell-Voltage-Measurement - Module 2</t>
  </si>
  <si>
    <t>Cell -Voltage Module 2</t>
  </si>
  <si>
    <t>Cell Volt2</t>
  </si>
  <si>
    <t>BA02</t>
  </si>
  <si>
    <t>=G01NHB01KF001-BA03;XQ01</t>
  </si>
  <si>
    <t>-BA03</t>
  </si>
  <si>
    <t>Cell-Voltage-Measurement - Module 3</t>
  </si>
  <si>
    <t>Cell -Voltage Module 3</t>
  </si>
  <si>
    <t>Cell Volt3</t>
  </si>
  <si>
    <t>BA03</t>
  </si>
  <si>
    <t>=G01NHB01KF001+U012UNA01UH112-KF03</t>
  </si>
  <si>
    <t>=G01NHB01KF001-BA04;XQ01</t>
  </si>
  <si>
    <t>-BA04</t>
  </si>
  <si>
    <t>Cell-Voltage-Measurement - Module 4</t>
  </si>
  <si>
    <t>Cell -Voltage Module 4</t>
  </si>
  <si>
    <t>Cell Volt4</t>
  </si>
  <si>
    <t>BA04</t>
  </si>
  <si>
    <t>=G01NHB02EQ001</t>
  </si>
  <si>
    <t>=G01NHB02EQ001-BQ01;XQ01</t>
  </si>
  <si>
    <t>Module Group 2</t>
  </si>
  <si>
    <t>Grp2</t>
  </si>
  <si>
    <t>=G01NHB02KF002+U012UNA01UH121-KF02</t>
  </si>
  <si>
    <t>=G01NHB02EQ001-BQ01&amp;EFS.001</t>
  </si>
  <si>
    <t>=G01NHB02&amp;MFB.001</t>
  </si>
  <si>
    <t>=G01NHB02EQ001-BQ01;XQ02</t>
  </si>
  <si>
    <t>=G01NHB02EQ001-BQ02;XQ01</t>
  </si>
  <si>
    <t>=G01NHB02EQ001-BQ02&amp;EFS.001</t>
  </si>
  <si>
    <t>=G01NHB02EQ001-BQ02;XQ02</t>
  </si>
  <si>
    <t>=G01NHB02EQ001-BT01;XQ01</t>
  </si>
  <si>
    <t>=G01NHB02EQ001-BT01&amp;EFS.001</t>
  </si>
  <si>
    <t>=G01NHB02EQ001-BT02;XQ01</t>
  </si>
  <si>
    <t>=G01NHB02EQ001-BT02&amp;EFS.001</t>
  </si>
  <si>
    <t>=G01NHB02EQ001-BT03;XQ01</t>
  </si>
  <si>
    <t>=G01NHB02EQ001-BT03&amp;EFS.001</t>
  </si>
  <si>
    <t>=G01NHB02EQ001-QN01;XQ01</t>
  </si>
  <si>
    <t>=G01NHB02EQ001-QN01&amp;EFS.001</t>
  </si>
  <si>
    <t>=G01NHB02HT001</t>
  </si>
  <si>
    <t>=G01NHB02HT001-BT01;XQ01</t>
  </si>
  <si>
    <t>=G01NHB02HT001-BT01&amp;EFS.001</t>
  </si>
  <si>
    <t>=G01NHB02HT001-BT02;XQ01</t>
  </si>
  <si>
    <t>=G01NHB02HT001-BT02&amp;EFS.001</t>
  </si>
  <si>
    <t>=G01NHB02HT002</t>
  </si>
  <si>
    <t>=G01NHB02HT002-BT01;XQ01</t>
  </si>
  <si>
    <t>=G01NHB02HT002-BT01&amp;EFS.001</t>
  </si>
  <si>
    <t>=G01NHB02HT002-BT02;XQ01</t>
  </si>
  <si>
    <t>=G01NHB02HT002-BT02&amp;EFS.001</t>
  </si>
  <si>
    <t>=G01NHB02HT003</t>
  </si>
  <si>
    <t>=G01NHB02HT003-BT01;XQ01</t>
  </si>
  <si>
    <t>=G01NHB02HT003-BT01&amp;EFS.001</t>
  </si>
  <si>
    <t>=G01NHB02HT003-BT02;XQ01</t>
  </si>
  <si>
    <t>=G01NHB02HT003-BT02&amp;EFS.001</t>
  </si>
  <si>
    <t>=G01NHB02HT004</t>
  </si>
  <si>
    <t>=G01NHB02HT004-BT01;XQ01</t>
  </si>
  <si>
    <t>=G01NHB02HT004-BT01&amp;EFS.001</t>
  </si>
  <si>
    <t>=G01NHB02HT004-BT02;XQ01</t>
  </si>
  <si>
    <t>=G01NHB02HT004-BT02&amp;EFS.001</t>
  </si>
  <si>
    <t>=G01NHB02KF001</t>
  </si>
  <si>
    <t>=G01NHB02KF001-BA01;XQ01</t>
  </si>
  <si>
    <t>=G01NHB02KF001+U012UNA01UH122-KF02</t>
  </si>
  <si>
    <t>=G01NHB02KF001&amp;EFS.053</t>
  </si>
  <si>
    <t>=G01NHB02KF001-BA02;XQ01</t>
  </si>
  <si>
    <t>=G01NHB02KF001-BA03;XQ01</t>
  </si>
  <si>
    <t>=G01NHB02KF001+U012UNA01UH122-KF03</t>
  </si>
  <si>
    <t>=G01NHB02KF001-BA04;XQ01</t>
  </si>
  <si>
    <t>=G01NHB03EQ001</t>
  </si>
  <si>
    <t>=G01NHB03EQ001-BQ01;XQ01</t>
  </si>
  <si>
    <t>Module Group 3</t>
  </si>
  <si>
    <t>Grp3</t>
  </si>
  <si>
    <t>=G01NHB03KF002+U012UNA01UH131-KF02</t>
  </si>
  <si>
    <t>=G01NHB03EQ001-BQ01&amp;EFS.001</t>
  </si>
  <si>
    <t>=G01NHB03&amp;MFB.001</t>
  </si>
  <si>
    <t>=G01NHB03EQ001-BQ01;XQ02</t>
  </si>
  <si>
    <t>=G01NHB03EQ001-BQ02;XQ01</t>
  </si>
  <si>
    <t>=G01NHB03EQ001-BQ02&amp;EFS.001</t>
  </si>
  <si>
    <t>=G01NHB03EQ001-BQ02;XQ02</t>
  </si>
  <si>
    <t>=G01NHB03EQ001-BT01;XQ01</t>
  </si>
  <si>
    <t>=G01NHB03EQ001-BT01&amp;EFS.001</t>
  </si>
  <si>
    <t>=G01NHB03EQ001-BT02;XQ01</t>
  </si>
  <si>
    <t>=G01NHB03EQ001-BT02&amp;EFS.001</t>
  </si>
  <si>
    <t>=G01NHB03EQ001-BT03;XQ01</t>
  </si>
  <si>
    <t>=G01NHB03EQ001-BT03&amp;EFS.001</t>
  </si>
  <si>
    <t>=G01NHB03EQ001-QN01;XQ01</t>
  </si>
  <si>
    <t>=G01NHB03EQ001-QN01&amp;EFS.001</t>
  </si>
  <si>
    <t>=G01NHB03HT001</t>
  </si>
  <si>
    <t>=G01NHB03HT001-BT01;XQ01</t>
  </si>
  <si>
    <t>=G01NHB03HT001-BT01&amp;EFS.001</t>
  </si>
  <si>
    <t>=G01NHB03HT001-BT02;XQ01</t>
  </si>
  <si>
    <t>=G01NHB03HT001-BT02&amp;EFS.001</t>
  </si>
  <si>
    <t>=G01NHB03HT002</t>
  </si>
  <si>
    <t>=G01NHB03HT002-BT01;XQ01</t>
  </si>
  <si>
    <t>=G01NHB03HT002-BT01&amp;EFS.001</t>
  </si>
  <si>
    <t>=G01NHB03HT002-BT02;XQ01</t>
  </si>
  <si>
    <t>=G01NHB03HT002-BT02&amp;EFS.001</t>
  </si>
  <si>
    <t>=G01NHB03HT003</t>
  </si>
  <si>
    <t>=G01NHB03HT003-BT01;XQ01</t>
  </si>
  <si>
    <t>=G01NHB03HT003-BT01&amp;EFS.001</t>
  </si>
  <si>
    <t>=G01NHB03HT003-BT02;XQ01</t>
  </si>
  <si>
    <t>=G01NHB03HT003-BT02&amp;EFS.001</t>
  </si>
  <si>
    <t>=G01NHB03HT004</t>
  </si>
  <si>
    <t>=G01NHB03HT004-BT01;XQ01</t>
  </si>
  <si>
    <t>=G01NHB03HT004-BT01&amp;EFS.001</t>
  </si>
  <si>
    <t>=G01NHB03HT004-BT02;XQ01</t>
  </si>
  <si>
    <t>=G01NHB03HT004-BT02&amp;EFS.001</t>
  </si>
  <si>
    <t>=G01NHB03KF001</t>
  </si>
  <si>
    <t>=G01NHB03KF001-BA01;XQ01</t>
  </si>
  <si>
    <t>=G01NHB03KF001+U012UNA01UH132-KF02</t>
  </si>
  <si>
    <t>=G01NHB03KF001&amp;EFS.053</t>
  </si>
  <si>
    <t>=G01NHB03KF001-BA02;XQ01</t>
  </si>
  <si>
    <t>=G01NHB03KF001-BA03;XQ01</t>
  </si>
  <si>
    <t>=G01NHB03KF001+U012UNA01UH132-KF03</t>
  </si>
  <si>
    <t>=G01NHB03KF001-BA04;XQ01</t>
  </si>
  <si>
    <t>=G01NHB04EQ001</t>
  </si>
  <si>
    <t>=G01NHB04EQ001-BQ01;XQ01</t>
  </si>
  <si>
    <t>Module Group 4</t>
  </si>
  <si>
    <t>Grp4</t>
  </si>
  <si>
    <t>=G01NHB04KF002+U012UNA01UH141-KF02</t>
  </si>
  <si>
    <t>=G01NHB04EQ001-BQ01&amp;EFS.001</t>
  </si>
  <si>
    <t>=G01NHB04&amp;MFB.001</t>
  </si>
  <si>
    <t>=G01NHB04EQ001-BQ01;XQ02</t>
  </si>
  <si>
    <t>=G01NHB04EQ001-BQ02;XQ01</t>
  </si>
  <si>
    <t>=G01NHB04EQ001-BQ02&amp;EFS.001</t>
  </si>
  <si>
    <t>=G01NHB04EQ001-BQ02;XQ02</t>
  </si>
  <si>
    <t>=G01NHB04EQ001-BT01;XQ01</t>
  </si>
  <si>
    <t>=G01NHB04EQ001-BT01&amp;EFS.001</t>
  </si>
  <si>
    <t>=G01NHB04EQ001-BT02;XQ01</t>
  </si>
  <si>
    <t>=G01NHY01KF001+U012UNA01UH100-KF05</t>
  </si>
  <si>
    <t>=G01NHB04EQ001-BT02&amp;EFS.001</t>
  </si>
  <si>
    <t>=G01NHB04EQ001-BT03;XQ01</t>
  </si>
  <si>
    <t>=G01NHB04EQ001-BT03&amp;EFS.001</t>
  </si>
  <si>
    <t>=G01NHB04EQ001-QN01;XQ01</t>
  </si>
  <si>
    <t>=G01NHB04EQ001-QN01&amp;EFS.001</t>
  </si>
  <si>
    <t>=G01NHB04HT001</t>
  </si>
  <si>
    <t>=G01NHB04HT001-BT01;XQ01</t>
  </si>
  <si>
    <t>=G01NHB04HT001-BT01&amp;EFS.001</t>
  </si>
  <si>
    <t>=G01NHB04HT001-BT02;XQ01</t>
  </si>
  <si>
    <t>=G01NHB04HT001-BT02&amp;EFS.001</t>
  </si>
  <si>
    <t>=G01NHB04HT002</t>
  </si>
  <si>
    <t>=G01NHB04HT002-BT01;XQ01</t>
  </si>
  <si>
    <t>=G01NHB04HT002-BT01&amp;EFS.001</t>
  </si>
  <si>
    <t>=G01NHB04HT002-BT02;XQ01</t>
  </si>
  <si>
    <t>=G01NHB04HT002-BT02&amp;EFS.001</t>
  </si>
  <si>
    <t>=G01NHB04HT003</t>
  </si>
  <si>
    <t>=G01NHB04HT003-BT01;XQ01</t>
  </si>
  <si>
    <t>=G01NHB04HT003-BT01&amp;EFS.001</t>
  </si>
  <si>
    <t>=G01NHB04HT003-BT02;XQ01</t>
  </si>
  <si>
    <t>=G01NHB04HT003-BT02&amp;EFS.001</t>
  </si>
  <si>
    <t>=G01NHB04HT004</t>
  </si>
  <si>
    <t>=G01NHB04HT004-BT01;XQ01</t>
  </si>
  <si>
    <t>=G01NHB04HT004-BT01&amp;EFS.001</t>
  </si>
  <si>
    <t>=G01NHB04HT004-BT02;XQ01</t>
  </si>
  <si>
    <t>=G01NHB04HT004-BT02&amp;EFS.001</t>
  </si>
  <si>
    <t>=G01NHB04KF001</t>
  </si>
  <si>
    <t>=G01NHB04KF001-BA01;XQ01</t>
  </si>
  <si>
    <t>=G01NHB04KF001+U012UNA01UH142-KF02</t>
  </si>
  <si>
    <t>=G01NHB04KF001&amp;EFS.053</t>
  </si>
  <si>
    <t>=G01NHB04KF001-BA02;XQ01</t>
  </si>
  <si>
    <t>=G01NHB04KF001-BA03;XQ01</t>
  </si>
  <si>
    <t>=G01NHB04KF001+U012UNA01UH142-KF03</t>
  </si>
  <si>
    <t>=G01NHB04KF001-BA04;XQ01</t>
  </si>
  <si>
    <t>=G01NHB05EQ001</t>
  </si>
  <si>
    <t>=G01NHB05EQ001-BQ01;XQ01</t>
  </si>
  <si>
    <t>Module Group 5</t>
  </si>
  <si>
    <t>Grp5</t>
  </si>
  <si>
    <t>=G01NHB05KF002+U012UNA01UH151-KF02</t>
  </si>
  <si>
    <t>=G01NHB05EQ001-BQ01&amp;EFS.001</t>
  </si>
  <si>
    <t>=G01NHB05&amp;MFB.001</t>
  </si>
  <si>
    <t>=G01NHB05EQ001-BQ01;XQ02</t>
  </si>
  <si>
    <t>=G01NHB05EQ001-BQ02;XQ01</t>
  </si>
  <si>
    <t>=G01NHB05EQ001-BQ02&amp;EFS.001</t>
  </si>
  <si>
    <t>=G01NHB05EQ001-BQ02;XQ02</t>
  </si>
  <si>
    <t>=G01NHB05EQ001-BT01;XQ01</t>
  </si>
  <si>
    <t>=G01NHB05EQ001-BT01&amp;EFS.001</t>
  </si>
  <si>
    <t>=G01NHB05EQ001-BT02;XQ01</t>
  </si>
  <si>
    <t>=G01NHB05EQ001-BT02&amp;EFS.001</t>
  </si>
  <si>
    <t>=G01NHB05EQ001-BT03;XQ01</t>
  </si>
  <si>
    <t>=G01NHB05EQ001-BT03&amp;EFS.001</t>
  </si>
  <si>
    <t>=G01NHB05EQ001-QN01;XQ01</t>
  </si>
  <si>
    <t>=G01NHB05EQ001-QN01&amp;EFS.001</t>
  </si>
  <si>
    <t>=G01NHB05HT001</t>
  </si>
  <si>
    <t>=G01NHB05HT001-BT01;XQ01</t>
  </si>
  <si>
    <t>=G01NHB05HT001-BT01&amp;EFS.001</t>
  </si>
  <si>
    <t>=G01NHB05HT001-BT02;XQ01</t>
  </si>
  <si>
    <t>=G01NHB05HT001-BT02&amp;EFS.001</t>
  </si>
  <si>
    <t>=G01NHB05HT002</t>
  </si>
  <si>
    <t>=G01NHB05HT002-BT01;XQ01</t>
  </si>
  <si>
    <t>=G01NHB05HT002-BT01&amp;EFS.001</t>
  </si>
  <si>
    <t>=G01NHB05HT002-BT02;XQ01</t>
  </si>
  <si>
    <t>=G01NHB05HT002-BT02&amp;EFS.001</t>
  </si>
  <si>
    <t>=G01NHB05HT003</t>
  </si>
  <si>
    <t>=G01NHB05HT003-BT01;XQ01</t>
  </si>
  <si>
    <t>=G01NHB05HT003-BT01&amp;EFS.001</t>
  </si>
  <si>
    <t>=G01NHB05HT003-BT02;XQ01</t>
  </si>
  <si>
    <t>=G01NHB05HT003-BT02&amp;EFS.001</t>
  </si>
  <si>
    <t>=G01NHB05HT004</t>
  </si>
  <si>
    <t>=G01NHB05HT004-BT01;XQ01</t>
  </si>
  <si>
    <t>=G01NHB05HT004-BT01&amp;EFS.001</t>
  </si>
  <si>
    <t>=G01NHB05HT004-BT02;XQ01</t>
  </si>
  <si>
    <t>=G01NHB05HT004-BT02&amp;EFS.001</t>
  </si>
  <si>
    <t>=G01NHB05KF001</t>
  </si>
  <si>
    <t>=G01NHB05KF001-BA01;XQ01</t>
  </si>
  <si>
    <t>=G01NHB05KF001+U012UNA01UH152-KF02</t>
  </si>
  <si>
    <t>=G01NHB05KF001&amp;EFS.053</t>
  </si>
  <si>
    <t>=G01NHB05KF001-BA02;XQ01</t>
  </si>
  <si>
    <t>=G01NHB05KF001-BA03;XQ01</t>
  </si>
  <si>
    <t>=G01NHB05KF001+U012UNA01UH152-KF03</t>
  </si>
  <si>
    <t>=G01NHB05KF001-BA04;XQ01</t>
  </si>
  <si>
    <t>=G01NHB06EQ001</t>
  </si>
  <si>
    <t>=G01NHB06EQ001-BQ01;XQ01</t>
  </si>
  <si>
    <t>Module Group 6</t>
  </si>
  <si>
    <t>Grp6</t>
  </si>
  <si>
    <t>=G01NHB06KF002+U012UNA01UH161-KF02</t>
  </si>
  <si>
    <t>=G01NHB06EQ001-BQ01&amp;EFS.001</t>
  </si>
  <si>
    <t>=G01NHB06&amp;MFB.001</t>
  </si>
  <si>
    <t>=G01NHB06EQ001-BQ01;XQ02</t>
  </si>
  <si>
    <t>=G01NHB06EQ001-BQ02;XQ01</t>
  </si>
  <si>
    <t>=G01NHB06EQ001-BQ02&amp;EFS.001</t>
  </si>
  <si>
    <t>=G01NHB06EQ001-BQ02;XQ02</t>
  </si>
  <si>
    <t>=G01NHB06EQ001-BT01;XQ01</t>
  </si>
  <si>
    <t>=G01NHB06EQ001-BT01&amp;EFS.001</t>
  </si>
  <si>
    <t>=G01NHB06EQ001-BT02;XQ01</t>
  </si>
  <si>
    <t>=G01NHB06EQ001-BT02&amp;EFS.001</t>
  </si>
  <si>
    <t>=G01NHB06EQ001-BT03;XQ01</t>
  </si>
  <si>
    <t>=G01NHB06EQ001-BT03&amp;EFS.001</t>
  </si>
  <si>
    <t>=G01NHB06EQ001-QN01;XQ01</t>
  </si>
  <si>
    <t>=G01NHB06EQ001-QN01&amp;EFS.001</t>
  </si>
  <si>
    <t>=G01NHB06HT001</t>
  </si>
  <si>
    <t>=G01NHB06HT001-BT01;XQ01</t>
  </si>
  <si>
    <t>=G01NHB06HT001-BT01&amp;EFS.001</t>
  </si>
  <si>
    <t>=G01NHB06HT001-BT02;XQ01</t>
  </si>
  <si>
    <t>=G01NHB06HT001-BT02&amp;EFS.001</t>
  </si>
  <si>
    <t>=G01NHB06HT002</t>
  </si>
  <si>
    <t>=G01NHB06HT002-BT01;XQ01</t>
  </si>
  <si>
    <t>=G01NHB06HT002-BT01&amp;EFS.001</t>
  </si>
  <si>
    <t>=G01NHB06HT002-BT02;XQ01</t>
  </si>
  <si>
    <t>=G01NHB06HT002-BT02&amp;EFS.001</t>
  </si>
  <si>
    <t>=G01NHB06HT003</t>
  </si>
  <si>
    <t>=G01NHB06HT003-BT01;XQ01</t>
  </si>
  <si>
    <t>=G01NHB06HT003-BT01&amp;EFS.001</t>
  </si>
  <si>
    <t>=G01NHB06HT003-BT02;XQ01</t>
  </si>
  <si>
    <t>=G01NHB06HT003-BT02&amp;EFS.001</t>
  </si>
  <si>
    <t>=G01NHB06HT004</t>
  </si>
  <si>
    <t>=G01NHB06HT004-BT01;XQ01</t>
  </si>
  <si>
    <t>=G01NHB06HT004-BT01&amp;EFS.001</t>
  </si>
  <si>
    <t>=G01NHB06HT004-BT02;XQ01</t>
  </si>
  <si>
    <t>=G01NHB06HT004-BT02&amp;EFS.001</t>
  </si>
  <si>
    <t>=G01NHB06KF001</t>
  </si>
  <si>
    <t>=G01NHB06KF001-BA01;XQ01</t>
  </si>
  <si>
    <t>=G01NHB06KF001+U012UNA01UH162-KF02</t>
  </si>
  <si>
    <t>=G01NHB06KF001&amp;EFS.053</t>
  </si>
  <si>
    <t>=G01NHB06KF001-BA02;XQ01</t>
  </si>
  <si>
    <t>=G01NHB06KF001-BA03;XQ01</t>
  </si>
  <si>
    <t>=G01NHB06KF001+U012UNA01UH162-KF03</t>
  </si>
  <si>
    <t>=G01NHB06KF001-BA04;XQ01</t>
  </si>
  <si>
    <t>=G01NHC01BL001</t>
  </si>
  <si>
    <t>=G01NHC01BL001-BL01;XQ01</t>
  </si>
  <si>
    <t>BL</t>
  </si>
  <si>
    <t>Level Measurement System</t>
  </si>
  <si>
    <t>Level Measurement System 1</t>
  </si>
  <si>
    <t>H2 Water Level Measurement</t>
  </si>
  <si>
    <t>Lvl Meas</t>
  </si>
  <si>
    <t>LI</t>
  </si>
  <si>
    <t>0   mm</t>
  </si>
  <si>
    <t>1000   mm</t>
  </si>
  <si>
    <t>=G01NHY01KF001+U012UNA01UH100-KF06</t>
  </si>
  <si>
    <t>=G01NHC01BL001-BL01&amp;EFS.001</t>
  </si>
  <si>
    <t>=G01NHC01&amp;MFB.001</t>
  </si>
  <si>
    <t>=G01NHC01BL001-BL02;XQ01</t>
  </si>
  <si>
    <t>-BL02</t>
  </si>
  <si>
    <t>Lvl2</t>
  </si>
  <si>
    <t>No</t>
  </si>
  <si>
    <t>=G01NHY01KF001+U012UNA01UH100-KF11</t>
  </si>
  <si>
    <t>15</t>
  </si>
  <si>
    <t>=G01NHC01BL001-BL02&amp;EFS.001</t>
  </si>
  <si>
    <t>=G01NHC01BQ001-BF01;XG01</t>
  </si>
  <si>
    <t>Check back on/open // Limit value &gt;max 1</t>
  </si>
  <si>
    <t>CB ON/OPN/MAX1</t>
  </si>
  <si>
    <t>=G01NHY01KF001+U012UNA01UH100-KF02</t>
  </si>
  <si>
    <t>6DL1 131-6BH00-0EH1, ET 200SP HA, DI 16X24VDC</t>
  </si>
  <si>
    <t>B10:XG01</t>
  </si>
  <si>
    <t>=G01NHC01BQ001-BF02;XG02</t>
  </si>
  <si>
    <t>-BF02</t>
  </si>
  <si>
    <t>Flow2</t>
  </si>
  <si>
    <t>XG01:5</t>
  </si>
  <si>
    <t>5B</t>
  </si>
  <si>
    <t>=G01NHC01BQ001-BF02&amp;EFS.001</t>
  </si>
  <si>
    <t>=G01NHC01GT001</t>
  </si>
  <si>
    <t>=G01NHC01GT001-BT01;XQ01</t>
  </si>
  <si>
    <t>GT</t>
  </si>
  <si>
    <t>Gas Lead off Systems</t>
  </si>
  <si>
    <t>Gas Lead off System 1</t>
  </si>
  <si>
    <t>Temperature Gas Cooler H2 Outlet</t>
  </si>
  <si>
    <t>Lead Off</t>
  </si>
  <si>
    <t>=G01NHY01KF001+U012UNA01UH100-KF12</t>
  </si>
  <si>
    <t>=G01NHC01GT001-BT01&amp;EFS.001</t>
  </si>
  <si>
    <t>=G01NHC01&amp;MFB.002</t>
  </si>
  <si>
    <t>=G01NHC01GT001-QN01;XQ01</t>
  </si>
  <si>
    <t>Control valve - H2 Product</t>
  </si>
  <si>
    <t>=G01NHC01GT001-QN01&amp;EFS.001</t>
  </si>
  <si>
    <t>=G01NHC01GT001-QN02;XQ01</t>
  </si>
  <si>
    <t>-QN02</t>
  </si>
  <si>
    <t>Control valve - H2 Blow off</t>
  </si>
  <si>
    <t>CV2</t>
  </si>
  <si>
    <t>-QN02KF01</t>
  </si>
  <si>
    <t>=G01NHC01GT001-QN02&amp;EFS.001</t>
  </si>
  <si>
    <t>=G01NHC01HP001</t>
  </si>
  <si>
    <t>=G01NHC01HP001-BP01;XQ01</t>
  </si>
  <si>
    <t>HP</t>
  </si>
  <si>
    <t>Gas Cooling Systems</t>
  </si>
  <si>
    <t>Gas Cooling System 1</t>
  </si>
  <si>
    <t>Pressure - H2 Header</t>
  </si>
  <si>
    <t>SYS 1</t>
  </si>
  <si>
    <t>-25   mbar</t>
  </si>
  <si>
    <t>225   mbar</t>
  </si>
  <si>
    <t>AZLL</t>
  </si>
  <si>
    <t>=G01NHC01HP001-BP01&amp;EFS.001</t>
  </si>
  <si>
    <t>=G01NHC01HP001-BP02;XQ01</t>
  </si>
  <si>
    <t>PIC</t>
  </si>
  <si>
    <t>ASL</t>
  </si>
  <si>
    <t>16</t>
  </si>
  <si>
    <t>=G01NHC01HP001-BP02&amp;EFS.001</t>
  </si>
  <si>
    <t>=G01NHC01HP001-BT01;XQ01</t>
  </si>
  <si>
    <t>Temperature Gas Cooler H2 Inlet</t>
  </si>
  <si>
    <t>=G01NHC01HP001-BT01&amp;EFS.001</t>
  </si>
  <si>
    <t>=G01NHE01BL001</t>
  </si>
  <si>
    <t>=G01NHE01BL001-BL01;XQ01</t>
  </si>
  <si>
    <t>NHE</t>
  </si>
  <si>
    <t>O2 Treatment</t>
  </si>
  <si>
    <t>O2 Treatment System</t>
  </si>
  <si>
    <t>O2 Water Level Measurement</t>
  </si>
  <si>
    <t>O2 TRT</t>
  </si>
  <si>
    <t>=G01NHE01BL001-BL01&amp;EFS.001</t>
  </si>
  <si>
    <t>=G01NHE01&amp;MFB.001</t>
  </si>
  <si>
    <t>=G01NHE01BL001-BL02;XQ01</t>
  </si>
  <si>
    <t>=G01NHE01BL001-BL02&amp;EFS.001</t>
  </si>
  <si>
    <t>=G01NHC01BQ001-BF02;XG01</t>
  </si>
  <si>
    <t>=G01NHC01BQ001-BF10;XG02</t>
  </si>
  <si>
    <t>FS</t>
  </si>
  <si>
    <t>B10:XG02</t>
  </si>
  <si>
    <t>=G01NHC01BQ001-BF10&amp;EFS.001</t>
  </si>
  <si>
    <t>=G01NHE01GT001</t>
  </si>
  <si>
    <t>=G01NHE01GT001-BT01;XQ01</t>
  </si>
  <si>
    <t>Temperature Measurement - Gas Cooler O2 outlet</t>
  </si>
  <si>
    <t>=G01NHE01GT001-BT01&amp;EFS.001</t>
  </si>
  <si>
    <t>=G01NHE01&amp;MFB.002</t>
  </si>
  <si>
    <t>=G01NHE01GT001-QN01;XQ01</t>
  </si>
  <si>
    <t>Control valve - O2 Blow off</t>
  </si>
  <si>
    <t>=G01NHE01GT001-QN01&amp;EFS.001</t>
  </si>
  <si>
    <t>=G01NHE01HP001</t>
  </si>
  <si>
    <t>=G01NHE01HP001-BP01;XQ01</t>
  </si>
  <si>
    <t>Pressure - O2 Header</t>
  </si>
  <si>
    <t>=G01NHY01KF001+U012UNA01UH100-KF07</t>
  </si>
  <si>
    <t>=G01NHE01HP001-BP01&amp;EFS.001</t>
  </si>
  <si>
    <t>=G01NHE01HP001-BP02;XQ01</t>
  </si>
  <si>
    <t>=G01NHE01HP001-BP02&amp;EFS.001</t>
  </si>
  <si>
    <t>=G01NHE01HP001-BT01;XQ01</t>
  </si>
  <si>
    <t>Temperature Gas Cooler O2 Inlet</t>
  </si>
  <si>
    <t>=G01NHE01HP001-BT01&amp;EFS.001</t>
  </si>
  <si>
    <t>=G01NHG01QM001</t>
  </si>
  <si>
    <t>=G01NHG01QM001-QN01;XQ01</t>
  </si>
  <si>
    <t>NHG</t>
  </si>
  <si>
    <t>Water Supply Systems</t>
  </si>
  <si>
    <t>Process Water Supply System</t>
  </si>
  <si>
    <t>Process Water Distribution Systems</t>
  </si>
  <si>
    <t>Process Water Distribution System</t>
  </si>
  <si>
    <t>Control valve - Demin Water Supply</t>
  </si>
  <si>
    <t>Proc Wtr Sup</t>
  </si>
  <si>
    <t>=G01NHG01QM001-QN01&amp;EFS.001</t>
  </si>
  <si>
    <t>=G01NHH01HP001</t>
  </si>
  <si>
    <t>=G01NHH01HP001-BF01;XQ01</t>
  </si>
  <si>
    <t>NHH</t>
  </si>
  <si>
    <t>Process Water Refinement</t>
  </si>
  <si>
    <t>Process Water Refinement Loop</t>
  </si>
  <si>
    <t>Process Water Refinement Unit</t>
  </si>
  <si>
    <t>Process Water Refinement Unit 1</t>
  </si>
  <si>
    <t>Flowmeter - Pump Output</t>
  </si>
  <si>
    <t>Proc Wtr Ref</t>
  </si>
  <si>
    <t>FIC</t>
  </si>
  <si>
    <t>5   m³/h</t>
  </si>
  <si>
    <t>30   m³/h</t>
  </si>
  <si>
    <t>=G01NHH01HP001-BF01&amp;EFS.001</t>
  </si>
  <si>
    <t>=G01NHH01&amp;MFB.001</t>
  </si>
  <si>
    <t>=G01NHH01HP001-BF20;XQ01</t>
  </si>
  <si>
    <t>-BF20</t>
  </si>
  <si>
    <t>Flowmeter - Output H2 side</t>
  </si>
  <si>
    <t>5   m³/s</t>
  </si>
  <si>
    <t>30   m³/s</t>
  </si>
  <si>
    <t>=G01NHH01HP001-BF20&amp;EFS.001</t>
  </si>
  <si>
    <t>=G01NHH01HP001-BF30;XQ01</t>
  </si>
  <si>
    <t>-BF30</t>
  </si>
  <si>
    <t>Flowmeter - Output O2 side</t>
  </si>
  <si>
    <t>Flow3</t>
  </si>
  <si>
    <t>=G01NHH01HP001-BF30&amp;EFS.001</t>
  </si>
  <si>
    <t>=G01NHH01HP001-BP02;XQ01</t>
  </si>
  <si>
    <t>Pressure Transmitter - Pump Outlet</t>
  </si>
  <si>
    <t>6   bar</t>
  </si>
  <si>
    <t>=G01NHH01HP001-BP02&amp;EFS.001</t>
  </si>
  <si>
    <t>=G01NHH01HP001-BQ01;XQ02</t>
  </si>
  <si>
    <t>Conductivity - Water Refinement Inlet</t>
  </si>
  <si>
    <t>XD44:3M</t>
  </si>
  <si>
    <t>2e</t>
  </si>
  <si>
    <t>=G01NHH01HP001-BQ01&amp;EFS.001</t>
  </si>
  <si>
    <t>=G01NHH01HP001-BQ01;XQ01</t>
  </si>
  <si>
    <t>AHH</t>
  </si>
  <si>
    <t>1b</t>
  </si>
  <si>
    <t>=G01NHH01HP001-BQ02;XQ02</t>
  </si>
  <si>
    <t>Conductivity - Water Refinement Outlet</t>
  </si>
  <si>
    <t>3f</t>
  </si>
  <si>
    <t>=G01NHH01HP001-BQ02&amp;EFS.001</t>
  </si>
  <si>
    <t>=G01NHH01HP001-BQ02;XQ01</t>
  </si>
  <si>
    <t>3g</t>
  </si>
  <si>
    <t>=G01NHH01HP001-BQ03;XQ02</t>
  </si>
  <si>
    <t>-BQ03</t>
  </si>
  <si>
    <t>Qual3</t>
  </si>
  <si>
    <t>=G01NHH01HP001-BQ03&amp;EFS.001</t>
  </si>
  <si>
    <t>=G01NHH01HP001-BQ03;XQ01</t>
  </si>
  <si>
    <t>4h</t>
  </si>
  <si>
    <t>=G01NHH01HP001-QN01;XQ01</t>
  </si>
  <si>
    <t>3-way control valve - Water Refinement Skid</t>
  </si>
  <si>
    <t>=G01NHH01HP001-QN01&amp;EFS.001</t>
  </si>
  <si>
    <t>=G01NHP01WP001</t>
  </si>
  <si>
    <t>=G01NHP01WP001-BT01;XQ01</t>
  </si>
  <si>
    <t>NHP</t>
  </si>
  <si>
    <t>Heat Dissipation Systems</t>
  </si>
  <si>
    <t>Heat dissipation (Electrolyser System)</t>
  </si>
  <si>
    <t>Distribution Cooling Water (Electrolyser System)</t>
  </si>
  <si>
    <t>Plant Cooling Water Pipe System</t>
  </si>
  <si>
    <t>Heat Diss</t>
  </si>
  <si>
    <t>=G01NHP01WP001-BT01&amp;EFS.001</t>
  </si>
  <si>
    <t>=G01NHP01WP001-BT02;XQ01</t>
  </si>
  <si>
    <t>=G01NHP01WP001-BT02&amp;EFS.001</t>
  </si>
  <si>
    <t>=G01NHP01WP001-QN01;XQ01</t>
  </si>
  <si>
    <t>=G01NHP01WP001-QN01&amp;EFS.001</t>
  </si>
  <si>
    <t>=G01NHP01WP001-QN02;XQ01</t>
  </si>
  <si>
    <t>=G01NHP01WP001-QN02&amp;EFS.001</t>
  </si>
  <si>
    <t>=G01NHX01QN001</t>
  </si>
  <si>
    <t>=G01NHX01QN001-BF01;XQ01</t>
  </si>
  <si>
    <t>NHX</t>
  </si>
  <si>
    <t>Auxiliary Systems</t>
  </si>
  <si>
    <t>Nitrogen Distribution</t>
  </si>
  <si>
    <t>QN</t>
  </si>
  <si>
    <t>Nitrogen Regulation Systems</t>
  </si>
  <si>
    <t>Nitrogen Regulation H2</t>
  </si>
  <si>
    <t>N2 Dist</t>
  </si>
  <si>
    <t>CTRL H2</t>
  </si>
  <si>
    <t>=G01NHX01QN001-BF01&amp;EFS.001</t>
  </si>
  <si>
    <t>=G01NHX01&amp;MFB.001</t>
  </si>
  <si>
    <t>=G01NHX01QN001-BP01;XQ01</t>
  </si>
  <si>
    <t>Pressure - Nitrogen H2 side</t>
  </si>
  <si>
    <t>PIZ</t>
  </si>
  <si>
    <t>2,5   bar</t>
  </si>
  <si>
    <t>XG07:6</t>
  </si>
  <si>
    <t>6d</t>
  </si>
  <si>
    <t>=G01NHX01QN001-BP01&amp;EFS.001</t>
  </si>
  <si>
    <t>=G01NHX01QN001-BT01;XQ01</t>
  </si>
  <si>
    <t>Temperature - Nitrogen Inlet</t>
  </si>
  <si>
    <t>=G01NHX01QN001-BT01&amp;EFS.001</t>
  </si>
  <si>
    <t>=G01NHX01QN001-QN01;XQ01</t>
  </si>
  <si>
    <t>Control valve - Nitrogen H2 side</t>
  </si>
  <si>
    <t>=G01NHX01QN001-QN01&amp;EFS.001</t>
  </si>
  <si>
    <t>=G01NHX01QN002</t>
  </si>
  <si>
    <t>=G01NHX01QN002-BF01;XQ01</t>
  </si>
  <si>
    <t>Nitrogen Regulation O2</t>
  </si>
  <si>
    <t>CTRL O2</t>
  </si>
  <si>
    <t>=G01NHX01QN002-BF01&amp;EFS.001</t>
  </si>
  <si>
    <t>=G01NHX01QN002-BP01;XQ01</t>
  </si>
  <si>
    <t>Pressure - Nitrogen O2 side</t>
  </si>
  <si>
    <t>XG07:8</t>
  </si>
  <si>
    <t>8d</t>
  </si>
  <si>
    <t>=G01NHX01QN002-BP01&amp;EFS.001</t>
  </si>
  <si>
    <t>=G01NHX01QN002-QN01;XQ01</t>
  </si>
  <si>
    <t>Control valve - Nitrogen O2 side</t>
  </si>
  <si>
    <t>=G01NHX01QN002-QN01&amp;EFS.001</t>
  </si>
  <si>
    <t>=V01NHC10WP002</t>
  </si>
  <si>
    <t>=V01NHC10WP002-BP01;XQ01</t>
  </si>
  <si>
    <t>=V</t>
  </si>
  <si>
    <t>Gas Treatment System</t>
  </si>
  <si>
    <t>Gas Treatment System 1</t>
  </si>
  <si>
    <t>Gas Lead off</t>
  </si>
  <si>
    <t>Product Gas Line</t>
  </si>
  <si>
    <t>Gas TRT</t>
  </si>
  <si>
    <t>H2 Lead Off</t>
  </si>
  <si>
    <t>=V01NHC20&amp;MFB.001</t>
  </si>
  <si>
    <t>=V01NHC20CM001</t>
  </si>
  <si>
    <t>=V01NHC20CM001-BL01;XQ01</t>
  </si>
  <si>
    <t>20</t>
  </si>
  <si>
    <t>H2 Buffer Tank</t>
  </si>
  <si>
    <t>Buffer Tank Systems</t>
  </si>
  <si>
    <t>Buffer Tank System</t>
  </si>
  <si>
    <t>10751; Radioactive level meter, comp. syst.</t>
  </si>
  <si>
    <t>H2 LP Buf</t>
  </si>
  <si>
    <t>LIZ</t>
  </si>
  <si>
    <t>AZHH</t>
  </si>
  <si>
    <t>=V01NHC20CM001-BL02;XQ01</t>
  </si>
  <si>
    <t>=V01NHC20CM001-BP01;XQ01</t>
  </si>
  <si>
    <t>=V01NHC20CM001-BT01;XQ01</t>
  </si>
  <si>
    <t>11332; RTD thermometer without conduit</t>
  </si>
  <si>
    <t>=V01NHC30WP001</t>
  </si>
  <si>
    <t>=V01NHC30WP001-BP01;XQ01</t>
  </si>
  <si>
    <t>30</t>
  </si>
  <si>
    <t>H2 Compressor System 30bar</t>
  </si>
  <si>
    <t>Compressor Pipe Systems</t>
  </si>
  <si>
    <t>Compressor Pipe System Inlet Line</t>
  </si>
  <si>
    <t>General Position</t>
  </si>
  <si>
    <t>H2 Compr</t>
  </si>
  <si>
    <t>=V01NHC30&amp;MFB.001</t>
  </si>
  <si>
    <t>=V01NHC31WP001</t>
  </si>
  <si>
    <t>=V01NHC31WP001-BP01;XQ01</t>
  </si>
  <si>
    <t>31</t>
  </si>
  <si>
    <t>H2 Compressor System 100bar</t>
  </si>
  <si>
    <t>=V01NHC31&amp;MFB.001</t>
  </si>
  <si>
    <t>=V01NHC60BZ001</t>
  </si>
  <si>
    <t>=V01NHC60BZ001-BF01;XQ01</t>
  </si>
  <si>
    <t>60</t>
  </si>
  <si>
    <t>Product Gas Analytic System</t>
  </si>
  <si>
    <t>Measurement Systems</t>
  </si>
  <si>
    <t>Measurement System 1</t>
  </si>
  <si>
    <t>H2 Handovr</t>
  </si>
  <si>
    <t>=V01NHC60&amp;MFB.001</t>
  </si>
  <si>
    <t>=V01NHC60BZ001-BP01;XQ01</t>
  </si>
  <si>
    <t>=V01NHC60BZ001-BT01;XQ01</t>
  </si>
  <si>
    <t>=V01NHC61BZ001</t>
  </si>
  <si>
    <t>=V01NHC61BZ001-BF01;XQ01</t>
  </si>
  <si>
    <t>61</t>
  </si>
  <si>
    <t>Product Gas Analytik System</t>
  </si>
  <si>
    <t>=V01NHC61&amp;MFB.001</t>
  </si>
  <si>
    <t>=V01NHC61BZ001-BP01;XQ01</t>
  </si>
  <si>
    <t>=V01NHC61BZ001-BT01;XQ01</t>
  </si>
  <si>
    <t>PAD01EZ001-EQ01GQ01;YQ01</t>
  </si>
  <si>
    <t>YQ01</t>
  </si>
  <si>
    <t>AO</t>
  </si>
  <si>
    <t>PAD01EZ001-EQ01GQxx;YQ01</t>
  </si>
  <si>
    <t>PAD01EZ001-EQ02GQ01;YQ01</t>
  </si>
  <si>
    <t>PAD01EZ001-EQ02GQxx;YQ01</t>
  </si>
  <si>
    <t>PAD01EZ001-EQ03GQ01;YQ01</t>
  </si>
  <si>
    <t>PAD01EZ001-EQ03GQxx;YQ01</t>
  </si>
  <si>
    <t>=A01PAD01WP001-QN01;YQ01</t>
  </si>
  <si>
    <t>YC</t>
  </si>
  <si>
    <t>B10:YQ01</t>
  </si>
  <si>
    <t>=G01NHB01EQ001-QN01;YQ01</t>
  </si>
  <si>
    <t>=G01NHB01KF002+U012UNA01UH111-KF01</t>
  </si>
  <si>
    <t>6DL1 135-6TF00-0EH1, ET 200SP HA, AQ 8XI HART</t>
  </si>
  <si>
    <t>=G01NHB02EQ001-QN01;YQ01</t>
  </si>
  <si>
    <t>=G01NHB02KF002+U012UNA01UH121-KF01</t>
  </si>
  <si>
    <t>=G01NHB03EQ001-QN01;YQ01</t>
  </si>
  <si>
    <t>=G01NHB03KF002+U012UNA01UH131-KF01</t>
  </si>
  <si>
    <t>=G01NHB04EQ001-QN01;YQ01</t>
  </si>
  <si>
    <t>=G01NHB04KF002+U012UNA01UH141-KF01</t>
  </si>
  <si>
    <t>=G01NHB05EQ001-QN01;YQ01</t>
  </si>
  <si>
    <t>=G01NHB05KF002+U012UNA01UH151-KF01</t>
  </si>
  <si>
    <t>=G01NHB06EQ001-QN01;YQ01</t>
  </si>
  <si>
    <t>=G01NHB06KF002+U012UNA01UH161-KF01</t>
  </si>
  <si>
    <t>=G01NHC01GT001-QN01;YQ01</t>
  </si>
  <si>
    <t>=G01NHY01KF001+U012UNA01UH100-KF14</t>
  </si>
  <si>
    <t>=G01NHC01GT001-QN02;YQ01</t>
  </si>
  <si>
    <t>=G01NHE01GT001-QN01;YQ01</t>
  </si>
  <si>
    <t>=G01NHG01QM001-QN01;YQ01</t>
  </si>
  <si>
    <t>=G01NHH01HP001-QN01;YQ01</t>
  </si>
  <si>
    <t>=G01NHP01WP001-QN01;YQ01</t>
  </si>
  <si>
    <t>=G01NHP01WP001-QN02;YQ01</t>
  </si>
  <si>
    <t>=G01NHX01QN001-QN01;YQ01</t>
  </si>
  <si>
    <t>=G01NHX01QN002-QN01;YQ01</t>
  </si>
  <si>
    <t>=G01NHY01KF001+U012UNA01UH100-KF15</t>
  </si>
  <si>
    <t>=A01PAD01WP001-QN01;XU01</t>
  </si>
  <si>
    <t>GRP FLT</t>
  </si>
  <si>
    <t>Normally closed</t>
  </si>
  <si>
    <t>B10:XU01</t>
  </si>
  <si>
    <t>=A01QJB01WP003-QM11;XB01</t>
  </si>
  <si>
    <t>-QM11</t>
  </si>
  <si>
    <t>Ball valve (general)</t>
  </si>
  <si>
    <t>Check back on/open</t>
  </si>
  <si>
    <t>SV11</t>
  </si>
  <si>
    <t>CB ON/OPN</t>
  </si>
  <si>
    <t>24 VAC</t>
  </si>
  <si>
    <t>=V01NHC10&amp;MFB.001</t>
  </si>
  <si>
    <t>=A01QJB01WP003-QM11;XB02</t>
  </si>
  <si>
    <t>Check back off/closed</t>
  </si>
  <si>
    <t>CB OFF/CLD</t>
  </si>
  <si>
    <t>=A01QJB01WP003-QM60;XB01</t>
  </si>
  <si>
    <t>-QM60</t>
  </si>
  <si>
    <t>SV60</t>
  </si>
  <si>
    <t>-QM60BG01</t>
  </si>
  <si>
    <t>=A01QJB01WP003-QM60;XB02</t>
  </si>
  <si>
    <t>=G01NHA01BZ001-BC01;XU01</t>
  </si>
  <si>
    <t>-XG01</t>
  </si>
  <si>
    <t>=G01NHA01KF001+U012UBB01UC001-KF01</t>
  </si>
  <si>
    <t>=G01NHA01BZ001-BC01&amp;EFS.010</t>
  </si>
  <si>
    <t>=G01NHA01BZ001-FC01;XU01</t>
  </si>
  <si>
    <t>-FC01</t>
  </si>
  <si>
    <t>24VDC Distribution</t>
  </si>
  <si>
    <t>24V MON1</t>
  </si>
  <si>
    <t>Pulsed</t>
  </si>
  <si>
    <t>EA</t>
  </si>
  <si>
    <t>=G01NHA01BZ001-FC01&amp;EFS.003</t>
  </si>
  <si>
    <t>=G01NHA01BZ001-TF01;XW02</t>
  </si>
  <si>
    <t>Alarm system - Alarm</t>
  </si>
  <si>
    <t>WARN CODE</t>
  </si>
  <si>
    <t>B10:XW02</t>
  </si>
  <si>
    <t>=G01NHA01BZ001-TF01&amp;EFS.006</t>
  </si>
  <si>
    <t>=G01NHA01BZ001-TF01;XW01</t>
  </si>
  <si>
    <t>Alarm system - Warning</t>
  </si>
  <si>
    <t>AL/FLT CODE</t>
  </si>
  <si>
    <t>B10:XW01</t>
  </si>
  <si>
    <t>=G01NHA01BZ002-BC01;XU01</t>
  </si>
  <si>
    <t>=G01NHA01BZ002-BC01&amp;EFS.010</t>
  </si>
  <si>
    <t>=G01NHA01BZ002-FC01;XU01</t>
  </si>
  <si>
    <t>=G01NHA01BZ002-FC01&amp;EFS.003</t>
  </si>
  <si>
    <t>=G01NHA01BZ002-TF01;XW02</t>
  </si>
  <si>
    <t>=G01NHA01BZ002-TF01&amp;EFS.006</t>
  </si>
  <si>
    <t>=G01NHA01BZ002-TF01;XW01</t>
  </si>
  <si>
    <t>=G01NHA01BZ003-BC01;XU01</t>
  </si>
  <si>
    <t>=G01NHA01KF002+U012UBB01UC002-KF01</t>
  </si>
  <si>
    <t>=G01NHA01BZ003-BC01&amp;EFS.010</t>
  </si>
  <si>
    <t>=G01NHA01BZ003-FC01;XU01</t>
  </si>
  <si>
    <t>=G01NHA01BZ003-FC01&amp;EFS.003</t>
  </si>
  <si>
    <t>=G01NHA01BZ003-TF01;XW02</t>
  </si>
  <si>
    <t>=G01NHA01BZ003-TF01&amp;EFS.006</t>
  </si>
  <si>
    <t>=G01NHA01BZ003-TF01;XW01</t>
  </si>
  <si>
    <t>=G01NHA01BZ004-BC01;XU01</t>
  </si>
  <si>
    <t>=G01NHA01BZ004-BC01&amp;EFS.010</t>
  </si>
  <si>
    <t>=G01NHA01BZ004-FC01;XU01</t>
  </si>
  <si>
    <t>=G01NHA01BZ004-FC01&amp;EFS.003</t>
  </si>
  <si>
    <t>=G01NHA01BZ004-TF01;XW02</t>
  </si>
  <si>
    <t>=G01NHA01BZ004-TF01&amp;EFS.006</t>
  </si>
  <si>
    <t>=G01NHA01BZ004-TF01;XW01</t>
  </si>
  <si>
    <t>=G01NHA01EQ001-GP01;XB13</t>
  </si>
  <si>
    <t>-GP01</t>
  </si>
  <si>
    <t>Pump, general</t>
  </si>
  <si>
    <t>Check CMD</t>
  </si>
  <si>
    <t>B10:XB13</t>
  </si>
  <si>
    <t>=G01NHA01EQ001-GP01&amp;EFS.001</t>
  </si>
  <si>
    <t>=G01NHA01EQ001-GP02;XB13</t>
  </si>
  <si>
    <t>-GP02</t>
  </si>
  <si>
    <t>PMP2</t>
  </si>
  <si>
    <t>=G01NHA01EQ001-GP02&amp;EFS.002</t>
  </si>
  <si>
    <t>=G01NHA01FA001</t>
  </si>
  <si>
    <t>=G01NHA01FA001-QA01;XM01</t>
  </si>
  <si>
    <t>FA</t>
  </si>
  <si>
    <t>Overvoltage Protection</t>
  </si>
  <si>
    <t>Overvoltage Protection 1</t>
  </si>
  <si>
    <t>-QA01</t>
  </si>
  <si>
    <t>CIRCUIT-BREAKER SZ S00, FOR MOTOR PROTECTION</t>
  </si>
  <si>
    <t>Individual alarms</t>
  </si>
  <si>
    <t>OverV Prot1</t>
  </si>
  <si>
    <t>Sw1</t>
  </si>
  <si>
    <t>AL1</t>
  </si>
  <si>
    <t>GAS</t>
  </si>
  <si>
    <t>B10:XM01</t>
  </si>
  <si>
    <t>=G01NHA01FA001-QA01&amp;EFS.002</t>
  </si>
  <si>
    <t>=G01NHA01FA002</t>
  </si>
  <si>
    <t>=G01NHA01FA002-QA01;XM01</t>
  </si>
  <si>
    <t>Overvoltage Protection 2</t>
  </si>
  <si>
    <t>OverV Prot2</t>
  </si>
  <si>
    <t>=G01NHA01FA002-QA01&amp;EFS.002</t>
  </si>
  <si>
    <t>=G01NHA01FA003</t>
  </si>
  <si>
    <t>=G01NHA01FA003-QA01;XM01</t>
  </si>
  <si>
    <t>Overvoltage Protection 3</t>
  </si>
  <si>
    <t>OverV Prot3</t>
  </si>
  <si>
    <t>=G01NHA01FA003-QA01&amp;EFS.002</t>
  </si>
  <si>
    <t>=G01NHA01FA004</t>
  </si>
  <si>
    <t>=G01NHA01FA004-QA01;XM01</t>
  </si>
  <si>
    <t>Overvoltage Protection 4</t>
  </si>
  <si>
    <t>OverV Prot4</t>
  </si>
  <si>
    <t>=G01NHA01FA004-QA01&amp;EFS.002</t>
  </si>
  <si>
    <t>=G01NHA01KF001</t>
  </si>
  <si>
    <t>=G01NHA01KF001-BA11;XB01</t>
  </si>
  <si>
    <t>I&amp;C Cabinet  1 - Rectifier System 1</t>
  </si>
  <si>
    <t>-BA11</t>
  </si>
  <si>
    <t>400VAC Monitoring</t>
  </si>
  <si>
    <t>400VAC MON</t>
  </si>
  <si>
    <t>B10:XB01</t>
  </si>
  <si>
    <t>=G01NHA01KF001-BA11&amp;EFS.001</t>
  </si>
  <si>
    <t>=G01NHA01KF001-BA21;XB01</t>
  </si>
  <si>
    <t>-BA21</t>
  </si>
  <si>
    <t>230VAC Monitoring</t>
  </si>
  <si>
    <t>230VAC MON</t>
  </si>
  <si>
    <t>=G01NHA01KF001-BA21&amp;EFS.001</t>
  </si>
  <si>
    <t>=G01NHA01KF001-BA41;XB01</t>
  </si>
  <si>
    <t>-BA41</t>
  </si>
  <si>
    <t>230VAC UPS Monitoring</t>
  </si>
  <si>
    <t>UPS MON</t>
  </si>
  <si>
    <t>=G01NHA01KF001-BA41&amp;EFS.001</t>
  </si>
  <si>
    <t>=G01NHA01KF001-FC01;XB01</t>
  </si>
  <si>
    <t>=G01NHA01KF001-FC01&amp;EFS.001</t>
  </si>
  <si>
    <t>=G01NHA01KF001-FC02;XB01</t>
  </si>
  <si>
    <t>-FC02</t>
  </si>
  <si>
    <t>24V MON2</t>
  </si>
  <si>
    <t>=G01NHA01KF001+U012UBB01UC001-KF02</t>
  </si>
  <si>
    <t>=G01NHA01KF001-FC02&amp;EFS.001</t>
  </si>
  <si>
    <t>=G01NHA01KF001-FC03;XB01</t>
  </si>
  <si>
    <t>-FC03</t>
  </si>
  <si>
    <t>24V MON3</t>
  </si>
  <si>
    <t>=G01NHA01KF001-FC03&amp;EFS.001</t>
  </si>
  <si>
    <t>=G01NHA01KF001-FC11;XB01</t>
  </si>
  <si>
    <t>-FC11</t>
  </si>
  <si>
    <t>400VAC Input</t>
  </si>
  <si>
    <t>400VAC In</t>
  </si>
  <si>
    <t>SF011</t>
  </si>
  <si>
    <t>=G01NHA01KF001-FC11&amp;EFS.001</t>
  </si>
  <si>
    <t>=G01NHA01KF001-FC21;XB01</t>
  </si>
  <si>
    <t>-FC21</t>
  </si>
  <si>
    <t>230VAC Distribution</t>
  </si>
  <si>
    <t>230VAC1</t>
  </si>
  <si>
    <t>=G01NHA01KF001-FC21&amp;EFS.001</t>
  </si>
  <si>
    <t>=G01NHA01KF001-FC22;XB01</t>
  </si>
  <si>
    <t>-FC22</t>
  </si>
  <si>
    <t>230VAC2</t>
  </si>
  <si>
    <t>=G01NHA01KF001-FC22&amp;EFS.001</t>
  </si>
  <si>
    <t>=G01NHA01KF001-FC23;XB01</t>
  </si>
  <si>
    <t>-FC23</t>
  </si>
  <si>
    <t>230VAC3</t>
  </si>
  <si>
    <t>=G01NHA01KF001-FC23&amp;EFS.001</t>
  </si>
  <si>
    <t>=G01NHA01KF001-FC24;XB01</t>
  </si>
  <si>
    <t>-FC24</t>
  </si>
  <si>
    <t>230VAC4</t>
  </si>
  <si>
    <t>=G01NHA01KF001-FC24&amp;EFS.001</t>
  </si>
  <si>
    <t>=G01NHA01KF001-FC25;XB01</t>
  </si>
  <si>
    <t>-FC25</t>
  </si>
  <si>
    <t>230VAC5</t>
  </si>
  <si>
    <t>=G01NHA01KF001-FC25&amp;EFS.001</t>
  </si>
  <si>
    <t>=G01NHA01KF001-FC26;XB01</t>
  </si>
  <si>
    <t>-FC26</t>
  </si>
  <si>
    <t>230VAC6</t>
  </si>
  <si>
    <t>=G01NHA01KF001-FC26&amp;EFS.001</t>
  </si>
  <si>
    <t>=G01NHA01KF001-FC27;XB01</t>
  </si>
  <si>
    <t>-FC27</t>
  </si>
  <si>
    <t>230VAC7</t>
  </si>
  <si>
    <t>=G01NHA01KF001-FC27&amp;EFS.001</t>
  </si>
  <si>
    <t>=G01NHA01KF001-FC28;XB01</t>
  </si>
  <si>
    <t>-FC28</t>
  </si>
  <si>
    <t>230VAC8</t>
  </si>
  <si>
    <t>=G01NHA01KF001-FC28&amp;EFS.001</t>
  </si>
  <si>
    <t>=G01NHA01KF001-FC29;XB01</t>
  </si>
  <si>
    <t>-FC29</t>
  </si>
  <si>
    <t>230VAC9</t>
  </si>
  <si>
    <t>=G01NHA01KF001-FC29&amp;EFS.001</t>
  </si>
  <si>
    <t>=G01NHA01KF001-FC30;XB01</t>
  </si>
  <si>
    <t>-FC30</t>
  </si>
  <si>
    <t>230VAC10</t>
  </si>
  <si>
    <t>=G01NHA01KF001-FC30&amp;EFS.001</t>
  </si>
  <si>
    <t>=G01NHA01KF001-FC31;XB01</t>
  </si>
  <si>
    <t>-FC31</t>
  </si>
  <si>
    <t>230VAC11</t>
  </si>
  <si>
    <t>=G01NHA01KF001-FC31&amp;EFS.001</t>
  </si>
  <si>
    <t>=G01NHA01KF001-FC41;XB01</t>
  </si>
  <si>
    <t>-FC41</t>
  </si>
  <si>
    <t>230VAC UPS Distribution</t>
  </si>
  <si>
    <t>230VAC UPS1</t>
  </si>
  <si>
    <t>=G01NHA01KF001-FC41&amp;EFS.001</t>
  </si>
  <si>
    <t>=G01NHA01KF001-FC42;XB01</t>
  </si>
  <si>
    <t>-FC42</t>
  </si>
  <si>
    <t>230VAC UPS2</t>
  </si>
  <si>
    <t>=G01NHA01KF001-FC42&amp;EFS.001</t>
  </si>
  <si>
    <t>=G01NHA01KF001-FC43;XB01</t>
  </si>
  <si>
    <t>-FC43</t>
  </si>
  <si>
    <t>230VAC UPS3</t>
  </si>
  <si>
    <t>=G01NHA01KF001+U012UBB01UC001-KF03</t>
  </si>
  <si>
    <t>=G01NHA01KF001-FC43&amp;EFS.001</t>
  </si>
  <si>
    <t>=G01NHA01KF001-QA11;XB01</t>
  </si>
  <si>
    <t>-QA11</t>
  </si>
  <si>
    <t>400VAC Distribution</t>
  </si>
  <si>
    <t>Sw 400VAC1</t>
  </si>
  <si>
    <t>2</t>
  </si>
  <si>
    <t>=G01NHA01KF001-QA11&amp;EFS.001</t>
  </si>
  <si>
    <t>=G01NHA01KF001-QA12;XB01</t>
  </si>
  <si>
    <t>-QA12</t>
  </si>
  <si>
    <t>Sw 400VAC2</t>
  </si>
  <si>
    <t>=G01NHA01KF001-QA12&amp;EFS.001</t>
  </si>
  <si>
    <t>=G01NHA01KF001-QA13;XB01</t>
  </si>
  <si>
    <t>-QA13</t>
  </si>
  <si>
    <t>Sw 400VAC3</t>
  </si>
  <si>
    <t>=G01NHA01KF001-QA13&amp;EFS.001</t>
  </si>
  <si>
    <t>=G01NHA01KF001-QA14;XB01</t>
  </si>
  <si>
    <t>-QA14</t>
  </si>
  <si>
    <t>Sw 400VAC4</t>
  </si>
  <si>
    <t>=G01NHA01KF001-QA14&amp;EFS.001</t>
  </si>
  <si>
    <t>=G01NHA01KF001-QA15;XB01</t>
  </si>
  <si>
    <t>-QA15</t>
  </si>
  <si>
    <t>Sw 400VAC5</t>
  </si>
  <si>
    <t>=G01NHA01KF001-QA15&amp;EFS.001</t>
  </si>
  <si>
    <t>=G01NHA01KF001-QA16;XB01</t>
  </si>
  <si>
    <t>-QA16</t>
  </si>
  <si>
    <t>Sw 400VAC6</t>
  </si>
  <si>
    <t>=G01NHA01KF001-QA16&amp;EFS.001</t>
  </si>
  <si>
    <t>=G01NHA01KF001-QA17;XB01</t>
  </si>
  <si>
    <t>-QA17</t>
  </si>
  <si>
    <t>Sw 400VAC7</t>
  </si>
  <si>
    <t>=G01NHA01KF001-QA17&amp;EFS.001</t>
  </si>
  <si>
    <t>=G01NHA01KF001-QA18;XB01</t>
  </si>
  <si>
    <t>-QA18</t>
  </si>
  <si>
    <t>Sw 400VAC8</t>
  </si>
  <si>
    <t>=G01NHA01KF001-QA18&amp;EFS.001</t>
  </si>
  <si>
    <t>=G01NHA01KF001-SF01;XW02</t>
  </si>
  <si>
    <t>-SF01</t>
  </si>
  <si>
    <t>Emergency Stop - Pushbutton - I&amp;C Cabinet 1 Rectifier System</t>
  </si>
  <si>
    <t>Component protection</t>
  </si>
  <si>
    <t>Sw OFF</t>
  </si>
  <si>
    <t>GZ</t>
  </si>
  <si>
    <t>=G01NHA01KF001-SF01&amp;EFS.001</t>
  </si>
  <si>
    <t>=G01NHA01KF001-SF01;XW01</t>
  </si>
  <si>
    <t>=G01NHA01KF001-TB01;XB01</t>
  </si>
  <si>
    <t>-TB01</t>
  </si>
  <si>
    <t>SITOP PSU6200 24 V/20 A</t>
  </si>
  <si>
    <t>24VDC MON1</t>
  </si>
  <si>
    <t>=G01NHA01KF001-TB01&amp;EFS.001</t>
  </si>
  <si>
    <t>=G01NHA01KF001-TB02;XB01</t>
  </si>
  <si>
    <t>-TB02</t>
  </si>
  <si>
    <t>24VDC MON2</t>
  </si>
  <si>
    <t>=G01NHA01KF001-TB02&amp;EFS.001</t>
  </si>
  <si>
    <t>=G01NHA01KF002</t>
  </si>
  <si>
    <t>=G01NHA01KF002-BA11;XB01</t>
  </si>
  <si>
    <t>I&amp;C Cabinet  2 - Rectifier System 1</t>
  </si>
  <si>
    <t>CTRL U2</t>
  </si>
  <si>
    <t>=G01NHA01KF002-BA11&amp;EFS.001</t>
  </si>
  <si>
    <t>=G01NHA01KF002-BA21;XB01</t>
  </si>
  <si>
    <t>=G01NHA01KF002-BA21&amp;EFS.001</t>
  </si>
  <si>
    <t>=G01NHA01KF002-BA41;XB01</t>
  </si>
  <si>
    <t>=G01NHA01KF002-BA41&amp;EFS.001</t>
  </si>
  <si>
    <t>=G01NHA01KF002-FC01;XB01</t>
  </si>
  <si>
    <t>=G01NHA01KF002-FC01&amp;EFS.001</t>
  </si>
  <si>
    <t>=G01NHA01KF002-FC02;XB01</t>
  </si>
  <si>
    <t>=G01NHA01KF002-FC02&amp;EFS.001</t>
  </si>
  <si>
    <t>=G01NHA01KF002-FC03;XB01</t>
  </si>
  <si>
    <t>=G01NHA01KF002-FC03&amp;EFS.001</t>
  </si>
  <si>
    <t>=G01NHA01KF002-FC11;XB01</t>
  </si>
  <si>
    <t>=G01NHA01KF002+U012UBB01UC002-KF02</t>
  </si>
  <si>
    <t>=G01NHA01KF002-FC11&amp;EFS.001</t>
  </si>
  <si>
    <t>=G01NHA01KF002-FC21;XB01</t>
  </si>
  <si>
    <t>=G01NHA01KF002-FC21&amp;EFS.001</t>
  </si>
  <si>
    <t>=G01NHA01KF002-FC22;XB01</t>
  </si>
  <si>
    <t>=G01NHA01KF002-FC22&amp;EFS.001</t>
  </si>
  <si>
    <t>=G01NHA01KF002-FC23;XB01</t>
  </si>
  <si>
    <t>=G01NHA01KF002-FC23&amp;EFS.001</t>
  </si>
  <si>
    <t>=G01NHA01KF002-FC24;XB01</t>
  </si>
  <si>
    <t>=G01NHA01KF002-FC24&amp;EFS.001</t>
  </si>
  <si>
    <t>=G01NHA01KF002-FC25;XB01</t>
  </si>
  <si>
    <t>=G01NHA01KF002-FC25&amp;EFS.001</t>
  </si>
  <si>
    <t>=G01NHA01KF002-FC26;XB01</t>
  </si>
  <si>
    <t>=G01NHA01KF002-FC26&amp;EFS.001</t>
  </si>
  <si>
    <t>=G01NHA01KF002-FC27;XB01</t>
  </si>
  <si>
    <t>=G01NHA01KF002-FC27&amp;EFS.001</t>
  </si>
  <si>
    <t>=G01NHA01KF002-FC28;XB01</t>
  </si>
  <si>
    <t>=G01NHA01KF002-FC28&amp;EFS.001</t>
  </si>
  <si>
    <t>=G01NHA01KF002-FC29;XB01</t>
  </si>
  <si>
    <t>=G01NHA01KF002-FC29&amp;EFS.001</t>
  </si>
  <si>
    <t>=G01NHA01KF002-FC30;XB01</t>
  </si>
  <si>
    <t>=G01NHA01KF002-FC30&amp;EFS.001</t>
  </si>
  <si>
    <t>=G01NHA01KF002-FC31;XB01</t>
  </si>
  <si>
    <t>=G01NHA01KF002-FC31&amp;EFS.001</t>
  </si>
  <si>
    <t>=G01NHA01KF002-FC41;XB01</t>
  </si>
  <si>
    <t>=G01NHA01KF002-FC41&amp;EFS.001</t>
  </si>
  <si>
    <t>=G01NHA01KF002-FC42;XB01</t>
  </si>
  <si>
    <t>=G01NHA01KF002-FC42&amp;EFS.001</t>
  </si>
  <si>
    <t>=G01NHA01KF002-FC43;XB01</t>
  </si>
  <si>
    <t>=G01NHA01KF002-FC43&amp;EFS.001</t>
  </si>
  <si>
    <t>=G01NHA01KF002-QA11;XB01</t>
  </si>
  <si>
    <t>=G01NHA01KF002-QA11&amp;EFS.001</t>
  </si>
  <si>
    <t>=G01NHA01KF002-QA12;XB01</t>
  </si>
  <si>
    <t>=G01NHA01KF002+U012UBB01UC002-KF03</t>
  </si>
  <si>
    <t>=G01NHA01KF002-QA12&amp;EFS.001</t>
  </si>
  <si>
    <t>=G01NHA01KF002-QA13;XB01</t>
  </si>
  <si>
    <t>=G01NHA01KF002-QA13&amp;EFS.001</t>
  </si>
  <si>
    <t>=G01NHA01KF002-QA14;XB01</t>
  </si>
  <si>
    <t>=G01NHA01KF002-QA14&amp;EFS.001</t>
  </si>
  <si>
    <t>=G01NHA01KF002-QA15;XB01</t>
  </si>
  <si>
    <t>=G01NHA01KF002-QA15&amp;EFS.001</t>
  </si>
  <si>
    <t>=G01NHA01KF002-QA16;XB01</t>
  </si>
  <si>
    <t>=G01NHA01KF002-QA16&amp;EFS.001</t>
  </si>
  <si>
    <t>=G01NHA01KF002-QA17;XB01</t>
  </si>
  <si>
    <t>=G01NHA01KF002-QA17&amp;EFS.001</t>
  </si>
  <si>
    <t>=G01NHA01KF002-QA18;XB01</t>
  </si>
  <si>
    <t>=G01NHA01KF002-QA18&amp;EFS.001</t>
  </si>
  <si>
    <t>=G01NHA01KF002-TB01;XB01</t>
  </si>
  <si>
    <t>=G01NHA01KF002-TB01&amp;EFS.001</t>
  </si>
  <si>
    <t>=G01NHA01KF002-TB02;XB01</t>
  </si>
  <si>
    <t>=G01NHA01KF002-TB02&amp;EFS.001</t>
  </si>
  <si>
    <t>=G01NHA01QZ001</t>
  </si>
  <si>
    <t>=G01NHA01QZ001-QB01;XB01</t>
  </si>
  <si>
    <t>QZ</t>
  </si>
  <si>
    <t>DC-Switchgear</t>
  </si>
  <si>
    <t>DC-Switchgear 1</t>
  </si>
  <si>
    <t>-QB01</t>
  </si>
  <si>
    <t>Disconnector - DC+</t>
  </si>
  <si>
    <t>DC Swg1</t>
  </si>
  <si>
    <t>Disc DC+</t>
  </si>
  <si>
    <t>GS</t>
  </si>
  <si>
    <t>XG01:003</t>
  </si>
  <si>
    <t>5</t>
  </si>
  <si>
    <t>=G01NHA01QZ001-QB01&amp;EFS.005</t>
  </si>
  <si>
    <t>=G01NHA01QZ001-QB01;XB02</t>
  </si>
  <si>
    <t>7</t>
  </si>
  <si>
    <t>=G01NHA01QZ001-QB02;XB01</t>
  </si>
  <si>
    <t>-QB02</t>
  </si>
  <si>
    <t>Disconnector - DC-</t>
  </si>
  <si>
    <t>Disc DC-</t>
  </si>
  <si>
    <t>XG01:007</t>
  </si>
  <si>
    <t>=G01NHA01QZ001-QB02&amp;EFS.005</t>
  </si>
  <si>
    <t>=G01NHA01QZ001-QB02;XB02</t>
  </si>
  <si>
    <t>XG01:008</t>
  </si>
  <si>
    <t>=G01NHA01QZ002</t>
  </si>
  <si>
    <t>=G01NHA01QZ002-QB01;XB01</t>
  </si>
  <si>
    <t>DC-Switchgear 2</t>
  </si>
  <si>
    <t>DC Swg2</t>
  </si>
  <si>
    <t>6</t>
  </si>
  <si>
    <t>=G01NHA01QZ002-QB01&amp;EFS.005</t>
  </si>
  <si>
    <t>=G01NHA01QZ002-QB01;XB02</t>
  </si>
  <si>
    <t>=G01NHA01QZ002-QB02;XB01</t>
  </si>
  <si>
    <t>=G01NHA01QZ002-QB02&amp;EFS.005</t>
  </si>
  <si>
    <t>=G01NHA01QZ002-QB02;XB02</t>
  </si>
  <si>
    <t>17</t>
  </si>
  <si>
    <t>=G01NHA01QZ003</t>
  </si>
  <si>
    <t>=G01NHA01QZ003-QB01;XB01</t>
  </si>
  <si>
    <t>DC-Switchgear 3</t>
  </si>
  <si>
    <t>DC Swg3</t>
  </si>
  <si>
    <t>=G01NHA01QZ003-QB01&amp;EFS.005</t>
  </si>
  <si>
    <t>=G01NHA01QZ003-QB01;XB02</t>
  </si>
  <si>
    <t>=G01NHA01QZ003-QB02;XB01</t>
  </si>
  <si>
    <t>=G01NHA01QZ003-QB02&amp;EFS.005</t>
  </si>
  <si>
    <t>=G01NHA01QZ003-QB02;XB02</t>
  </si>
  <si>
    <t>=G01NHA01QZ004</t>
  </si>
  <si>
    <t>=G01NHA01QZ004-QB01;XB01</t>
  </si>
  <si>
    <t>DC-Switchgear 4</t>
  </si>
  <si>
    <t>DC Swg4</t>
  </si>
  <si>
    <t>=G01NHA01QZ004-QB01&amp;EFS.005</t>
  </si>
  <si>
    <t>=G01NHA01QZ004-QB01;XB02</t>
  </si>
  <si>
    <t>=G01NHA01QZ004-QB02;XB01</t>
  </si>
  <si>
    <t>=G01NHA01QZ004-QB02&amp;EFS.005</t>
  </si>
  <si>
    <t>=G01NHA01QZ004-QB02;XB02</t>
  </si>
  <si>
    <t>=G01NHA01RA001</t>
  </si>
  <si>
    <t>=G01NHA01RA001-KF01;XB13</t>
  </si>
  <si>
    <t>RA</t>
  </si>
  <si>
    <t>Resistors</t>
  </si>
  <si>
    <t>Discharge-Resistor 1</t>
  </si>
  <si>
    <t>-KF01</t>
  </si>
  <si>
    <t>Output coupler Relay coupler, 1 change-over contact</t>
  </si>
  <si>
    <t>Disch Res1</t>
  </si>
  <si>
    <t>Outp Mod</t>
  </si>
  <si>
    <t>=G01NHA01KF001+U012UBB01UC001-KF05</t>
  </si>
  <si>
    <t>=G01NHA01RA001-KF01&amp;EFS.004</t>
  </si>
  <si>
    <t>=G01NHA01RA002</t>
  </si>
  <si>
    <t>=G01NHA01RA002-KF01;XB13</t>
  </si>
  <si>
    <t>Discharge-Resistor 2</t>
  </si>
  <si>
    <t>Disch Res2</t>
  </si>
  <si>
    <t>=G01NHA01RA002-KF01&amp;EFS.004</t>
  </si>
  <si>
    <t>=G01NHA01RA003</t>
  </si>
  <si>
    <t>=G01NHA01RA003-KF01;XB13</t>
  </si>
  <si>
    <t>Discharge-Resistor 3</t>
  </si>
  <si>
    <t>Disch Res3</t>
  </si>
  <si>
    <t>=G01NHA01RA003-KF01&amp;EFS.004</t>
  </si>
  <si>
    <t>=G01NHA01RA004</t>
  </si>
  <si>
    <t>=G01NHA01RA004-KF01;XB13</t>
  </si>
  <si>
    <t>Discharge-Resistor 4</t>
  </si>
  <si>
    <t>Disch Res4</t>
  </si>
  <si>
    <t>=G01NHA01RA004-KF01&amp;EFS.004</t>
  </si>
  <si>
    <t>=G01NHA01TA001-BF01;XM01</t>
  </si>
  <si>
    <t>Flowmeter - Oil Circulation</t>
  </si>
  <si>
    <t>Alarm - Oil Flowmeter</t>
  </si>
  <si>
    <t>=G01NHA01TA001-BF01&amp;EFS.014</t>
  </si>
  <si>
    <t>=G01NHA01TA001-BF02;XM01</t>
  </si>
  <si>
    <t>Flowmeter - Cooling Water</t>
  </si>
  <si>
    <t>Alarm - Cooling Water - Flowmeter</t>
  </si>
  <si>
    <t>=G01NHA01TA001-BF02&amp;EFS.015</t>
  </si>
  <si>
    <t>=G01NHA01TA001-BL01;XM01</t>
  </si>
  <si>
    <t>Level limit switch - Transformer Oil Level</t>
  </si>
  <si>
    <t>Level Min - Transformer oil level</t>
  </si>
  <si>
    <t>LS</t>
  </si>
  <si>
    <t>=G01NHA01TA001-BL01&amp;EFS.009</t>
  </si>
  <si>
    <t>=G01NHA01TA001-BL01;XM02</t>
  </si>
  <si>
    <t>Level Max - Transformer oil level</t>
  </si>
  <si>
    <t>AL2</t>
  </si>
  <si>
    <t>B10:XM02</t>
  </si>
  <si>
    <t>=G01NHA01TA001-BL02;XM01</t>
  </si>
  <si>
    <t>Level limit switch - Transformer Leakage</t>
  </si>
  <si>
    <t>Alarm - Level limit switch - Leackage transformer</t>
  </si>
  <si>
    <t>=G01NHA01TA001-BL02&amp;EFS.016</t>
  </si>
  <si>
    <t>=G01NHA01TA001-BL03;XM01</t>
  </si>
  <si>
    <t>-BL03</t>
  </si>
  <si>
    <t>Level limit switch - Tap Changer Oil Level</t>
  </si>
  <si>
    <t>Level Min - Tap Changer oil level</t>
  </si>
  <si>
    <t>Lvl3</t>
  </si>
  <si>
    <t>=G01NHA01KF001+U012UBB01UC001-KF04</t>
  </si>
  <si>
    <t>=G01NHA01TA001-BL03&amp;EFS.006</t>
  </si>
  <si>
    <t>=G01NHA01TA001-BL03;XM02</t>
  </si>
  <si>
    <t>Level Max - Tap Changer oil level</t>
  </si>
  <si>
    <t>=G01NHA01TA001-BP01;XM02</t>
  </si>
  <si>
    <t>Pressure switch - Transformer</t>
  </si>
  <si>
    <t>Tripping - Pressure switch</t>
  </si>
  <si>
    <t>XZ</t>
  </si>
  <si>
    <t>=G01NHA01TA001-BP01&amp;EFS.001</t>
  </si>
  <si>
    <t>=G01NHA01TA001-BP01;XM01</t>
  </si>
  <si>
    <t>Warning - Pressure switch</t>
  </si>
  <si>
    <t>=G01NHA01TA001-BT01;XM02</t>
  </si>
  <si>
    <t>Tripping - Oil temperature</t>
  </si>
  <si>
    <t>XG12:23</t>
  </si>
  <si>
    <t>23B</t>
  </si>
  <si>
    <t>=G01NHA01TA001-BT01;XM01</t>
  </si>
  <si>
    <t>Warning - Oil temperature</t>
  </si>
  <si>
    <t>=G01NHA01TA001-BT02;XM02</t>
  </si>
  <si>
    <t>Tripping - Winding temperature</t>
  </si>
  <si>
    <t>XG12:33</t>
  </si>
  <si>
    <t>33B</t>
  </si>
  <si>
    <t>=G01NHA01TA001-BT02;XM01</t>
  </si>
  <si>
    <t>Warning - Winding temperature</t>
  </si>
  <si>
    <t>=G01NHA01TA001-BU01;XM02</t>
  </si>
  <si>
    <t>-BU01</t>
  </si>
  <si>
    <t>Buchholz protective device - Transformer</t>
  </si>
  <si>
    <t>Tripping - Buchholz Relay</t>
  </si>
  <si>
    <t>Buchh Prot</t>
  </si>
  <si>
    <t>XG12:15</t>
  </si>
  <si>
    <t>15B</t>
  </si>
  <si>
    <t>=G01NHA01TA001-BU01&amp;EFS.007</t>
  </si>
  <si>
    <t>=G01NHA01TA001-BU01;XM01</t>
  </si>
  <si>
    <t>Warning - Buchholz relay</t>
  </si>
  <si>
    <t>=G01NHA01TA001-BU02;XM01</t>
  </si>
  <si>
    <t>-BU02</t>
  </si>
  <si>
    <t>Protection relay - Tap Changer</t>
  </si>
  <si>
    <t>Tripping - Protection Relay - Tap Changer</t>
  </si>
  <si>
    <t>Tap Chg</t>
  </si>
  <si>
    <t>XS</t>
  </si>
  <si>
    <t>XG12:5</t>
  </si>
  <si>
    <t>=G01NHA01TA001-BU02&amp;EFS.005</t>
  </si>
  <si>
    <t>=G01NHA01TA001-GP01;XB13</t>
  </si>
  <si>
    <t>Oil Pump - Transformer</t>
  </si>
  <si>
    <t>=G01NHA01TA001-GP01&amp;EFS.008</t>
  </si>
  <si>
    <t>=G01NHA01TA001-QA01;XS01</t>
  </si>
  <si>
    <t>Tap Changer</t>
  </si>
  <si>
    <t>XS01</t>
  </si>
  <si>
    <t>Step control feedback - BCD 1</t>
  </si>
  <si>
    <t>FB BCD1</t>
  </si>
  <si>
    <t>B10:XS01</t>
  </si>
  <si>
    <t>=G01NHA01TA001-QA01&amp;EFS.004</t>
  </si>
  <si>
    <t>=G01NHA01TA001-QA01;XS02</t>
  </si>
  <si>
    <t>XS02</t>
  </si>
  <si>
    <t>Step control feedback - BCD 2</t>
  </si>
  <si>
    <t>FB BCD2</t>
  </si>
  <si>
    <t>B10:XS02</t>
  </si>
  <si>
    <t>=G01NHA01TA001-QA01;XS03</t>
  </si>
  <si>
    <t>XS03</t>
  </si>
  <si>
    <t>Step control feedback - BCD 4</t>
  </si>
  <si>
    <t>FB BCD3</t>
  </si>
  <si>
    <t>B10:XS03</t>
  </si>
  <si>
    <t>=G01NHA01TA001-QA01;XS04</t>
  </si>
  <si>
    <t>XS04</t>
  </si>
  <si>
    <t>Step control feedback - BCD 8</t>
  </si>
  <si>
    <t>FB BCD4</t>
  </si>
  <si>
    <t>B10:XS04</t>
  </si>
  <si>
    <t>=G01NHA01TA001-QA01;XB13</t>
  </si>
  <si>
    <t>=G01NHA01TA001-QA01&amp;EFS.002</t>
  </si>
  <si>
    <t>=G01NHA01TA001-QA01;XB14</t>
  </si>
  <si>
    <t>XB14</t>
  </si>
  <si>
    <t>B10:XB14</t>
  </si>
  <si>
    <t>=G01NHA01TA001-QA01;XR01</t>
  </si>
  <si>
    <t>Main control</t>
  </si>
  <si>
    <t>TAP CHG FB H</t>
  </si>
  <si>
    <t>B10:XR01</t>
  </si>
  <si>
    <t>=G01NHA01TA001-QA01&amp;EFS.003</t>
  </si>
  <si>
    <t>=G01NHA01TA001-QA01;XR02</t>
  </si>
  <si>
    <t>XR02</t>
  </si>
  <si>
    <t>TAP CHG FB L</t>
  </si>
  <si>
    <t>B10:XR02</t>
  </si>
  <si>
    <t>=G01NHA01TB001</t>
  </si>
  <si>
    <t>=G01NHA01TB001-GQ01;XB13</t>
  </si>
  <si>
    <t>TB</t>
  </si>
  <si>
    <t>Rectifiers</t>
  </si>
  <si>
    <t>Rectifier 1</t>
  </si>
  <si>
    <t>-GQ01</t>
  </si>
  <si>
    <t>Radial blower</t>
  </si>
  <si>
    <t>Rad Blow</t>
  </si>
  <si>
    <t>=G01NHA01TB001-KF01;XB02</t>
  </si>
  <si>
    <t>SINAMICS DCM CONTROL MODULE WITHOUT POWER SECTION</t>
  </si>
  <si>
    <t>Not defined</t>
  </si>
  <si>
    <t>19</t>
  </si>
  <si>
    <t>=G01NHA01TB001-KF01&amp;EFS.001</t>
  </si>
  <si>
    <t>=G01NHA01TB002</t>
  </si>
  <si>
    <t>=G01NHA01TB002-GQ01;XB13</t>
  </si>
  <si>
    <t>Rectifier 2</t>
  </si>
  <si>
    <t>Rect2</t>
  </si>
  <si>
    <t>=G01NHA01TB002-KF01;XB02</t>
  </si>
  <si>
    <t>=G01NHA01TB002-KF01&amp;EFS.001</t>
  </si>
  <si>
    <t>=G01NHA01TB003</t>
  </si>
  <si>
    <t>=G01NHA01TB003-GQ01;XB13</t>
  </si>
  <si>
    <t>Rectifier 3</t>
  </si>
  <si>
    <t>Rect3</t>
  </si>
  <si>
    <t>=G01NHA01KF002+U012UBB01UC002-KF04</t>
  </si>
  <si>
    <t>=G01NHA01TB003-KF01;XB02</t>
  </si>
  <si>
    <t>B10:XB02</t>
  </si>
  <si>
    <t>XB02A</t>
  </si>
  <si>
    <t>=G01NHA01TB003-KF01&amp;EFS.001</t>
  </si>
  <si>
    <t>=G01NHA01TB004</t>
  </si>
  <si>
    <t>=G01NHA01TB004-GQ01;XB13</t>
  </si>
  <si>
    <t>Rectifier 4</t>
  </si>
  <si>
    <t>Rect4</t>
  </si>
  <si>
    <t>=G01NHA01TB004-KF01;XB02</t>
  </si>
  <si>
    <t>=G01NHA01TB004-KF01&amp;EFS.001</t>
  </si>
  <si>
    <t>=G01NHA01TB011</t>
  </si>
  <si>
    <t>=G01NHA01TB011-BA11;XU01</t>
  </si>
  <si>
    <t>011</t>
  </si>
  <si>
    <t>Polarisation Rectifier System 1&amp;2</t>
  </si>
  <si>
    <t>Group Fault Alarm 400VAC</t>
  </si>
  <si>
    <t>Polr1</t>
  </si>
  <si>
    <t>-XG03</t>
  </si>
  <si>
    <t>EAS</t>
  </si>
  <si>
    <t>XU01B</t>
  </si>
  <si>
    <t>=G01NHA01TB011-BA11&amp;EFS.001</t>
  </si>
  <si>
    <t>=G01NHA01TB011-BA22;XU01</t>
  </si>
  <si>
    <t>-BA22</t>
  </si>
  <si>
    <t>Group Fault Alarm 230V</t>
  </si>
  <si>
    <t>230VAC GRP FLT</t>
  </si>
  <si>
    <t>=G01NHA01TB011-BA22&amp;EFS.001</t>
  </si>
  <si>
    <t>=G01NHA01TB011-BA41;XU01</t>
  </si>
  <si>
    <t>Group Fault Alarm 230V UPS</t>
  </si>
  <si>
    <t>=G01NHA01TB011-BA41&amp;EFS.001</t>
  </si>
  <si>
    <t>=G01NHA01TB011-FC01;XU01</t>
  </si>
  <si>
    <t>Group Fault Alarm 24VDC UPS Distribution</t>
  </si>
  <si>
    <t>=G01NHA01TB011-FC01&amp;EFS.001</t>
  </si>
  <si>
    <t>=G01NHA01TB011-KF11;XB02</t>
  </si>
  <si>
    <t>-KF11</t>
  </si>
  <si>
    <t>SINAMICS DCM - STO</t>
  </si>
  <si>
    <t>DCM1</t>
  </si>
  <si>
    <t>XG03:3</t>
  </si>
  <si>
    <t>3B</t>
  </si>
  <si>
    <t>=G01NHA01TB011-KF11&amp;EFS.002</t>
  </si>
  <si>
    <t>=G01NHA01TB011-KF12;XB02</t>
  </si>
  <si>
    <t>-KF12</t>
  </si>
  <si>
    <t>DCM2</t>
  </si>
  <si>
    <t>XG03:11</t>
  </si>
  <si>
    <t>11B</t>
  </si>
  <si>
    <t>22</t>
  </si>
  <si>
    <t>=G01NHA01TB011-KF12&amp;EFS.002</t>
  </si>
  <si>
    <t>=G01NHA01TB011-QA03;XB02</t>
  </si>
  <si>
    <t>-QA03</t>
  </si>
  <si>
    <t>Mainswitch - OFF</t>
  </si>
  <si>
    <t>Sw3</t>
  </si>
  <si>
    <t>XG03:7</t>
  </si>
  <si>
    <t>7B</t>
  </si>
  <si>
    <t>=G01NHA01TB011-QA03&amp;EFS.002</t>
  </si>
  <si>
    <t>=G01NHA01TB011-QA04;XB02</t>
  </si>
  <si>
    <t>-QA04</t>
  </si>
  <si>
    <t>Sw4</t>
  </si>
  <si>
    <t>XG03:15</t>
  </si>
  <si>
    <t>23</t>
  </si>
  <si>
    <t>=G01NHA01TB011-QA04&amp;EFS.002</t>
  </si>
  <si>
    <t>=G01NHA01TB011-QB03;XB02</t>
  </si>
  <si>
    <t>-QB03</t>
  </si>
  <si>
    <t>DC disconnect switch - System 1</t>
  </si>
  <si>
    <t>Disc Sys1</t>
  </si>
  <si>
    <t>=G01NHA01TB011-QB03&amp;EFS.002</t>
  </si>
  <si>
    <t>=G01NHA01TB011-QB04;XB02</t>
  </si>
  <si>
    <t>-QB04</t>
  </si>
  <si>
    <t>DC disconnect switch - System 2</t>
  </si>
  <si>
    <t>Disc Sys2</t>
  </si>
  <si>
    <t>XB02B</t>
  </si>
  <si>
    <t>=G01NHA01TB011-QB04&amp;EFS.002</t>
  </si>
  <si>
    <t>=G01NHA01TB011-TB01;XU01</t>
  </si>
  <si>
    <t>Group Fault Alarm 24VDC UPS Generation</t>
  </si>
  <si>
    <t>=G01NHA01TB011-TB01&amp;EFS.001</t>
  </si>
  <si>
    <t>=G01NHA01TB012</t>
  </si>
  <si>
    <t>=G01NHA01TB012-BA11;XU01</t>
  </si>
  <si>
    <t>012</t>
  </si>
  <si>
    <t>Polarisation Rectifier System 3&amp;4</t>
  </si>
  <si>
    <t>Polr2</t>
  </si>
  <si>
    <t>=G01NHA01TB012-BA11&amp;EFS.001</t>
  </si>
  <si>
    <t>=G01NHA01TB012-BA22;XU01</t>
  </si>
  <si>
    <t>=G01NHA01TB012-BA22&amp;EFS.001</t>
  </si>
  <si>
    <t>=G01NHA01TB012-BA41;XU01</t>
  </si>
  <si>
    <t>=G01NHA01TB012-BA41&amp;EFS.001</t>
  </si>
  <si>
    <t>=G01NHA01TB012-FC01;XU01</t>
  </si>
  <si>
    <t>XU01A</t>
  </si>
  <si>
    <t>=G01NHA01TB012-FC01&amp;EFS.001</t>
  </si>
  <si>
    <t>=G01NHA01TB012-KF11;XB02</t>
  </si>
  <si>
    <t>=G01NHA01TB012-KF11&amp;EFS.002</t>
  </si>
  <si>
    <t>=G01NHA01TB012-KF12;XB02</t>
  </si>
  <si>
    <t>=G01NHA01TB012-KF12&amp;EFS.002</t>
  </si>
  <si>
    <t>=G01NHA01TB012-QA03;XB02</t>
  </si>
  <si>
    <t>=G01NHA01TB012-QA03&amp;EFS.002</t>
  </si>
  <si>
    <t>=G01NHA01TB012-QA04;XB02</t>
  </si>
  <si>
    <t>=G01NHA01TB012-QA04&amp;EFS.002</t>
  </si>
  <si>
    <t>=G01NHA01TB012-QB03;XB02</t>
  </si>
  <si>
    <t>=G01NHA01TB012-QB03&amp;EFS.002</t>
  </si>
  <si>
    <t>=G01NHA01TB012-QB04;XB02</t>
  </si>
  <si>
    <t>=G01NHA01TB012-QB04&amp;EFS.002</t>
  </si>
  <si>
    <t>=G01NHA01TB012-TB01;XU01</t>
  </si>
  <si>
    <t>=G01NHA01TB012-TB01&amp;EFS.001</t>
  </si>
  <si>
    <t>=G01NHB01EQ001-QN01;XU01</t>
  </si>
  <si>
    <t>=G01NHB01KF001-FC02;XW01</t>
  </si>
  <si>
    <t>SITOP SEL1200 Selectivity module 8-channel</t>
  </si>
  <si>
    <t>Voltage supply fail 8x 24VDC</t>
  </si>
  <si>
    <t>=G01NHB01KF001-FC02&amp;EFS.004</t>
  </si>
  <si>
    <t>=G01NHB01KF001-TB01;XW01</t>
  </si>
  <si>
    <t>Voltage supply fail 230/24V DC</t>
  </si>
  <si>
    <t>=G01NHB01KF001-TB01&amp;EFS.004</t>
  </si>
  <si>
    <t>=G01NHB01KF002</t>
  </si>
  <si>
    <t>=G01NHB01KF002-FC01;XW01</t>
  </si>
  <si>
    <t>Module Group Control Unit</t>
  </si>
  <si>
    <t>=G01NHB01KF002-FC01&amp;EFS.003</t>
  </si>
  <si>
    <t>=G01NHB02EQ001-QN01;XU01</t>
  </si>
  <si>
    <t>=G01NHB02KF001-FC02;XW01</t>
  </si>
  <si>
    <t>=G01NHB02KF001-FC02&amp;EFS.004</t>
  </si>
  <si>
    <t>=G01NHB02KF001-TB01;XW01</t>
  </si>
  <si>
    <t>=G01NHB02KF001-TB01&amp;EFS.004</t>
  </si>
  <si>
    <t>=G01NHB02KF002</t>
  </si>
  <si>
    <t>=G01NHB02KF002-FC01;XW01</t>
  </si>
  <si>
    <t>=G01NHB02KF002-FC01&amp;EFS.003</t>
  </si>
  <si>
    <t>=G01NHB03EQ001-QN01;XU01</t>
  </si>
  <si>
    <t>=G01NHB03KF001-FC02;XW01</t>
  </si>
  <si>
    <t>=G01NHB03KF001-FC02&amp;EFS.004</t>
  </si>
  <si>
    <t>=G01NHB03KF001-TB01;XW01</t>
  </si>
  <si>
    <t>=G01NHB03KF001-TB01&amp;EFS.004</t>
  </si>
  <si>
    <t>=G01NHB03KF002</t>
  </si>
  <si>
    <t>=G01NHB03KF002-FC01;XW01</t>
  </si>
  <si>
    <t>=G01NHB03KF002-FC01&amp;EFS.003</t>
  </si>
  <si>
    <t>=G01NHB04EQ001-QN01;XU01</t>
  </si>
  <si>
    <t>=G01NHB04KF001-FC02;XW01</t>
  </si>
  <si>
    <t>=G01NHB04KF001-FC02&amp;EFS.004</t>
  </si>
  <si>
    <t>=G01NHB04KF001-TB01;XW01</t>
  </si>
  <si>
    <t>=G01NHB04KF001-TB01&amp;EFS.004</t>
  </si>
  <si>
    <t>=G01NHB04KF002</t>
  </si>
  <si>
    <t>=G01NHB04KF002-FC01;XW01</t>
  </si>
  <si>
    <t>=G01NHB04KF002-FC01&amp;EFS.003</t>
  </si>
  <si>
    <t>=G01NHB05EQ001-QN01;XU01</t>
  </si>
  <si>
    <t>=G01NHB05KF001-FC02;XW01</t>
  </si>
  <si>
    <t>=G01NHB05KF001-FC02&amp;EFS.004</t>
  </si>
  <si>
    <t>=G01NHB05KF001-TB01;XW01</t>
  </si>
  <si>
    <t>=G01NHB05KF001-TB01&amp;EFS.004</t>
  </si>
  <si>
    <t>=G01NHB05KF002</t>
  </si>
  <si>
    <t>=G01NHB05KF002-FC01;XW01</t>
  </si>
  <si>
    <t>=G01NHB05KF002-FC01&amp;EFS.003</t>
  </si>
  <si>
    <t>=G01NHB06EQ001-QN01;XU01</t>
  </si>
  <si>
    <t>=G01NHB06KF001-FC02;XW01</t>
  </si>
  <si>
    <t>=G01NHB06KF001-FC02&amp;EFS.004</t>
  </si>
  <si>
    <t>=G01NHB06KF001-TB01;XW01</t>
  </si>
  <si>
    <t>=G01NHB06KF001-TB01&amp;EFS.004</t>
  </si>
  <si>
    <t>=G01NHB06KF002</t>
  </si>
  <si>
    <t>=G01NHB06KF002-FC01;XW01</t>
  </si>
  <si>
    <t>=G01NHB06KF002-FC01&amp;EFS.003</t>
  </si>
  <si>
    <t>=G01NHC01BQ001-BP10;XG01</t>
  </si>
  <si>
    <t>-BP10</t>
  </si>
  <si>
    <t>Pressure switch</t>
  </si>
  <si>
    <t>Pres sw</t>
  </si>
  <si>
    <t>PIS</t>
  </si>
  <si>
    <t>=G01NHC01BQ001-BP10&amp;EFS.001</t>
  </si>
  <si>
    <t>=G01NHC01BQ001-BQ01;XM01</t>
  </si>
  <si>
    <t>11012; O2-measuring sensor</t>
  </si>
  <si>
    <t>Fault</t>
  </si>
  <si>
    <t>_</t>
  </si>
  <si>
    <t>=G01NHC01BQ001-BQ01&amp;EFS.001</t>
  </si>
  <si>
    <t>=G01NHC01BQ001-BQ01;XQ01</t>
  </si>
  <si>
    <t>XG06:4</t>
  </si>
  <si>
    <t>4d</t>
  </si>
  <si>
    <t>=G01NHC01BQ001-BQ01;XJ01</t>
  </si>
  <si>
    <t>Functional check</t>
  </si>
  <si>
    <t>RDY F OP</t>
  </si>
  <si>
    <t>B10:XJ01</t>
  </si>
  <si>
    <t>=G01NHC01BQ001-BQ02;XQ01</t>
  </si>
  <si>
    <t>XG06:6</t>
  </si>
  <si>
    <t>=G01NHC01BQ001-BQ02&amp;EFS.001</t>
  </si>
  <si>
    <t>=G01NHC01BQ001-BQ02;XM01</t>
  </si>
  <si>
    <t>=G01NHC01BQ001-BQ02;XJ01</t>
  </si>
  <si>
    <t>=G01NHC01BQ001-EQ01;XU01</t>
  </si>
  <si>
    <t>-EQ01</t>
  </si>
  <si>
    <t>Gas Cooler H2</t>
  </si>
  <si>
    <t>Gas Cool</t>
  </si>
  <si>
    <t>X??</t>
  </si>
  <si>
    <t>=G01NHC01BQ001-EQ01&amp;EFS.002</t>
  </si>
  <si>
    <t>=G01NHC01BQ001-EQ01;XB13</t>
  </si>
  <si>
    <t>B10_1:XB13</t>
  </si>
  <si>
    <t>=G01NHC01BQ001-EQ01&amp;EFS.001</t>
  </si>
  <si>
    <t>=G01NHC01BQ001-EQ01;YB11</t>
  </si>
  <si>
    <t>YB11</t>
  </si>
  <si>
    <t>Manual command ON/OPEN</t>
  </si>
  <si>
    <t>CMD ON/OP</t>
  </si>
  <si>
    <t>DO</t>
  </si>
  <si>
    <t>=G01NHY01KF001+U012UNA01UH100-KF09</t>
  </si>
  <si>
    <t>6DL1 132-6BH00-0EH1, ET 200SP HA, DQ 16X24VDC/0,5A</t>
  </si>
  <si>
    <t>B10_1:YB11</t>
  </si>
  <si>
    <t>=G01NHC01BQ001-FC01;XU01</t>
  </si>
  <si>
    <t>General Feedback - Power Supply</t>
  </si>
  <si>
    <t>=G01NHC01BQ001-FC01&amp;EFS.002</t>
  </si>
  <si>
    <t>=G01NHC01BQ001-GP01;XB13</t>
  </si>
  <si>
    <t>Gas Analytic Pump, H2</t>
  </si>
  <si>
    <t>=G01NHC01BQ001-GP01&amp;EFS.001</t>
  </si>
  <si>
    <t>=G01NHC01BQ001-GP01;YB11</t>
  </si>
  <si>
    <t>=G01NHC01BQ001-QM11;XB01</t>
  </si>
  <si>
    <t>Solenoid valve</t>
  </si>
  <si>
    <t>-QM11BG01</t>
  </si>
  <si>
    <t>XG01:27</t>
  </si>
  <si>
    <t>27B</t>
  </si>
  <si>
    <t>=G01NHC01BQ001-QM11&amp;EFS.002</t>
  </si>
  <si>
    <t>=G01NHC01BQ001-QM11;XB02</t>
  </si>
  <si>
    <t>XG01:17</t>
  </si>
  <si>
    <t>17d</t>
  </si>
  <si>
    <t>=G01NHC01BQ001-QM11;YB11</t>
  </si>
  <si>
    <t>-QM11MB01</t>
  </si>
  <si>
    <t>YS</t>
  </si>
  <si>
    <t>B10:YB11</t>
  </si>
  <si>
    <t>=G01NHC01BQ001-QM11&amp;EFS.001</t>
  </si>
  <si>
    <t>=G01NHC01BQ001-QM12;XB01</t>
  </si>
  <si>
    <t>-QM12</t>
  </si>
  <si>
    <t>SV12</t>
  </si>
  <si>
    <t>-QM12BG01</t>
  </si>
  <si>
    <t>XG01:32</t>
  </si>
  <si>
    <t>32B</t>
  </si>
  <si>
    <t>=G01NHC01BQ001-QM12&amp;EFS.002</t>
  </si>
  <si>
    <t>=G01NHC01BQ001-QM12;XB02</t>
  </si>
  <si>
    <t>XG01:18</t>
  </si>
  <si>
    <t>18d</t>
  </si>
  <si>
    <t>=G01NHC01BQ001-QM12;YB11</t>
  </si>
  <si>
    <t>-QM12MB01</t>
  </si>
  <si>
    <t>=G01NHC01BQ001-QM12&amp;EFS.001</t>
  </si>
  <si>
    <t>=G01NHC01BQ001-QM13;XB01</t>
  </si>
  <si>
    <t>-QM13</t>
  </si>
  <si>
    <t>SV13</t>
  </si>
  <si>
    <t>-QM13BG01</t>
  </si>
  <si>
    <t>XG01:37</t>
  </si>
  <si>
    <t>37B</t>
  </si>
  <si>
    <t>=G01NHC01BQ001-QM13&amp;EFS.002</t>
  </si>
  <si>
    <t>=G01NHC01BQ001-QM13;XB02</t>
  </si>
  <si>
    <t>XG01:19</t>
  </si>
  <si>
    <t>19d</t>
  </si>
  <si>
    <t>=G01NHC01BQ001-QM13;YB11</t>
  </si>
  <si>
    <t>-QM13MB01</t>
  </si>
  <si>
    <t>=G01NHC01BQ001-QM13&amp;EFS.001</t>
  </si>
  <si>
    <t>=G01NHC01BQ001-QM14;XB01</t>
  </si>
  <si>
    <t>-QM14</t>
  </si>
  <si>
    <t>SV14</t>
  </si>
  <si>
    <t>-QM14BG01</t>
  </si>
  <si>
    <t>XG01:42</t>
  </si>
  <si>
    <t>42B</t>
  </si>
  <si>
    <t>=G01NHC01BQ001-QM14&amp;EFS.002</t>
  </si>
  <si>
    <t>=G01NHC01BQ001-QM14;XB02</t>
  </si>
  <si>
    <t>XG01:20</t>
  </si>
  <si>
    <t>20d</t>
  </si>
  <si>
    <t>=G01NHC01BQ001-QM14;YB11</t>
  </si>
  <si>
    <t>-QM14MB01</t>
  </si>
  <si>
    <t>=G01NHC01BQ001-QM14&amp;EFS.001</t>
  </si>
  <si>
    <t>=G01NHC01BQ001-QM15;XB01</t>
  </si>
  <si>
    <t>-QM15</t>
  </si>
  <si>
    <t>SV15</t>
  </si>
  <si>
    <t>-QM15BG01</t>
  </si>
  <si>
    <t>XG01:47</t>
  </si>
  <si>
    <t>47B</t>
  </si>
  <si>
    <t>=G01NHC01BQ001-QM15&amp;EFS.002</t>
  </si>
  <si>
    <t>=G01NHC01BQ001-QM15;XB02</t>
  </si>
  <si>
    <t>XG01:21</t>
  </si>
  <si>
    <t>21</t>
  </si>
  <si>
    <t>18</t>
  </si>
  <si>
    <t>=G01NHC01BQ001-QM15;YB11</t>
  </si>
  <si>
    <t>-QM15MB01</t>
  </si>
  <si>
    <t>=G01NHC01BQ001-QM15&amp;EFS.001</t>
  </si>
  <si>
    <t>=G01NHC01BQ001-QM16;XB01</t>
  </si>
  <si>
    <t>-QM16</t>
  </si>
  <si>
    <t>SV16</t>
  </si>
  <si>
    <t>-QM16BG01</t>
  </si>
  <si>
    <t>XG01:52</t>
  </si>
  <si>
    <t>52B</t>
  </si>
  <si>
    <t>=G01NHC01BQ001-QM16&amp;EFS.002</t>
  </si>
  <si>
    <t>=G01NHC01BQ001-QM16;XB02</t>
  </si>
  <si>
    <t>XG01:23</t>
  </si>
  <si>
    <t>23d</t>
  </si>
  <si>
    <t>=G01NHC01BQ001-QM16;YB11</t>
  </si>
  <si>
    <t>-QM16MB01</t>
  </si>
  <si>
    <t>=G01NHC01BQ001-QM16&amp;EFS.001</t>
  </si>
  <si>
    <t>=G01NHC01BQ001-QM17;XB01</t>
  </si>
  <si>
    <t>-QM17</t>
  </si>
  <si>
    <t>SV17</t>
  </si>
  <si>
    <t>-QM17BG01</t>
  </si>
  <si>
    <t>XG01:57</t>
  </si>
  <si>
    <t>57B</t>
  </si>
  <si>
    <t>=G01NHC01BQ001-QM17&amp;EFS.002</t>
  </si>
  <si>
    <t>=G01NHC01BQ001-QM17;XB02</t>
  </si>
  <si>
    <t>XG01:24</t>
  </si>
  <si>
    <t>24d</t>
  </si>
  <si>
    <t>=G01NHC01BQ001-QM17;YB11</t>
  </si>
  <si>
    <t>-QM17MB01</t>
  </si>
  <si>
    <t>=G01NHC01BQ001-QM17&amp;EFS.001</t>
  </si>
  <si>
    <t>=G01NHC01BQ001-QM22;XB01</t>
  </si>
  <si>
    <t>-QM22</t>
  </si>
  <si>
    <t>SV22</t>
  </si>
  <si>
    <t>-QM22BG01</t>
  </si>
  <si>
    <t>=G01NHY01KF001+U012UNA01UH100-KF03</t>
  </si>
  <si>
    <t>=G01NHC01BQ001-QM22&amp;EFS.002</t>
  </si>
  <si>
    <t>=G01NHC01BQ001-QM22;XB02</t>
  </si>
  <si>
    <t>=G01NHC01BQ001-QM22;YB11</t>
  </si>
  <si>
    <t>-QM22MB01</t>
  </si>
  <si>
    <t>=G01NHC01BQ001-QM22&amp;EFS.001</t>
  </si>
  <si>
    <t>=G01NHC01BQ001-QM23;XB11</t>
  </si>
  <si>
    <t>-QM23</t>
  </si>
  <si>
    <t>3-way Valve - Cal-Gas</t>
  </si>
  <si>
    <t>XB11</t>
  </si>
  <si>
    <t>SV23</t>
  </si>
  <si>
    <t>CB MAN ON/OPN</t>
  </si>
  <si>
    <t>-QM23BG01</t>
  </si>
  <si>
    <t>B10:XB11</t>
  </si>
  <si>
    <t>=G01NHC01BQ001-QM23&amp;EFS.002</t>
  </si>
  <si>
    <t>=G01NHC01GT001-FL01;XB01</t>
  </si>
  <si>
    <t>-FL01</t>
  </si>
  <si>
    <t>Angle safety valve</t>
  </si>
  <si>
    <t>Sfty Vlv</t>
  </si>
  <si>
    <t>-FL01BG01</t>
  </si>
  <si>
    <t>Namur</t>
  </si>
  <si>
    <t>=G01NHC01GT001-FL01&amp;EFS.001</t>
  </si>
  <si>
    <t>=G01NHC01GT001-QM01;XB01</t>
  </si>
  <si>
    <t>-QM01</t>
  </si>
  <si>
    <t>2-way shut-off valve H2</t>
  </si>
  <si>
    <t>SV1</t>
  </si>
  <si>
    <t>-QM01BG01</t>
  </si>
  <si>
    <t>=G01NHC01GT001-QM01&amp;EFS.001</t>
  </si>
  <si>
    <t>=G01NHC01GT001-QM01;XB02</t>
  </si>
  <si>
    <t>=G01NHC01GT001-QN01;XU01</t>
  </si>
  <si>
    <t>=G01NHC01GT001-QN02;XU01</t>
  </si>
  <si>
    <t>=G01NHC01BQ001-QM24;XB01</t>
  </si>
  <si>
    <t>-QM24</t>
  </si>
  <si>
    <t>SV24</t>
  </si>
  <si>
    <t>-QM24BG01</t>
  </si>
  <si>
    <t>XG01:67</t>
  </si>
  <si>
    <t>67B</t>
  </si>
  <si>
    <t>=G01NHC01BQ001-QM24&amp;EFS.002</t>
  </si>
  <si>
    <t>=G01NHC01BQ001-QM24;XB02</t>
  </si>
  <si>
    <t>XG01:25</t>
  </si>
  <si>
    <t>25d</t>
  </si>
  <si>
    <t>=G01NHC01BQ001-QM24;YB11</t>
  </si>
  <si>
    <t>-QM24MB01</t>
  </si>
  <si>
    <t>=G01NHC01BQ001-QM24&amp;EFS.001</t>
  </si>
  <si>
    <t>=G01NHC01BQ001-QM26;XB01</t>
  </si>
  <si>
    <t>-QM26</t>
  </si>
  <si>
    <t>SV26</t>
  </si>
  <si>
    <t>-QM26BG01</t>
  </si>
  <si>
    <t>=G01NHC01BQ001-QM26&amp;EFS.002</t>
  </si>
  <si>
    <t>=G01NHC01BQ001-QM26;XB02</t>
  </si>
  <si>
    <t>=G01NHC01BQ001-QM26;YB11</t>
  </si>
  <si>
    <t>-QM26MB01</t>
  </si>
  <si>
    <t>=G01NHC01BQ001-QM26&amp;EFS.001</t>
  </si>
  <si>
    <t>=G01NHC01BQ001-QM27;XB11</t>
  </si>
  <si>
    <t>-QM27</t>
  </si>
  <si>
    <t>SV27</t>
  </si>
  <si>
    <t>-QM27BG01</t>
  </si>
  <si>
    <t>=G01NHC01BQ001-QM27&amp;EFS.002</t>
  </si>
  <si>
    <t>=G01NHC01BQ001-QN22;XG01</t>
  </si>
  <si>
    <t>-QN22</t>
  </si>
  <si>
    <t>Pressure gauge with pressure switch</t>
  </si>
  <si>
    <t>Pres22</t>
  </si>
  <si>
    <t>PS</t>
  </si>
  <si>
    <t>=G01NHC01BQ001-QN22&amp;EFS.001</t>
  </si>
  <si>
    <t>=G01NHC01BQ001-QN30;XW01</t>
  </si>
  <si>
    <t>-QN30</t>
  </si>
  <si>
    <t>Alarm system</t>
  </si>
  <si>
    <t>Pres30</t>
  </si>
  <si>
    <t>PZ</t>
  </si>
  <si>
    <t>XG01:83</t>
  </si>
  <si>
    <t>83B</t>
  </si>
  <si>
    <t>=G01NHC01BQ001-QN30&amp;EFS.002</t>
  </si>
  <si>
    <t>=G01NHC01BQ001-SF01;XB11</t>
  </si>
  <si>
    <t>Key-switch - Maintenance on/off</t>
  </si>
  <si>
    <t>HC</t>
  </si>
  <si>
    <t>=G01NHC01BQ001-SF01&amp;EFS.002</t>
  </si>
  <si>
    <t>=G01NHE01BQ001</t>
  </si>
  <si>
    <t>=G01NHE01BQ001-BF01;XG02</t>
  </si>
  <si>
    <t>Quality Measuring Systems</t>
  </si>
  <si>
    <t>H2 in O2 Measuring System</t>
  </si>
  <si>
    <t>=G01NHE01BQ001-BF01&amp;EFS.001</t>
  </si>
  <si>
    <t>=G01NHE01&amp;MFB.003</t>
  </si>
  <si>
    <t>=G01NHE01BQ001-BF01;XG01</t>
  </si>
  <si>
    <t>=G01NHE01BQ001-BF02;XG02</t>
  </si>
  <si>
    <t>=G01NHE01BQ001-BF02&amp;EFS.001</t>
  </si>
  <si>
    <t>=G01NHE01BQ001-BF02;XG01</t>
  </si>
  <si>
    <t>=G01NHE01BQ001-BF10;XG02</t>
  </si>
  <si>
    <t>=G01NHE01BQ001-BF10&amp;EFS.001</t>
  </si>
  <si>
    <t>=G01NHE01BQ001-BP10;XG01</t>
  </si>
  <si>
    <t>=G01NHE01BQ001-BP10&amp;EFS.001</t>
  </si>
  <si>
    <t>=G01NHE01BQ001-BQ01;XQ01</t>
  </si>
  <si>
    <t>H2-measuring sensor</t>
  </si>
  <si>
    <t>XG06:12</t>
  </si>
  <si>
    <t>12d</t>
  </si>
  <si>
    <t>=G01NHE01BQ001-BQ01&amp;EFS.001</t>
  </si>
  <si>
    <t>=G01NHE01BQ001-BQ01;XM01</t>
  </si>
  <si>
    <t>=G01NHE01BQ001-BQ01;XJ01</t>
  </si>
  <si>
    <t>=G01NHE01BQ001-BQ02;XQ01</t>
  </si>
  <si>
    <t>XG07:2</t>
  </si>
  <si>
    <t>2d</t>
  </si>
  <si>
    <t>=G01NHE01BQ001-BQ02&amp;EFS.001</t>
  </si>
  <si>
    <t>=G01NHE01BQ001-BQ02;XM01</t>
  </si>
  <si>
    <t>=G01NHE01BQ001-BQ02;XJ01</t>
  </si>
  <si>
    <t>=G01NHE01BQ001-EQ01;XU01</t>
  </si>
  <si>
    <t>Gas Cooler O2</t>
  </si>
  <si>
    <t>=G01NHE01BQ001-EQ01&amp;EFS.002</t>
  </si>
  <si>
    <t>=G01NHE01BQ001-EQ01;XB13</t>
  </si>
  <si>
    <t>=G01NHE01BQ001-EQ01&amp;EFS.001</t>
  </si>
  <si>
    <t>=G01NHE01BQ001-EQ01;YB11</t>
  </si>
  <si>
    <t>=G01NHE01BQ001-FC01;XU01</t>
  </si>
  <si>
    <t>=G01NHE01BQ001-FC01&amp;EFS.002</t>
  </si>
  <si>
    <t>=G01NHE01BQ001-GP01;XB13</t>
  </si>
  <si>
    <t>Gas Analytic Pump, O2</t>
  </si>
  <si>
    <t>=G01NHE01BQ001-GP01&amp;EFS.001</t>
  </si>
  <si>
    <t>=G01NHE01BQ001-GP01;YB11</t>
  </si>
  <si>
    <t>=G01NHE01BQ001-QM11;XB01</t>
  </si>
  <si>
    <t>=G01NHE01BQ001-QM11&amp;EFS.002</t>
  </si>
  <si>
    <t>=G01NHE01BQ001-QM11;XB02</t>
  </si>
  <si>
    <t>XG01:28</t>
  </si>
  <si>
    <t>28d</t>
  </si>
  <si>
    <t>24</t>
  </si>
  <si>
    <t>=G01NHE01BQ001-QM11;YB11</t>
  </si>
  <si>
    <t>=G01NHE01BQ001-QM11&amp;EFS.001</t>
  </si>
  <si>
    <t>=G01NHE01BQ001-QM12;XB01</t>
  </si>
  <si>
    <t>=G01NHE01BQ001-QM12&amp;EFS.002</t>
  </si>
  <si>
    <t>=G01NHE01GT001-FL01;XB01</t>
  </si>
  <si>
    <t>=G01NHE01GT001-FL01&amp;EFS.001</t>
  </si>
  <si>
    <t>=G01NHE01GT001-QN01;XU01</t>
  </si>
  <si>
    <t>=G01NHG01QM001-QM01;XB01</t>
  </si>
  <si>
    <t>2-way shut-off valve - Demin water supply</t>
  </si>
  <si>
    <t>=G01NHG01QM001-QM01&amp;EFS.001</t>
  </si>
  <si>
    <t>=G01NHG01QM001-QM01;XB02</t>
  </si>
  <si>
    <t>=G01NHG01QM001-QN01;XU01</t>
  </si>
  <si>
    <t>=G01NHP01WP001-QN01;XU01</t>
  </si>
  <si>
    <t>=G01NHP01WP001-QN02;XU01</t>
  </si>
  <si>
    <t>=G01NHX01QN001-QM11;XB11</t>
  </si>
  <si>
    <t>Ball valve - Nitrogen H2 bypass</t>
  </si>
  <si>
    <t>=G01NHX01QN001-QM11&amp;EFS.001</t>
  </si>
  <si>
    <t>=G01NHX01QN001-QM11;XB12</t>
  </si>
  <si>
    <t>XB12</t>
  </si>
  <si>
    <t>Manual command OFF/CLOSE</t>
  </si>
  <si>
    <t>CB MAN OFF/CLD</t>
  </si>
  <si>
    <t>B10:XB12</t>
  </si>
  <si>
    <t>=G01NHX01QN001-QM21;XB11</t>
  </si>
  <si>
    <t>-QM21</t>
  </si>
  <si>
    <t>Ball valve - Nitrogen H2 outlet</t>
  </si>
  <si>
    <t>SV21</t>
  </si>
  <si>
    <t>-QM21BG01</t>
  </si>
  <si>
    <t>=G01NHX01QN001-QM21&amp;EFS.001</t>
  </si>
  <si>
    <t>=G01NHX01QN001-QM21;XB12</t>
  </si>
  <si>
    <t>=G01NHX01QN001-QN01;XU01</t>
  </si>
  <si>
    <t>=G01NHX01QN002-QM11;XB11</t>
  </si>
  <si>
    <t>Ball valve - Nitrogen O2 bypass</t>
  </si>
  <si>
    <t>=G01NHX01QN002-QM11&amp;EFS.001</t>
  </si>
  <si>
    <t>=G01NHX01QN002-QM11;XB12</t>
  </si>
  <si>
    <t>=G01NHX01QN002-QM21;XB11</t>
  </si>
  <si>
    <t>Ball valve - Nitrogen O2 outlet</t>
  </si>
  <si>
    <t>=G01NHX01QN002-QM21&amp;EFS.001</t>
  </si>
  <si>
    <t>=G01NHX01QN002-QM21;XB12</t>
  </si>
  <si>
    <t>=G01NHX01QN002-QN01;XU01</t>
  </si>
  <si>
    <t>=G01NHY01KF001</t>
  </si>
  <si>
    <t>=G01NHY01KF001-BA11;XB01</t>
  </si>
  <si>
    <t>NHY</t>
  </si>
  <si>
    <t>Array Control System</t>
  </si>
  <si>
    <t>Array Control Unit</t>
  </si>
  <si>
    <t>Ary</t>
  </si>
  <si>
    <t>=G01NHY01KF001-BA11&amp;EFS.001</t>
  </si>
  <si>
    <t>=G01NHY01KF001-BA21;XB01</t>
  </si>
  <si>
    <t>2300VAC Monitoring</t>
  </si>
  <si>
    <t>=G01NHY01KF001-BA21&amp;EFS.001</t>
  </si>
  <si>
    <t>=G01NHY01KF001-BA41;XB01</t>
  </si>
  <si>
    <t>=G01NHY01KF001-BA41&amp;EFS.001</t>
  </si>
  <si>
    <t>=G01NHY01KF001-FC01;XB01</t>
  </si>
  <si>
    <t>=G01NHY01KF001-FC01&amp;EFS.001</t>
  </si>
  <si>
    <t>=G01NHY01KF001-FC02;XB01</t>
  </si>
  <si>
    <t>=G01NHY01KF001-FC02&amp;EFS.001</t>
  </si>
  <si>
    <t>=G01NHY01KF001-FC03;XB01</t>
  </si>
  <si>
    <t>=G01NHY01KF001-FC03&amp;EFS.001</t>
  </si>
  <si>
    <t>=G01NHY01KF001-FC11;XB01</t>
  </si>
  <si>
    <t>=G01NHY01KF001-FC11&amp;EFS.001</t>
  </si>
  <si>
    <t>=G01NHY01KF001-FC21;XB01</t>
  </si>
  <si>
    <t>=G01NHY01KF001-FC21&amp;EFS.001</t>
  </si>
  <si>
    <t>=G01NHY01KF001-FC22;XB01</t>
  </si>
  <si>
    <t>=G01NHY01KF001-FC22&amp;EFS.001</t>
  </si>
  <si>
    <t>=G01NHY01KF001-FC23;XB01</t>
  </si>
  <si>
    <t>=G01NHY01KF001-FC23&amp;EFS.001</t>
  </si>
  <si>
    <t>=G01NHY01KF001-FC24;XB01</t>
  </si>
  <si>
    <t>=G01NHY01KF001-FC24&amp;EFS.001</t>
  </si>
  <si>
    <t>=G01NHY01KF001-FC25;XB01</t>
  </si>
  <si>
    <t>=G01NHY01KF001-FC25&amp;EFS.001</t>
  </si>
  <si>
    <t>=G01NHY01KF001-FC41;XB01</t>
  </si>
  <si>
    <t>=G01NHY01KF001-FC41&amp;EFS.001</t>
  </si>
  <si>
    <t>=G01NHY01KF001-FC42;XB01</t>
  </si>
  <si>
    <t>=G01NHY01KF001-FC42&amp;EFS.001</t>
  </si>
  <si>
    <t>=G01NHY01KF001-FC43;XB01</t>
  </si>
  <si>
    <t>=G01NHY01KF001-FC43&amp;EFS.001</t>
  </si>
  <si>
    <t>=G01NHY01KF001-FC44;XB01</t>
  </si>
  <si>
    <t>-FC44</t>
  </si>
  <si>
    <t>230VAC UPS4</t>
  </si>
  <si>
    <t>=G01NHY01KF001-FC44&amp;EFS.001</t>
  </si>
  <si>
    <t>=G01NHY01KF001-FC45;XB01</t>
  </si>
  <si>
    <t>-FC45</t>
  </si>
  <si>
    <t>230VAC UPS5</t>
  </si>
  <si>
    <t>=G01NHY01KF001-FC45&amp;EFS.001</t>
  </si>
  <si>
    <t>=G01NHY01KF001-FC46;XB01</t>
  </si>
  <si>
    <t>-FC46</t>
  </si>
  <si>
    <t>230VAC UPS6</t>
  </si>
  <si>
    <t>=G01NHY01KF001-FC46&amp;EFS.001</t>
  </si>
  <si>
    <t>=G01NHY01KF001-FC47;XB01</t>
  </si>
  <si>
    <t>-FC47</t>
  </si>
  <si>
    <t>230VAC UPS7</t>
  </si>
  <si>
    <t>=G01NHY01KF001-FC47&amp;EFS.001</t>
  </si>
  <si>
    <t>=G01NHY01KF001-FC48;XB01</t>
  </si>
  <si>
    <t>-FC48</t>
  </si>
  <si>
    <t>230VAC UPS8</t>
  </si>
  <si>
    <t>=G01NHY01KF001-FC48&amp;EFS.001</t>
  </si>
  <si>
    <t>=G01NHY01KF001-FC49;XB01</t>
  </si>
  <si>
    <t>-FC49</t>
  </si>
  <si>
    <t>230VAC UPS9</t>
  </si>
  <si>
    <t>=G01NHY01KF001-FC49&amp;EFS.001</t>
  </si>
  <si>
    <t>=G01NHY01KF001-FC50;XB01</t>
  </si>
  <si>
    <t>-FC50</t>
  </si>
  <si>
    <t>230VAC UPS10</t>
  </si>
  <si>
    <t>=G01NHY01KF001-FC50&amp;EFS.001</t>
  </si>
  <si>
    <t>=G01NHY01KF001-FC51;XB01</t>
  </si>
  <si>
    <t>-FC51</t>
  </si>
  <si>
    <t>230VAC UPS11</t>
  </si>
  <si>
    <t>=G01NHY01KF001-FC51&amp;EFS.001</t>
  </si>
  <si>
    <t>=G01NHY01KF001-FC52;XB01</t>
  </si>
  <si>
    <t>-FC52</t>
  </si>
  <si>
    <t>230VAC UPS12</t>
  </si>
  <si>
    <t>=G01NHY01KF001-FC52&amp;EFS.001</t>
  </si>
  <si>
    <t>=G01NHY01KF001-FC53;XB01</t>
  </si>
  <si>
    <t>-FC53</t>
  </si>
  <si>
    <t>230VAC UPS13</t>
  </si>
  <si>
    <t>=G01NHY01KF001-FC53&amp;EFS.001</t>
  </si>
  <si>
    <t>=G01NHY01KF001-QA11;XB01</t>
  </si>
  <si>
    <t>=G01NHY01KF001-QA11&amp;EFS.001</t>
  </si>
  <si>
    <t>=G01NHY01KF001-QA12;XB01</t>
  </si>
  <si>
    <t>=G01NHY01KF001-QA12&amp;EFS.001</t>
  </si>
  <si>
    <t>=G01NHY01KF001-QA13;XB01</t>
  </si>
  <si>
    <t>=G01NHY01KF001-QA13&amp;EFS.001</t>
  </si>
  <si>
    <t>=G01NHY01KF001-QA14;XB01</t>
  </si>
  <si>
    <t>=G01NHY01KF001-QA14&amp;EFS.001</t>
  </si>
  <si>
    <t>=G01NHY01KF001-SF01;XW02</t>
  </si>
  <si>
    <t>Emergency Stop - Pushbutton - Cabinet I&amp;C Electrolysis Array</t>
  </si>
  <si>
    <t>=G01NHY01KF001-SF01&amp;EFS.001</t>
  </si>
  <si>
    <t>=G01NHY01KF001-SF01;XW01</t>
  </si>
  <si>
    <t>=G01NHY01KF001-TB01;XB01</t>
  </si>
  <si>
    <t>=G01NHY01KF001-TB01&amp;EFS.001</t>
  </si>
  <si>
    <t>=G01NHY01KF001-TB02;XB01</t>
  </si>
  <si>
    <t>=G01NHY01KF001-TB02&amp;EFS.001</t>
  </si>
  <si>
    <t>=K01CCA01UH001</t>
  </si>
  <si>
    <t>=K01CCA01UH001-BA22;XU01</t>
  </si>
  <si>
    <t>=K</t>
  </si>
  <si>
    <t>Plant Control System</t>
  </si>
  <si>
    <t>Plant Control System 1</t>
  </si>
  <si>
    <t>CCA</t>
  </si>
  <si>
    <t>Automation System</t>
  </si>
  <si>
    <t>UH</t>
  </si>
  <si>
    <t>Automation Cabinet</t>
  </si>
  <si>
    <t>CTRL</t>
  </si>
  <si>
    <t>Autom</t>
  </si>
  <si>
    <t>Cab1</t>
  </si>
  <si>
    <t>E</t>
  </si>
  <si>
    <t>=K01CCA01UH001+U012UBB01UH001-DIa</t>
  </si>
  <si>
    <t>DIa, 6 digital inputs (1p)</t>
  </si>
  <si>
    <t>=K01CCA01UH001-BA22&amp;EFS.001</t>
  </si>
  <si>
    <t>=K01CCA01UH001-BA41;XU01</t>
  </si>
  <si>
    <t>=K01CCA01UH001-BA41&amp;EFS.001</t>
  </si>
  <si>
    <t>=K01CCA01UH001-FC01;XU01</t>
  </si>
  <si>
    <t>Group Fault Alarm 24VDC Selectivity  module</t>
  </si>
  <si>
    <t>=K01CCA01UH001-FC01&amp;EFS.001</t>
  </si>
  <si>
    <t>=K01CCA01UH001-TB01;XU01</t>
  </si>
  <si>
    <t>=K01CCA01UH001-TB01&amp;EFS.001</t>
  </si>
  <si>
    <t>=K01CCA01UH001-TF01;XU01</t>
  </si>
  <si>
    <t>Group Fault Alarm LAN</t>
  </si>
  <si>
    <t>=K01CCA01UH001-TF01&amp;EFS.001</t>
  </si>
  <si>
    <t>=K01CSY01UH001</t>
  </si>
  <si>
    <t>=K01CSY01UH001-BA11;XB01</t>
  </si>
  <si>
    <t>CSY</t>
  </si>
  <si>
    <t>PLNT</t>
  </si>
  <si>
    <t>=K01CSY01UH001+U012UBB01UH002-KF01</t>
  </si>
  <si>
    <t>=K01CSY01UH001-BA11&amp;EFS.001</t>
  </si>
  <si>
    <t>=K01CSY01UH001-BA21;XB01</t>
  </si>
  <si>
    <t>=K01CSY01UH001-BA21&amp;EFS.001</t>
  </si>
  <si>
    <t>=K01CSY01UH001-BA41;XB01</t>
  </si>
  <si>
    <t>=K01CSY01UH001+U012UBB01UH002-KF02</t>
  </si>
  <si>
    <t>=K01CSY01UH001-BA41&amp;EFS.001</t>
  </si>
  <si>
    <t>=K01CSY01UH001-FC01;XB01</t>
  </si>
  <si>
    <t>=K01CSY01UH001+U012UBB01UH002-KF03</t>
  </si>
  <si>
    <t>=K01CSY01UH001-FC01&amp;EFS.001</t>
  </si>
  <si>
    <t>=K01CSY01UH001-FC02;XB01</t>
  </si>
  <si>
    <t>=K01CSY01UH001-FC02&amp;EFS.001</t>
  </si>
  <si>
    <t>=K01CSY01UH001-FC03;XB01</t>
  </si>
  <si>
    <t>=K01CSY01UH001-FC03&amp;EFS.001</t>
  </si>
  <si>
    <t>=K01CSY01UH001-FC11;XB01</t>
  </si>
  <si>
    <t>=K01CSY01UH001-FC11&amp;EFS.001</t>
  </si>
  <si>
    <t>=K01CSY01UH001-FC21;XB01</t>
  </si>
  <si>
    <t>=K01CSY01UH001-FC21&amp;EFS.001</t>
  </si>
  <si>
    <t>=K01CSY01UH001-FC22;XB01</t>
  </si>
  <si>
    <t>=K01CSY01UH001-FC22&amp;EFS.001</t>
  </si>
  <si>
    <t>=K01CSY01UH001-FC23;XB01</t>
  </si>
  <si>
    <t>=K01CSY01UH001-FC23&amp;EFS.001</t>
  </si>
  <si>
    <t>=K01CSY01UH001-FC24;XB01</t>
  </si>
  <si>
    <t>=K01CSY01UH001-FC24&amp;EFS.001</t>
  </si>
  <si>
    <t>=K01CSY01UH001-FC25;XB01</t>
  </si>
  <si>
    <t>=K01CSY01UH001-FC25&amp;EFS.001</t>
  </si>
  <si>
    <t>=K01CSY01UH001-FC26;XB01</t>
  </si>
  <si>
    <t>=K01CSY01UH001-FC26&amp;EFS.001</t>
  </si>
  <si>
    <t>=K01CSY01UH001-FC27;XB01</t>
  </si>
  <si>
    <t>=K01CSY01UH001-FC27&amp;EFS.001</t>
  </si>
  <si>
    <t>=K01CSY01UH001-FC28;XB01</t>
  </si>
  <si>
    <t>=K01CSY01UH001-FC28&amp;EFS.001</t>
  </si>
  <si>
    <t>=K01CSY01UH001-FC29;XB01</t>
  </si>
  <si>
    <t>=K01CSY01UH001-FC29&amp;EFS.001</t>
  </si>
  <si>
    <t>=K01CSY01UH001-FC30;XB01</t>
  </si>
  <si>
    <t>=K01CSY01UH001-FC30&amp;EFS.001</t>
  </si>
  <si>
    <t>=K01CSY01UH001-FC31;XB01</t>
  </si>
  <si>
    <t>=K01CSY01UH001-FC31&amp;EFS.001</t>
  </si>
  <si>
    <t>=K01CSY01UH001-FC32;XB01</t>
  </si>
  <si>
    <t>-FC32</t>
  </si>
  <si>
    <t>230VAC12</t>
  </si>
  <si>
    <t>=K01CSY01UH001-FC32&amp;EFS.001</t>
  </si>
  <si>
    <t>=K01CSY01UH001-FC33;XB01</t>
  </si>
  <si>
    <t>-FC33</t>
  </si>
  <si>
    <t>230VAC13</t>
  </si>
  <si>
    <t>=K01CSY01UH001-FC33&amp;EFS.001</t>
  </si>
  <si>
    <t>=K01CSY01UH001-FC34;XB01</t>
  </si>
  <si>
    <t>-FC34</t>
  </si>
  <si>
    <t>230VAC14</t>
  </si>
  <si>
    <t>=K01CSY01UH001-FC34&amp;EFS.001</t>
  </si>
  <si>
    <t>=K01CSY01UH001-FC35;XB01</t>
  </si>
  <si>
    <t>-FC35</t>
  </si>
  <si>
    <t>230VAC15</t>
  </si>
  <si>
    <t>=K01CSY01UH001-FC35&amp;EFS.001</t>
  </si>
  <si>
    <t>=K01CSY01UH001-FC36;XB01</t>
  </si>
  <si>
    <t>-FC36</t>
  </si>
  <si>
    <t>230VAC16</t>
  </si>
  <si>
    <t>=K01CSY01UH001-FC36&amp;EFS.001</t>
  </si>
  <si>
    <t>=K01CSY01UH001-FC37;XB01</t>
  </si>
  <si>
    <t>-FC37</t>
  </si>
  <si>
    <t>230VAC17</t>
  </si>
  <si>
    <t>=K01CSY01UH001-FC37&amp;EFS.001</t>
  </si>
  <si>
    <t>=K01CSY01UH001-FC38;XB01</t>
  </si>
  <si>
    <t>-FC38</t>
  </si>
  <si>
    <t>230VAC18</t>
  </si>
  <si>
    <t>=K01CSY01UH001-FC38&amp;EFS.001</t>
  </si>
  <si>
    <t>=K01CSY01UH001-FC39;XB01</t>
  </si>
  <si>
    <t>-FC39</t>
  </si>
  <si>
    <t>230VAC19</t>
  </si>
  <si>
    <t>=K01CSY01UH001-FC39&amp;EFS.001</t>
  </si>
  <si>
    <t>=K01CSY01UH001-FC40;XB01</t>
  </si>
  <si>
    <t>-FC40</t>
  </si>
  <si>
    <t>230VAC20</t>
  </si>
  <si>
    <t>=K01CSY01UH001-FC40&amp;EFS.001</t>
  </si>
  <si>
    <t>=K01CSY01UH001-FC41;XB01</t>
  </si>
  <si>
    <t>=K01CSY01UH001-FC41&amp;EFS.001</t>
  </si>
  <si>
    <t>=K01CSY01UH001-FC42;XB01</t>
  </si>
  <si>
    <t>=K01CSY01UH001-FC42&amp;EFS.001</t>
  </si>
  <si>
    <t>=K01CSY01UH001-FC43;XB01</t>
  </si>
  <si>
    <t>=K01CSY01UH001-FC43&amp;EFS.001</t>
  </si>
  <si>
    <t>=K01CSY01UH001-FC44;XB01</t>
  </si>
  <si>
    <t>=K01CSY01UH001-FC44&amp;EFS.001</t>
  </si>
  <si>
    <t>=K01CSY01UH001-FC45;XB01</t>
  </si>
  <si>
    <t>=K01CSY01UH001-FC45&amp;EFS.001</t>
  </si>
  <si>
    <t>=K01CSY01UH001-QA11;XB01</t>
  </si>
  <si>
    <t>=K01CSY01UH001-QA11&amp;EFS.001</t>
  </si>
  <si>
    <t>=K01CSY01UH001-QA12;XB01</t>
  </si>
  <si>
    <t>=K01CSY01UH001-QA12&amp;EFS.001</t>
  </si>
  <si>
    <t>=K01CSY01UH001-QA13;XB01</t>
  </si>
  <si>
    <t>=K01CSY01UH001-QA13&amp;EFS.001</t>
  </si>
  <si>
    <t>=K01CSY01UH001-QA14;XB01</t>
  </si>
  <si>
    <t>=K01CSY01UH001-QA14&amp;EFS.001</t>
  </si>
  <si>
    <t>=K01CSY01UH001-SF01;XW02</t>
  </si>
  <si>
    <t>=K01CSY01UH001-SF01&amp;EFS.001</t>
  </si>
  <si>
    <t>=K01CSY01UH001-SF01;XW01</t>
  </si>
  <si>
    <t>=K01CSY01UH001-TB01;XB01</t>
  </si>
  <si>
    <t>=K01CSY01UH001-TB01&amp;EFS.001</t>
  </si>
  <si>
    <t>=K01CSY01UH001-TB02;XB01</t>
  </si>
  <si>
    <t>=K01CSY01UH001-TB02&amp;EFS.001</t>
  </si>
  <si>
    <t>=T01BBA01QA001</t>
  </si>
  <si>
    <t>=T01BBA01QA001-QA01;XJ01</t>
  </si>
  <si>
    <t>=T</t>
  </si>
  <si>
    <t>Electrical Power Supply System</t>
  </si>
  <si>
    <t>System 1</t>
  </si>
  <si>
    <t>BBA</t>
  </si>
  <si>
    <t>MV Supply System - 20kV</t>
  </si>
  <si>
    <t>QA</t>
  </si>
  <si>
    <t>MV Distribution</t>
  </si>
  <si>
    <t>MV Distribution Unit - Array 1</t>
  </si>
  <si>
    <t>Power circuit-breaker, 3-pole</t>
  </si>
  <si>
    <t>Ready to switch on</t>
  </si>
  <si>
    <t>El Pow Sup</t>
  </si>
  <si>
    <t>MV</t>
  </si>
  <si>
    <t>MV DIST1</t>
  </si>
  <si>
    <t>-XG10</t>
  </si>
  <si>
    <t>GH</t>
  </si>
  <si>
    <t>=T01BBA01QA001-QA01&amp;EFS.002</t>
  </si>
  <si>
    <t>=T01BBA01QA001-QA01;XB01</t>
  </si>
  <si>
    <t>=T01BBA01QA001-QA01;XB02</t>
  </si>
  <si>
    <t>=V01NHC20CM001-BL04;XH01</t>
  </si>
  <si>
    <t>-BL04</t>
  </si>
  <si>
    <t>10761; Vibr. level det., comp. syst.</t>
  </si>
  <si>
    <t>XH01</t>
  </si>
  <si>
    <t>Limit value &gt;max 1</t>
  </si>
  <si>
    <t>Lvl4</t>
  </si>
  <si>
    <t>AL MAX 1</t>
  </si>
  <si>
    <t>=V01NHC20CM001-BL05;XH01</t>
  </si>
  <si>
    <t>-BL05</t>
  </si>
  <si>
    <t>Lvl5</t>
  </si>
  <si>
    <t>=V01NHC30WP001-QM02;XB01</t>
  </si>
  <si>
    <t>-QM02</t>
  </si>
  <si>
    <t>2-way shut-off valve (general)</t>
  </si>
  <si>
    <t>SV2</t>
  </si>
  <si>
    <t>=V01NHC30WP001-QM02;XB02</t>
  </si>
  <si>
    <t>=V01NHC30WP001-QM03;XB01</t>
  </si>
  <si>
    <t>-QM03</t>
  </si>
  <si>
    <t>SV3</t>
  </si>
  <si>
    <t>=V01NHC30WP001-QM03;XB02</t>
  </si>
  <si>
    <t>=V01NHC30WP001-QM06;XB01</t>
  </si>
  <si>
    <t>-QM06</t>
  </si>
  <si>
    <t>Butterfly valve (gen.)</t>
  </si>
  <si>
    <t>SV6</t>
  </si>
  <si>
    <t>=V01NHC30WP001-QM06;XB02</t>
  </si>
  <si>
    <t>=V01NHC30WP002</t>
  </si>
  <si>
    <t>=V01NHC30WP002-QM01;XB01</t>
  </si>
  <si>
    <t>Compressor Pipe System Outlet Line</t>
  </si>
  <si>
    <t>=V01NHC30WP002-QM01;XB02</t>
  </si>
  <si>
    <t>=V01NHC31WP001-QM01;XB01</t>
  </si>
  <si>
    <t>=V01NHC31WP001-QM01;XB02</t>
  </si>
  <si>
    <t>=V01NHC31WP001-QM02;XB01</t>
  </si>
  <si>
    <t>=V01NHC31WP001-QM02;XB02</t>
  </si>
  <si>
    <t>=V01NHC31WP001-QM03;XB01</t>
  </si>
  <si>
    <t>=V01NHC31WP001-QM03;XB02</t>
  </si>
  <si>
    <t>=V01NHC60BZ001-QM01;XB01</t>
  </si>
  <si>
    <t>=V01NHC60BZ001-QM01;XB02</t>
  </si>
  <si>
    <t>=V01NHC60BZ001-QM02;XB01</t>
  </si>
  <si>
    <t>=V01NHC60BZ001-QM02;XB02</t>
  </si>
  <si>
    <t>=V01NHC60BZ001-QM03;XB01</t>
  </si>
  <si>
    <t>=V01NHC60BZ001-QM03;XB02</t>
  </si>
  <si>
    <t>=V01NHC61BZ001-QM01;XB01</t>
  </si>
  <si>
    <t>=V01NHC61BZ001-QM01;XB02</t>
  </si>
  <si>
    <t>=V01NHC61BZ001-QM02;XB01</t>
  </si>
  <si>
    <t>=V01NHC61BZ001-QM02;XB02</t>
  </si>
  <si>
    <t>=V01NHC61BZ001-QM03;XB01</t>
  </si>
  <si>
    <t>=V01NHC61BZ001-QM03;XB02</t>
  </si>
  <si>
    <t>=A01GCF01GP001-GP01;YB21</t>
  </si>
  <si>
    <t>Demin Water Supply Pump 1</t>
  </si>
  <si>
    <t>YB21</t>
  </si>
  <si>
    <t>Automatic command ON/OPEN</t>
  </si>
  <si>
    <t>AUT CMD ON/OPN</t>
  </si>
  <si>
    <t>NC</t>
  </si>
  <si>
    <t>=A01GCF01GP001-GP02;YB21</t>
  </si>
  <si>
    <t>Demin Water Supply Pump 2</t>
  </si>
  <si>
    <t>=A01PAD01GP001-GP01;YB11</t>
  </si>
  <si>
    <t>Cooling Water Return Pump 1</t>
  </si>
  <si>
    <t>=A01PAD01GP001-GP02;YB11</t>
  </si>
  <si>
    <t>Cooling Water Return Pump 2</t>
  </si>
  <si>
    <t>=A01QJB01WP003-QM11;YB11</t>
  </si>
  <si>
    <t>=A01QJB01WP003-QM60;YB11</t>
  </si>
  <si>
    <t>=G01NHA01EQ001-GP01;YB11</t>
  </si>
  <si>
    <t>=G01NHA01KF001+U012UBB01UC001-KF06</t>
  </si>
  <si>
    <t>=G01NHA01EQ001-GP02;YB11</t>
  </si>
  <si>
    <t>-QA02</t>
  </si>
  <si>
    <t>=G01NHA01QZ001-QB01;YB11</t>
  </si>
  <si>
    <t>6ES7 326-2BF10-0AB0, SM 326, 10DO, DC 24V, 2A PP, failsafe</t>
  </si>
  <si>
    <t>XG01:001</t>
  </si>
  <si>
    <t>=G01NHA01QZ001-QB01&amp;EFS.003</t>
  </si>
  <si>
    <t>=G01NHA01QZ001-QB01;YB12</t>
  </si>
  <si>
    <t>YB12</t>
  </si>
  <si>
    <t>CMD OFF/CL</t>
  </si>
  <si>
    <t>XG01:002</t>
  </si>
  <si>
    <t>3</t>
  </si>
  <si>
    <t>=G01NHA01QZ001-QB02;YB11</t>
  </si>
  <si>
    <t>=G01NHA01QZ001-QB02&amp;EFS.004</t>
  </si>
  <si>
    <t>=G01NHA01QZ001-QB02;YB12</t>
  </si>
  <si>
    <t>B10:YB12</t>
  </si>
  <si>
    <t>=G01NHA01QZ002-QB01;YB11</t>
  </si>
  <si>
    <t>=G01NHA01QZ002-QB01&amp;EFS.003</t>
  </si>
  <si>
    <t>=G01NHA01QZ002-QB01;YB12</t>
  </si>
  <si>
    <t>=G01NHA01QZ002-QB02;YB11</t>
  </si>
  <si>
    <t>=G01NHA01QZ002-QB02&amp;EFS.004</t>
  </si>
  <si>
    <t>=G01NHA01QZ002-QB02;YB12</t>
  </si>
  <si>
    <t>=G01NHA01QZ003-QB01;YB11</t>
  </si>
  <si>
    <t>YB11B</t>
  </si>
  <si>
    <t>=G01NHA01QZ003-QB01&amp;EFS.003</t>
  </si>
  <si>
    <t>=G01NHA01QZ003-QB01;YB12</t>
  </si>
  <si>
    <t>=G01NHA01QZ003-QB02;YB11</t>
  </si>
  <si>
    <t>=G01NHA01QZ003-QB02&amp;EFS.004</t>
  </si>
  <si>
    <t>=G01NHA01QZ003-QB02;YB12</t>
  </si>
  <si>
    <t>=G01NHA01QZ004-QB01;YB11</t>
  </si>
  <si>
    <t>=G01NHA01QZ004-QB01&amp;EFS.003</t>
  </si>
  <si>
    <t>=G01NHA01QZ004-QB01;YB12</t>
  </si>
  <si>
    <t>=G01NHA01QZ004-QB02;YB11</t>
  </si>
  <si>
    <t>=G01NHA01QZ004-QB02&amp;EFS.004</t>
  </si>
  <si>
    <t>=G01NHA01QZ004-QB02;YB12</t>
  </si>
  <si>
    <t>=G01NHA01RA001-KF01;YB11</t>
  </si>
  <si>
    <t>=G01NHA01RA001-KF01&amp;EFS.003</t>
  </si>
  <si>
    <t>=G01NHA01RA002-KF01;YB11</t>
  </si>
  <si>
    <t>=G01NHA01RA002-KF01&amp;EFS.003</t>
  </si>
  <si>
    <t>=G01NHA01RA003-KF01;YB11</t>
  </si>
  <si>
    <t>=G01NHA01KF002+U012UBB01UC002-KF05</t>
  </si>
  <si>
    <t>=G01NHA01RA003-KF01&amp;EFS.003</t>
  </si>
  <si>
    <t>=G01NHA01RA004-KF01;YB11</t>
  </si>
  <si>
    <t>=G01NHA01RA004-KF01&amp;EFS.003</t>
  </si>
  <si>
    <t>=G01NHA01TA001-GP01;YB11</t>
  </si>
  <si>
    <t>=G01NHA01TA001-QA01;YB11</t>
  </si>
  <si>
    <t>Manuel command LOWER</t>
  </si>
  <si>
    <t>=G01NHA01TA001-QA01;YB12</t>
  </si>
  <si>
    <t>Manuel command HIGHER</t>
  </si>
  <si>
    <t>-KF02</t>
  </si>
  <si>
    <t>=G01NHA01TB001-GQ01;YB11</t>
  </si>
  <si>
    <t>=G01NHA01TB001-KF01;YW01</t>
  </si>
  <si>
    <t>YW01</t>
  </si>
  <si>
    <t>AL/PROT1</t>
  </si>
  <si>
    <t>YZ</t>
  </si>
  <si>
    <t>B10:YW01</t>
  </si>
  <si>
    <t>=G01NHA01TB002-GQ01;YB11</t>
  </si>
  <si>
    <t>=G01NHA01TB002-KF01;YW01</t>
  </si>
  <si>
    <t>=G01NHA01TB003-GQ01;YB11</t>
  </si>
  <si>
    <t>=G01NHA01TB003-KF01;YW01</t>
  </si>
  <si>
    <t>=G01NHA01TB004-GQ01;YB11</t>
  </si>
  <si>
    <t>=G01NHA01TB004-KF01;YW01</t>
  </si>
  <si>
    <t>=G01NHA01TB011-KF11;YB32</t>
  </si>
  <si>
    <t>Protection Command OFF/CLOSE</t>
  </si>
  <si>
    <t>PROT CMD OFF/CLD</t>
  </si>
  <si>
    <t>YSC</t>
  </si>
  <si>
    <t>XG03:1</t>
  </si>
  <si>
    <t>=G01NHA01TB011-KF11&amp;EFS.001</t>
  </si>
  <si>
    <t>=G01NHA01TB011-KF12;YB32</t>
  </si>
  <si>
    <t>XG03:9</t>
  </si>
  <si>
    <t>9B</t>
  </si>
  <si>
    <t>=G01NHA01TB011-KF12&amp;EFS.001</t>
  </si>
  <si>
    <t>=G01NHA01TB011-QA03;YB32</t>
  </si>
  <si>
    <t>XG03:5</t>
  </si>
  <si>
    <t>=G01NHA01TB011-QA03&amp;EFS.001</t>
  </si>
  <si>
    <t>=G01NHA01TB011-QA04;YB32</t>
  </si>
  <si>
    <t>XG03:13</t>
  </si>
  <si>
    <t>13B</t>
  </si>
  <si>
    <t>=G01NHA01TB011-QA04&amp;EFS.001</t>
  </si>
  <si>
    <t>=G01NHA01TB012-KF11;YB32</t>
  </si>
  <si>
    <t>=G01NHA01TB012-KF11&amp;EFS.001</t>
  </si>
  <si>
    <t>=G01NHA01TB012-KF12;YB32</t>
  </si>
  <si>
    <t>=G01NHA01TB012-KF12&amp;EFS.001</t>
  </si>
  <si>
    <t>=G01NHA01TB012-QA03;YB32</t>
  </si>
  <si>
    <t>=G01NHA01TB012-QA03&amp;EFS.001</t>
  </si>
  <si>
    <t>=G01NHA01TB012-QA04;YB32</t>
  </si>
  <si>
    <t>=G01NHA01TB012-QA04&amp;EFS.001</t>
  </si>
  <si>
    <t>=G01NHB01KF001-BA01;YS10</t>
  </si>
  <si>
    <t>YS10</t>
  </si>
  <si>
    <t>Command - Channel adress transfer</t>
  </si>
  <si>
    <t>CHAN TRF</t>
  </si>
  <si>
    <t>=G01NHB01KF001+U012UNA01UH112-KF01</t>
  </si>
  <si>
    <t>6ES7 132-6BF00-0BA0, DQ 8X24VDC/0,5A ST</t>
  </si>
  <si>
    <t>=G01NHB01KF001&amp;EFS.051</t>
  </si>
  <si>
    <t>=G01NHB01KF001-BA01;YS11</t>
  </si>
  <si>
    <t>YS11</t>
  </si>
  <si>
    <t>Command - Channel adress active</t>
  </si>
  <si>
    <t>CHAN ADR</t>
  </si>
  <si>
    <t>=G01NHB01KF001-BA01;YS01</t>
  </si>
  <si>
    <t>YS01</t>
  </si>
  <si>
    <t>Command - Channel adress Bit 1</t>
  </si>
  <si>
    <t>CHAN BIT1</t>
  </si>
  <si>
    <t>=G01NHB01KF001-BA01;YS02</t>
  </si>
  <si>
    <t>YS02</t>
  </si>
  <si>
    <t>Command - Channel adress Bit 2</t>
  </si>
  <si>
    <t>CHAN BIT2</t>
  </si>
  <si>
    <t>=G01NHB01KF001-BA01;YS03</t>
  </si>
  <si>
    <t>YS03</t>
  </si>
  <si>
    <t>Command - Channel adress Bit 3</t>
  </si>
  <si>
    <t>CHAN BIT3</t>
  </si>
  <si>
    <t>=G01NHB01KF001&amp;EFS.052</t>
  </si>
  <si>
    <t>=G01NHB01KF001-BA01;YS04</t>
  </si>
  <si>
    <t>YS04</t>
  </si>
  <si>
    <t>Command - Channel adress Bit 4</t>
  </si>
  <si>
    <t>CHAN BIT4</t>
  </si>
  <si>
    <t>=G01NHB01KF001-BA01;YS05</t>
  </si>
  <si>
    <t>YS05</t>
  </si>
  <si>
    <t>Command - Channel adress Bit 5</t>
  </si>
  <si>
    <t>CHAN BIT5</t>
  </si>
  <si>
    <t>=G01NHB01KF001-BA01;YS06</t>
  </si>
  <si>
    <t>YS06</t>
  </si>
  <si>
    <t>Command - Channel adress Bit 6</t>
  </si>
  <si>
    <t>CHAN BIT6</t>
  </si>
  <si>
    <t>=G01NHB02KF001-BA01;YS10</t>
  </si>
  <si>
    <t>=G01NHB02KF001+U012UNA01UH122-KF01</t>
  </si>
  <si>
    <t>=G01NHB02KF001&amp;EFS.052</t>
  </si>
  <si>
    <t>=G01NHB02KF001-BA01;YS11</t>
  </si>
  <si>
    <t>=G01NHB02KF001-BA01;YS01</t>
  </si>
  <si>
    <t>=G01NHB02KF001&amp;EFS.051</t>
  </si>
  <si>
    <t>=G01NHB02KF001-BA01;YS02</t>
  </si>
  <si>
    <t>=G01NHB02KF001-BA01;YS03</t>
  </si>
  <si>
    <t>=G01NHB02KF001-BA01;YS04</t>
  </si>
  <si>
    <t>=G01NHB02KF001-BA01;YS05</t>
  </si>
  <si>
    <t>=G01NHB02KF001-BA01;YS06</t>
  </si>
  <si>
    <t>=G01NHB03KF001-BA01;YS10</t>
  </si>
  <si>
    <t>=G01NHB03KF001+U012UNA01UH132-KF01</t>
  </si>
  <si>
    <t>=G01NHB03KF001&amp;EFS.052</t>
  </si>
  <si>
    <t>=G01NHB03KF001-BA01;YS11</t>
  </si>
  <si>
    <t>=G01NHB03KF001-BA01;YS01</t>
  </si>
  <si>
    <t>=G01NHB03KF001&amp;EFS.051</t>
  </si>
  <si>
    <t>=G01NHB03KF001-BA01;YS02</t>
  </si>
  <si>
    <t>=G01NHB03KF001-BA01;YS03</t>
  </si>
  <si>
    <t>=G01NHB03KF001-BA01;YS04</t>
  </si>
  <si>
    <t>=G01NHB03KF001-BA01;YS05</t>
  </si>
  <si>
    <t>=G01NHB03KF001-BA01;YS06</t>
  </si>
  <si>
    <t>=G01NHB04KF001-BA01;YS10</t>
  </si>
  <si>
    <t>=G01NHB04KF001+U012UNA01UH142-KF01</t>
  </si>
  <si>
    <t>=G01NHB04KF001&amp;EFS.052</t>
  </si>
  <si>
    <t>=G01NHB04KF001-BA01;YS11</t>
  </si>
  <si>
    <t>=G01NHB04KF001-BA01;YS01</t>
  </si>
  <si>
    <t>=G01NHB04KF001&amp;EFS.051</t>
  </si>
  <si>
    <t>=G01NHB04KF001-BA01;YS02</t>
  </si>
  <si>
    <t>=G01NHB04KF001-BA01;YS03</t>
  </si>
  <si>
    <t>=G01NHB04KF001-BA01;YS04</t>
  </si>
  <si>
    <t>=G01NHB04KF001-BA01;YS05</t>
  </si>
  <si>
    <t>=G01NHB04KF001-BA01;YS06</t>
  </si>
  <si>
    <t>=G01NHB05KF001-BA01;YS10</t>
  </si>
  <si>
    <t>=G01NHB05KF001+U012UNA01UH152-KF01</t>
  </si>
  <si>
    <t>=G01NHB05KF001&amp;EFS.052</t>
  </si>
  <si>
    <t>=G01NHB05KF001-BA01;YS11</t>
  </si>
  <si>
    <t>=G01NHB05KF001-BA01;YS01</t>
  </si>
  <si>
    <t>=G01NHB05KF001&amp;EFS.051</t>
  </si>
  <si>
    <t>=G01NHB05KF001-BA01;YS02</t>
  </si>
  <si>
    <t>=G01NHB05KF001-BA01;YS03</t>
  </si>
  <si>
    <t>=G01NHB05KF001-BA01;YS04</t>
  </si>
  <si>
    <t>=G01NHB05KF001-BA01;YS05</t>
  </si>
  <si>
    <t>=G01NHB05KF001-BA01;YS06</t>
  </si>
  <si>
    <t>=G01NHB06KF001-BA01;YS10</t>
  </si>
  <si>
    <t>=G01NHB06KF001+U012UNA01UH162-KF01</t>
  </si>
  <si>
    <t>=G01NHB06KF001&amp;EFS.052</t>
  </si>
  <si>
    <t>=G01NHB06KF001-BA01;YS11</t>
  </si>
  <si>
    <t>=G01NHB06KF001-BA01;YS01</t>
  </si>
  <si>
    <t>=G01NHB06KF001&amp;EFS.051</t>
  </si>
  <si>
    <t>=G01NHB06KF001-BA01;YS02</t>
  </si>
  <si>
    <t>=G01NHB06KF001-BA01;YS03</t>
  </si>
  <si>
    <t>=G01NHB06KF001-BA01;YS04</t>
  </si>
  <si>
    <t>=G01NHB06KF001-BA01;YS05</t>
  </si>
  <si>
    <t>=G01NHB06KF001-BA01;YS06</t>
  </si>
  <si>
    <t>=G01NHE01BQ001-QM12;XB02</t>
  </si>
  <si>
    <t>XG02:16</t>
  </si>
  <si>
    <t>16d</t>
  </si>
  <si>
    <t>=G01NHE01BQ001-QM12;YB11</t>
  </si>
  <si>
    <t>=G01NHY01KF001+U012UNA01UH100-KF010</t>
  </si>
  <si>
    <t>=G01NHE01BQ001-QM12&amp;EFS.001</t>
  </si>
  <si>
    <t>=G01NHE01BQ001-QM13;XB01</t>
  </si>
  <si>
    <t>=G01NHE01BQ001-QM13&amp;EFS.002</t>
  </si>
  <si>
    <t>=G01NHE01BQ001-QM13;XB02</t>
  </si>
  <si>
    <t>XG02:17</t>
  </si>
  <si>
    <t>=G01NHE01BQ001-QM13;YB11</t>
  </si>
  <si>
    <t>=G01NHE01BQ001-QM13&amp;EFS.001</t>
  </si>
  <si>
    <t>=G01NHE01BQ001-QM14;XB01</t>
  </si>
  <si>
    <t>=G01NHE01BQ001-QM14&amp;EFS.002</t>
  </si>
  <si>
    <t>=G01NHE01BQ001-QM14;XB02</t>
  </si>
  <si>
    <t>XG02:18</t>
  </si>
  <si>
    <t>=G01NHE01BQ001-QM14;YB11</t>
  </si>
  <si>
    <t>=G01NHE01BQ001-QM14&amp;EFS.001</t>
  </si>
  <si>
    <t>=G01NHE01BQ001-QM15;XB01</t>
  </si>
  <si>
    <t>=G01NHE01BQ001-QM15&amp;EFS.002</t>
  </si>
  <si>
    <t>=G01NHE01BQ001-QM15;XB02</t>
  </si>
  <si>
    <t>XG02:19</t>
  </si>
  <si>
    <t>=G01NHE01BQ001-QM15;YB11</t>
  </si>
  <si>
    <t>=G01NHE01BQ001-QM15&amp;EFS.001</t>
  </si>
  <si>
    <t>=G01NHE01BQ001-QM16;XB01</t>
  </si>
  <si>
    <t>=G01NHE01BQ001-QM16&amp;EFS.002</t>
  </si>
  <si>
    <t>=G01NHC01GT001-QM01;YB12</t>
  </si>
  <si>
    <t>-QM01MB01</t>
  </si>
  <si>
    <t>=G01NHE01BQ001-QM16;XB02</t>
  </si>
  <si>
    <t>XG02:20</t>
  </si>
  <si>
    <t>=G01NHE01BQ001-QM16;YB11</t>
  </si>
  <si>
    <t>=G01NHE01BQ001-QM16&amp;EFS.001</t>
  </si>
  <si>
    <t>=G01NHE01BQ001-QM23;XB11</t>
  </si>
  <si>
    <t>=G01NHE01BQ001-QM23&amp;EFS.002</t>
  </si>
  <si>
    <t>=G01NHE01BQ001-QM24;XB01</t>
  </si>
  <si>
    <t>=G01NHE01BQ001-QM24&amp;EFS.002</t>
  </si>
  <si>
    <t>=G01NHE01BQ001-QM24;XB02</t>
  </si>
  <si>
    <t>=G01NHE01BQ001-QM24;YB11</t>
  </si>
  <si>
    <t>=G01NHE01BQ001-QM24&amp;EFS.001</t>
  </si>
  <si>
    <t>=G01NHE01BQ001-QM27;XB11</t>
  </si>
  <si>
    <t>=G01NHE01BQ001-QM27&amp;EFS.002</t>
  </si>
  <si>
    <t>=G01NHE01BQ001-QN22;XG01</t>
  </si>
  <si>
    <t>=G01NHE01BQ001-QN22&amp;EFS.001</t>
  </si>
  <si>
    <t>=G01NHE01BQ001-SF01;XB11</t>
  </si>
  <si>
    <t>=G01NHE01BQ001-SF01&amp;EFS.002</t>
  </si>
  <si>
    <t>=G01NHG01QM001-QM01;YB11</t>
  </si>
  <si>
    <t>=G01NHH01HP001-GP01;YV01</t>
  </si>
  <si>
    <t>Water Refinement Circulation Pump</t>
  </si>
  <si>
    <t>YV01</t>
  </si>
  <si>
    <t>Signal interlock</t>
  </si>
  <si>
    <t>INTLK1</t>
  </si>
  <si>
    <t>B10_1:YV01</t>
  </si>
  <si>
    <t>=G01NHH01HP001-GP01&amp;EFS.001</t>
  </si>
  <si>
    <t>=G01NHH01HP001-GP01;YB11</t>
  </si>
  <si>
    <t>XD02:1</t>
  </si>
  <si>
    <t>=G01NHX01QN001-QM11;YB12</t>
  </si>
  <si>
    <t>XG01:8</t>
  </si>
  <si>
    <t>8B</t>
  </si>
  <si>
    <t>=G01NHX01QN001-QM21;YB12</t>
  </si>
  <si>
    <t>-QM21MB01</t>
  </si>
  <si>
    <t>XG01:14</t>
  </si>
  <si>
    <t>14B</t>
  </si>
  <si>
    <t>=G01NHX01QN002-QM11;YB11</t>
  </si>
  <si>
    <t>XG01:30</t>
  </si>
  <si>
    <t>30B</t>
  </si>
  <si>
    <t>=G01NHX01QN002-QM21;YB11</t>
  </si>
  <si>
    <t>XG01:36</t>
  </si>
  <si>
    <t>36B</t>
  </si>
  <si>
    <t>=T01BBA01QA001-QA01;YW01</t>
  </si>
  <si>
    <t>YSZ</t>
  </si>
  <si>
    <t>=T01BBA01QA001-QA01&amp;EFS.004</t>
  </si>
  <si>
    <t>=T01BBA01QA001-QA01;YB11</t>
  </si>
  <si>
    <t>=T01BBA01QA001-QA01&amp;EFS.001</t>
  </si>
  <si>
    <t>=T01BBA01QA001-QA01;YB12</t>
  </si>
  <si>
    <t>=V01NHC30WP001-QM02;YB12</t>
  </si>
  <si>
    <t>=V01NHC30WP001-QM03;YB12</t>
  </si>
  <si>
    <t>=V01NHC30WP001-QM06;YB12</t>
  </si>
  <si>
    <t>=V01NHC30WP002-QM01;YB12</t>
  </si>
  <si>
    <t>=V01NHC31WP001-QM01;YB12</t>
  </si>
  <si>
    <t>=V01NHC31WP001-QM02;YB12</t>
  </si>
  <si>
    <t>=V01NHC31WP001-QM03;YB12</t>
  </si>
  <si>
    <t>=V01NHC60BZ001-QM01;YB12</t>
  </si>
  <si>
    <t>=V01NHC60BZ001-QM02;YB12</t>
  </si>
  <si>
    <t>=V01NHC60BZ001-QM03;YB12</t>
  </si>
  <si>
    <t>=V01NHC61BZ001-QM01;YB12</t>
  </si>
  <si>
    <t>=V01NHC61BZ001-QM02;YB12</t>
  </si>
  <si>
    <t>=V01NHC61BZ001-QM03;YB12</t>
  </si>
  <si>
    <t>-KZ01</t>
  </si>
  <si>
    <t>Differential Pressure Pump</t>
  </si>
  <si>
    <t>AUTOM FKT</t>
  </si>
  <si>
    <t>Software</t>
  </si>
  <si>
    <t>None</t>
  </si>
  <si>
    <t>UD</t>
  </si>
  <si>
    <t>Current transformer - U</t>
  </si>
  <si>
    <t>AC Current Measurement - Phase U</t>
  </si>
  <si>
    <t>I</t>
  </si>
  <si>
    <t>-BC02</t>
  </si>
  <si>
    <t>Current transformer - V</t>
  </si>
  <si>
    <t>AC Current Measurement - Phase V</t>
  </si>
  <si>
    <t>Curr2</t>
  </si>
  <si>
    <t>-BC03</t>
  </si>
  <si>
    <t>Current transformer - W</t>
  </si>
  <si>
    <t>AC Current Measurement - Phase W</t>
  </si>
  <si>
    <t>Curr3</t>
  </si>
  <si>
    <t>Circuit breaker tripping</t>
  </si>
  <si>
    <t>General Remarks</t>
  </si>
  <si>
    <t>Warning is without A_DC (Delay Coming) except for warning only</t>
  </si>
  <si>
    <t>Boolean type is defined to be active "1" if within range/valid/OK, thus fault/warning/alarm signals become "0" when not OK; Otherwise broken cable would remain undetected</t>
  </si>
  <si>
    <t>Detected fault of a signal shall have same effect as exceeding limit value (exceptions marked in comments of cause)</t>
  </si>
  <si>
    <t>Action defines state that shall be achieved</t>
  </si>
  <si>
    <t>Output Tag and Value are chosen based on available signals to achieve required action. E.g. on may be "not off" or "on" signal type and value</t>
  </si>
  <si>
    <t>Warning Level does not cause action and is issued immediate except A_DC/A_DG is defined without Alarm/Limit</t>
  </si>
  <si>
    <t>Alarm/Limit with A_DC/A_DG is relevant for listed action</t>
  </si>
  <si>
    <t>S* actions are not required to achieve safe state as part of SIF, but are initiated in parallel i.e. without SIL-rating, but connected via failsafe I/O</t>
  </si>
  <si>
    <t>no inertization/no purge required can only be reset automatically upon positive inertization/purge proof (sufficient purge volume and flow)</t>
  </si>
  <si>
    <t>actions with feedback not listed in safety matrix do not cause action, only warning is generated</t>
  </si>
  <si>
    <t>all mentioned hardware signals should cause an alarm on the switch/safety limit; when several signals are required together to trigger a cause (e.g. 2oo2), there must be an extra alarm message for the cause</t>
  </si>
  <si>
    <t>all actuators generate a control signal fault on control error (e.g. feedback does not match control after monitoring time)</t>
  </si>
  <si>
    <t>Maintenance Override (MOS) of SIS causes and effects is not enabled by default: exceptions are mentioned in comments and require additional safe conditions for MOS operation</t>
  </si>
  <si>
    <t>Color Coding:</t>
  </si>
  <si>
    <t>fail safe signal processing</t>
  </si>
  <si>
    <t>non-fail safe signal processing</t>
  </si>
  <si>
    <t>changed in latest revision</t>
  </si>
  <si>
    <t>Abbreviations</t>
  </si>
  <si>
    <t>?</t>
  </si>
  <si>
    <t>tbd/project specific</t>
  </si>
  <si>
    <t>alarm delay coming</t>
  </si>
  <si>
    <t>alarm delay going</t>
  </si>
  <si>
    <t>AC</t>
  </si>
  <si>
    <t>Alternating Current</t>
  </si>
  <si>
    <t>alarm</t>
  </si>
  <si>
    <t>boolean</t>
  </si>
  <si>
    <t>CB</t>
  </si>
  <si>
    <t>Circuit Breaker</t>
  </si>
  <si>
    <t>document version introducing latest change</t>
  </si>
  <si>
    <t>document classification code</t>
  </si>
  <si>
    <t>Delta</t>
  </si>
  <si>
    <t>deviation monitoring function</t>
  </si>
  <si>
    <t>Demin</t>
  </si>
  <si>
    <t>demineralized/demineralization</t>
  </si>
  <si>
    <t>diff</t>
  </si>
  <si>
    <t>difference</t>
  </si>
  <si>
    <t>discont</t>
  </si>
  <si>
    <t>discontinuously</t>
  </si>
  <si>
    <t>ESD</t>
  </si>
  <si>
    <t>emergency shutdown</t>
  </si>
  <si>
    <t>Func</t>
  </si>
  <si>
    <t>Function or fault tolerance</t>
  </si>
  <si>
    <t>H2</t>
  </si>
  <si>
    <t>Hydrogen</t>
  </si>
  <si>
    <t>HX</t>
  </si>
  <si>
    <t>heat exchanger</t>
  </si>
  <si>
    <t>Hyst</t>
  </si>
  <si>
    <t>hysteresis</t>
  </si>
  <si>
    <t>max</t>
  </si>
  <si>
    <t>maximum</t>
  </si>
  <si>
    <t>min</t>
  </si>
  <si>
    <t>minimum</t>
  </si>
  <si>
    <t>medium voltage</t>
  </si>
  <si>
    <t>N2</t>
  </si>
  <si>
    <t>Nitrogen</t>
  </si>
  <si>
    <t>O2</t>
  </si>
  <si>
    <t>Oxygen</t>
  </si>
  <si>
    <t>PCV</t>
  </si>
  <si>
    <t>product control valve</t>
  </si>
  <si>
    <t>identifier of operational shutoff function (if assigned)</t>
  </si>
  <si>
    <t>PolRect</t>
  </si>
  <si>
    <t>polarization rectifier</t>
  </si>
  <si>
    <t>Rect</t>
  </si>
  <si>
    <t>rectifier</t>
  </si>
  <si>
    <t>SIF</t>
  </si>
  <si>
    <t>Safety Instrumented Function</t>
  </si>
  <si>
    <t>SIL</t>
  </si>
  <si>
    <t>Safety Integrity Level</t>
  </si>
  <si>
    <t>SIS#</t>
  </si>
  <si>
    <t>Safety Instrumented System identifier of safety instrumented function (SIF) acc. to safety requirement specification (SRS)</t>
  </si>
  <si>
    <t>SLC</t>
  </si>
  <si>
    <t>subloop control</t>
  </si>
  <si>
    <t>stby</t>
  </si>
  <si>
    <t>standby</t>
  </si>
  <si>
    <t>STO</t>
  </si>
  <si>
    <t>Safe Torque Off, hardwired fast rectifier (SINAMICS DCM) OFF command for functional safety purposes</t>
  </si>
  <si>
    <t>tbd</t>
  </si>
  <si>
    <t>to be determined</t>
  </si>
  <si>
    <t>Temp</t>
  </si>
  <si>
    <t>temperature</t>
  </si>
  <si>
    <t>UPS</t>
  </si>
  <si>
    <t>uninerruptible power supply</t>
  </si>
  <si>
    <t>warning</t>
  </si>
  <si>
    <t>YooX</t>
  </si>
  <si>
    <t>Yth fault out of X signals causes action. (if X or Y is actually listed the amount: tbd/project specific)</t>
  </si>
  <si>
    <t>project specific: delete if option with redundant gas analytic pump is ordered
monitoring of pump bellow, leak/ingress will increase O2 value</t>
  </si>
  <si>
    <t>project specific: delete if option with redundant gas analytic pump is ordered
monitoring of pump bellow</t>
  </si>
  <si>
    <t>V3.1, 2024-01-18, (BM): Switch changed to transmitter, warning at 80 mbarg
V3.4_001, 2026-04-13 (FK): added comment about option</t>
  </si>
  <si>
    <t>GnyNHC01BQ001-BF20</t>
  </si>
  <si>
    <t>Flowmeter - Fast Loop Gas Sensor 1 H2</t>
  </si>
  <si>
    <t>Flowmeter - Fast Loop Gas Sensor 2 H2</t>
  </si>
  <si>
    <t>GnyNHE01BQ001-BF20</t>
  </si>
  <si>
    <t>Flowmeter - Fast Loop Gas Sensor 1 O2</t>
  </si>
  <si>
    <t>Flowmeter - Fast Loop Gas Sensor 2 O2</t>
  </si>
  <si>
    <t xml:space="preserve">V3.4_001: moved signal to "Ely Block" because the sensor is part of (central) Gas Analytics Distribution  </t>
  </si>
  <si>
    <r>
      <rPr>
        <sz val="11"/>
        <color rgb="FFFF0000"/>
        <rFont val="Calibri"/>
        <family val="2"/>
        <scheme val="minor"/>
      </rPr>
      <t>project specific: only if option with redundant gas analytic pump and cooler is ordered</t>
    </r>
    <r>
      <rPr>
        <sz val="11"/>
        <color rgb="FF0000FF"/>
        <rFont val="Calibri"/>
        <family val="2"/>
        <scheme val="minor"/>
      </rPr>
      <t xml:space="preserve">
monitoring of pump bellow, limit values should be verified during commissioning
Alarm/Warning only enabled, when Sample Gas Pump 1 H2 is running</t>
    </r>
  </si>
  <si>
    <r>
      <rPr>
        <sz val="11"/>
        <color rgb="FFFF0000"/>
        <rFont val="Calibri"/>
        <family val="2"/>
        <scheme val="minor"/>
      </rPr>
      <t>project specific: only if option with redundant gas analytic pump and cooler is ordered</t>
    </r>
    <r>
      <rPr>
        <sz val="11"/>
        <color rgb="FF0000FF"/>
        <rFont val="Calibri"/>
        <family val="2"/>
        <scheme val="minor"/>
      </rPr>
      <t xml:space="preserve">
monitoring of pump bellow, limit values should be verified during commissioning
Alarm/Warning only enabled, when Sample Gas Pump 2 H2 is running</t>
    </r>
  </si>
  <si>
    <r>
      <rPr>
        <sz val="11"/>
        <color rgb="FFFF0000"/>
        <rFont val="Calibri"/>
        <family val="2"/>
        <scheme val="minor"/>
      </rPr>
      <t>project specific: only if option with redundant gas analytic pump and cooler is ordered</t>
    </r>
    <r>
      <rPr>
        <sz val="11"/>
        <color rgb="FF0000FF"/>
        <rFont val="Calibri"/>
        <family val="2"/>
        <scheme val="minor"/>
      </rPr>
      <t xml:space="preserve">
monitoring of pump bellow, limit values should be verified during commissioning
Alarm/Warning only enabled, when Sample Gas Pump 1 O2 is running</t>
    </r>
  </si>
  <si>
    <r>
      <rPr>
        <sz val="11"/>
        <color rgb="FFFF0000"/>
        <rFont val="Calibri"/>
        <family val="2"/>
        <scheme val="minor"/>
      </rPr>
      <t>project specific: only if option with redundant gas analytic pump and cooler is ordered</t>
    </r>
    <r>
      <rPr>
        <sz val="11"/>
        <color rgb="FF0000FF"/>
        <rFont val="Calibri"/>
        <family val="2"/>
        <scheme val="minor"/>
      </rPr>
      <t xml:space="preserve">
monitoring of pump bellow, limit values should be verified during commissioning
Alarm/Warning only enabled, when Sample Gas Pump 2 O2 is running</t>
    </r>
  </si>
  <si>
    <t>L  100 l/h, project specific adjustment, 30m should cause Low Alarm at 150Nl/h
Alarm only enabled, when according Sample Gas Pump is running</t>
  </si>
  <si>
    <r>
      <t xml:space="preserve">L  100 l/h, project specific adjustment, 30m should cause Low Alarm at 150Nl/h
</t>
    </r>
    <r>
      <rPr>
        <sz val="11"/>
        <color rgb="FF0000FF"/>
        <rFont val="Calibri"/>
        <family val="2"/>
        <scheme val="minor"/>
      </rPr>
      <t>Alarm only enabled, when according Sample Gas Pump is running</t>
    </r>
  </si>
  <si>
    <t>V3.4_001: new cause for redundant Gas Analytic Pump</t>
  </si>
  <si>
    <t>V3.4_001: changed description</t>
  </si>
  <si>
    <t>V3.4_001, 2026-04-13 (FK): deleted, because signal does not exist enymore</t>
  </si>
  <si>
    <t>GnyNHC01BQ001-BF31</t>
  </si>
  <si>
    <t>Flowmeter - N2 Purge Enclosure Gas Sensor 1 H2</t>
  </si>
  <si>
    <t>V3.4_001, 2026-04-13 (FK): new cause</t>
  </si>
  <si>
    <t>GnyNHC01BQ001-BF32</t>
  </si>
  <si>
    <t>Flowmeter - N2 Purge Enclosure Gas Sensor 2 H2</t>
  </si>
  <si>
    <t>project specific: only if flowmeter signal is connected to control system</t>
  </si>
  <si>
    <r>
      <t xml:space="preserve">time needs to be adjusted to fit at least one full measurement cycle
Monitor if sequenz is working correctly and not that one SV is open for longer time and no sample switching occurs.
</t>
    </r>
    <r>
      <rPr>
        <b/>
        <sz val="11"/>
        <color rgb="FF0000FF"/>
        <rFont val="Calibri"/>
        <family val="2"/>
        <scheme val="minor"/>
      </rPr>
      <t xml:space="preserve">*MOS is only allowed, when key switch in System Control Cabinet for Protection Level is inactive (MOS is required for Safety Tests)
</t>
    </r>
  </si>
  <si>
    <r>
      <t xml:space="preserve">time needs to be adjusted to fit at least one full measurement cycle
</t>
    </r>
    <r>
      <rPr>
        <b/>
        <sz val="11"/>
        <color rgb="FF0000FF"/>
        <rFont val="Calibri"/>
        <family val="2"/>
        <scheme val="minor"/>
      </rPr>
      <t>*MOS is only allowed, when key switch in System Control Cabinet for Protection Level is inactive (MOS is required for Safety Tests)</t>
    </r>
  </si>
  <si>
    <t>22.05.2023: PolGr führt auf H2 Seite im Normalbetrieb nicht zu einer Fremdgaserhöhung
V2.0 2023-08-16: Shut down of rectifier/polrect/N2 purge only in S*
V2.0: 2023-08-31 (JS, BM): MV circuit braker deleted.
V3.2, BM, 2024-05-15: Taktung der Magnetventile von 30 s auf 60 s angehoben (Basis: Totzeitbetrachtung BASF), delay von 400 auf 640 s angehoben (FR: "Pro Modulgruppe müssen wir mit der neuen Messzeit dann mit ca. 80s im Worst case rechnen (60s Messzeit + 20s für die Ventilansteuerung (evtl. zweimal hintereinander), Abspeichern des Messwerts, Sicherheitspuffer). 
Da wir die Validierung auch berücksichtigen müssen, würde ich dann 8 x 80s = 640s rechnen. Vorher war die Rechnung 8 x 50s = 400s.")
V3.4_001, 2026-04-14: (FK+JS): added MOS with keyswitch condition</t>
  </si>
  <si>
    <t>22.05.2023: PolGr von S auf S* geändert, da bereits über N2 Spülung geschützt
V2.0 2023-08-16: Shut down of rectifier/polrect/N2 purge only in S*
V2.0: 2023-08-31 (JS, BM): MV circuit braker deleted.
V.3.0: 2024-1-5: (FR; RW): Bug fix "Delay Time for each individual signal" =&gt; analog H2 Measurement 
V3.2, BM, 2024-05-15: Taktung der Magnetventile von 30 s auf 60 s angehoben (Basis: Totzeitbetrachtung BASF), delay von 400 auf 640 s angehoben (FR: "Pro Modulgruppe müssen wir mit der neuen Messzeit dann mit ca. 80s im Worst case rechnen (60s Messzeit + 20s für die Ventilansteuerung (evtl. zweimal hintereinander), Abspeichern des Messwerts, Sicherheitspuffer). 
Da wir die Validierung auch berücksichtigen müssen, würde ich dann 8 x 80s = 640s rechnen. Vorher war die Rechnung 8 x 50s = 400s.")
V3.4_001, FK+FP, 13.01.2026: added QM17
V3.4_001, 2026-04-14: (FK+JS): added MOS with keyswitch condition</t>
  </si>
  <si>
    <r>
      <t xml:space="preserve">On fault of Protection Command Off (E-Stop) of rectifier, i.e. Feedback Off does not come within 3s after command,  activate Safe Current Off (SCO).
</t>
    </r>
    <r>
      <rPr>
        <b/>
        <sz val="10"/>
        <color rgb="FF0000FF"/>
        <rFont val="Arial"/>
        <family val="2"/>
      </rPr>
      <t>*MOS is only allowed, when key switch in System Control Cabinet for Protection Level is inactive (MOS is required for Safety Tests)</t>
    </r>
  </si>
  <si>
    <t xml:space="preserve">V3.3, FR+BM, 15.10.2024: added cause
V3.3, BM+FR+AD, 02.04.2025: Feedback changed from 0=active to 1=active; "STO" changed to "Prot. Cmd. (E-Stop)", added evaluation of SIL Current Measurement to determine whether Command Off was successful, because Feedback of Prot. Cmd is not reliable enough
V3.4_001, 2026-04-14: (FK+JS): added MOS with keyswitch condition
</t>
  </si>
  <si>
    <t>degrade</t>
  </si>
  <si>
    <t>SIF Conc. Gas Analytic H2 High 2</t>
  </si>
  <si>
    <t>SIF Conc. Gas Analytic H2 High 1</t>
  </si>
  <si>
    <t>SIF Conc. Gas Analytic O2 High</t>
  </si>
  <si>
    <t>HEAT DISSIPATION</t>
  </si>
  <si>
    <t>GnyNHP01KF201/KZ11</t>
  </si>
  <si>
    <t>Heat Dissipation System Not On</t>
  </si>
  <si>
    <t>Prevent operation of rectifiers, when isolation valves in Heat Dissipation System are not ready</t>
  </si>
  <si>
    <t>N2 System Interlocked</t>
  </si>
  <si>
    <t>=GnyNHX01KF201/KZ16</t>
  </si>
  <si>
    <t>GnyNHX01QN001-KZ10</t>
  </si>
  <si>
    <t>Operator Acknowledge - N2 Supply Blocked</t>
  </si>
  <si>
    <t>1=Blocked</t>
  </si>
  <si>
    <t>GnyNHC01GT001-KZ11</t>
  </si>
  <si>
    <t>Operator Acknowledge - H2 Blow Off Blocked</t>
  </si>
  <si>
    <t>GnyNHC01GT001-KZ10</t>
  </si>
  <si>
    <t>Operator Acknowledge - H2 Product Blocked</t>
  </si>
  <si>
    <t>H2 Product Valve</t>
  </si>
  <si>
    <t>=GnyNHC01GT001-QN01;YQ01</t>
  </si>
  <si>
    <t>When N2 Supply is blocked, all operational functions of N2 System and Rectifier System are interlocked.</t>
  </si>
  <si>
    <t>When H2 Blow Off Line is blocked, all operational functions of N2 System and Rectifier System are interlocked. Operator must acknowledge the state of the manual valves and spectacle blinds.</t>
  </si>
  <si>
    <t>When H2 Product Line is blocked, Product Gas Release of Array is interlocked.
Operator must acknowledge the state of the manual valves and spectacle blinds.</t>
  </si>
  <si>
    <t xml:space="preserve">V3.4_001, FK, 2026-04-15: cause was already added in V3.3_001 in software, but not shown in C&amp;E </t>
  </si>
  <si>
    <t xml:space="preserve">V3.4_001, FK, 2026-04-15: cause was already added in previous software versions, but not shown in C&amp;E </t>
  </si>
  <si>
    <t>locked</t>
  </si>
  <si>
    <t>V3.1, 2024-09-24 (FR): changed to 1oo1 for clarification
V3.4, 2026-04-15 (FK+RW): Flowswitch from KROHNE indicates Flow &gt; MAX with 0-signal</t>
  </si>
  <si>
    <t>V3.1, 2024-09-24 (FR): changed to 1oo1 for clarification
V3.3, 2025-04-24 (FR): enable message only when "Array -H2 Ready" for 640 s
V3.4, 2026-04-15 (FK+RW): Flowswitch from KROHNE indicates Flow &gt; MAX with 0-signal</t>
  </si>
  <si>
    <t>16.04.2026 / Implemented</t>
  </si>
  <si>
    <r>
      <t xml:space="preserve">Cooling control,
</t>
    </r>
    <r>
      <rPr>
        <b/>
        <sz val="11"/>
        <color theme="1"/>
        <rFont val="Calibri"/>
        <family val="2"/>
        <scheme val="minor"/>
      </rPr>
      <t xml:space="preserve">If GDL is changed to other type the temperature difference between in- and outlet of stack can increase. Then, limit set point must be checked and reconfirmed.
</t>
    </r>
  </si>
  <si>
    <t>20.04.2026 / Implemented</t>
  </si>
  <si>
    <t>Temperature - SG 1 - Low limit</t>
  </si>
  <si>
    <t>Temperature - SG 2 - Low limit</t>
  </si>
  <si>
    <t>Temperature - SG 3 - Low limit</t>
  </si>
  <si>
    <t>Temperature - SG 4 - Low limit</t>
  </si>
  <si>
    <t>Temperature - SG 5 - Low limit</t>
  </si>
  <si>
    <t>Temperature - SG 6 - Low limit</t>
  </si>
  <si>
    <t>Gny_TMP_SG1_LL</t>
  </si>
  <si>
    <t>Gny_TMP_SG2_LL</t>
  </si>
  <si>
    <t>Gny_TMP_SG3_LL</t>
  </si>
  <si>
    <t>Gny_TMP_SG4_LL</t>
  </si>
  <si>
    <t>Gny_TMP_SG5_LL</t>
  </si>
  <si>
    <t>Gny_TMP_SG6_LL</t>
  </si>
  <si>
    <r>
      <t xml:space="preserve">V1.3: Warning changed
V1.4: Warning not required because already implemented in operational logic (same sensor); Deoxo is not covered by this limit.
</t>
    </r>
    <r>
      <rPr>
        <strike/>
        <sz val="11"/>
        <color rgb="FF000000"/>
        <rFont val="Calibri"/>
        <family val="2"/>
        <scheme val="minor"/>
      </rPr>
      <t xml:space="preserve">22.05.2023: PolGr werden schon früher abgeschaltet um SIL Qualität für diesen Kreis erfüllen zu können
</t>
    </r>
    <r>
      <rPr>
        <sz val="11"/>
        <color rgb="FF000000"/>
        <rFont val="Calibri"/>
        <family val="2"/>
        <scheme val="minor"/>
      </rPr>
      <t>Produktgasventil von S auf S* geändert, da schon bei niedrigeren Grenzwerten geschlossen
V2.0 2023-08-11: failure in module (not likely) or slow degradation (also unlikely). More lilkely is high foreign gas concetration on O2 side. Nevertheless, rect. and polrect remain in S.
V2.0: 2023-08-31 (JS, BM): MV circuit braker deleted.
V3.1, V2.1 (FR, 01.02.2024): CMD_PRD_VLV_CLS changed from NP* to S* to keep closed after purge
V3.2, 2024-07-02, BM, JS, RW: Negations of bad signal, sensor fault and calibration mode deleted since these are covered by "S1 / S2 not ready".
V3.3, 2025-04-23, BM+FR+JS: moved trip of Refinement Pump to from CCN_GA_H2_HL1 to CCN_GA_H2_HL2, because first limit is reserved for Deoxo
V3.4_001, 20260211, BM: changed AHHHH to AHHHHH due to additional Limit on operational side for N2 purge on O2 side</t>
    </r>
  </si>
  <si>
    <r>
      <t xml:space="preserve">V1.3: Warning changed
22.05.2023: PolGr von S auf S* geändert, da bereits über N2 Spülung geschützt
</t>
    </r>
    <r>
      <rPr>
        <strike/>
        <sz val="11"/>
        <color rgb="FF000000"/>
        <rFont val="Calibri"/>
        <family val="2"/>
        <scheme val="minor"/>
      </rPr>
      <t>25.05.2023: Spülung wieder eingefügt, damit Refinement nicht abgeschaltet werden muss (Problematisch: Anstieg FG durch Refinmentbetrieb);</t>
    </r>
    <r>
      <rPr>
        <sz val="11"/>
        <color rgb="FF000000"/>
        <rFont val="Calibri"/>
        <family val="2"/>
        <scheme val="minor"/>
      </rPr>
      <t xml:space="preserve"> Produktgasventil von NP auf NP* geändert
V2.0 2023-08-16: Shut down of rectifier/polrect/N2 purge only in S*
V2.0: 2023-08-31 (JS, BM): MV circuit braker deleted.
V3.1, V2.1 (FR, 01.02.2024): CMD_PRD_VLV_CLS changed from NP* to S* to keep closed after purge
V3.2, 2024-07-01, BM, RW, JS, FR: GA not ready split up in S1 and S2. Actors (rectifier STO &amp; N2 purge deleted. instead "GA Not Ready"; Sensor drift included from operational part
V3.3, 2025-05-13, FR+RW: the limit values are dynamic and depend on the Setpoint of the Validation Gas; Sensor Drift and Setpoint are saved until new measurement of validation gas
V3.3, 2025-09-19, FR: added delay of 1s for -KZ31/KZ32 like in H2 analytics
V3.4_001, 2026-04-20, FK+JS: delay time for flow shall be on- and off-delay (required for replacement of redundant gas analytic pump during operation)</t>
    </r>
  </si>
  <si>
    <t>20.04.2026 / No change</t>
  </si>
  <si>
    <t>14.04.2026 / Implemented</t>
  </si>
  <si>
    <t>20.04.2026 / Updated typical</t>
  </si>
  <si>
    <t>20.04.2026 / Updated Typcial</t>
  </si>
  <si>
    <t>13.04.2026 / Implemented</t>
  </si>
  <si>
    <r>
      <t xml:space="preserve">Safety N2 Purge H2 Side
</t>
    </r>
    <r>
      <rPr>
        <i/>
        <sz val="10"/>
        <color rgb="FF0000FF"/>
        <rFont val="Calibri"/>
        <family val="2"/>
        <scheme val="minor"/>
      </rPr>
      <t>G01NHX01QN001-KZ01</t>
    </r>
  </si>
  <si>
    <r>
      <t xml:space="preserve">Safety N2 Purge O2 Side
</t>
    </r>
    <r>
      <rPr>
        <i/>
        <sz val="10"/>
        <color rgb="FF0000FF"/>
        <rFont val="Calibri"/>
        <family val="2"/>
        <scheme val="minor"/>
      </rPr>
      <t>G01NHX01QN002-KZ01</t>
    </r>
  </si>
  <si>
    <t>Gny_RST_INERT_REQ_H2</t>
  </si>
  <si>
    <t>Gny_SET_INERT_REQ_H2</t>
  </si>
  <si>
    <t>reset only by effect Gny_RST_INERT_REQ_H2</t>
  </si>
  <si>
    <t>Gny_CMD_N2_PURGE_H2</t>
  </si>
  <si>
    <t>Gny_CMD_N2_PURGE_O2</t>
  </si>
  <si>
    <t>Gny_SET_INERT_REQ_O2</t>
  </si>
  <si>
    <t>Gny_RST_INERT_REQ_O2</t>
  </si>
  <si>
    <t>V1.4: STO of PolRect changed from S to S* since Contactor of PolRect is already sufficient for SIL2 shut down.
V3.2, BM, 7.5.2024: NHC01GT001-QM01 deleted, since not automated anymore
V3.3, BM, 8.7.2024: Circuit breaker Identifier renamed from "CMD_CB_MV_OPN" to "CMD_CB1_MV_OPN"
V3.3, BM, FR, 16.10.2024: DC disconnectors changed in order to prevent closing and opening of DC disconnectors, when handwheel is plugged
V3.3_200, FK, 2025-10-31: added comment 2) for MOS of CMD_REF_PMP_STO
V3.4_001, BM, JS, FK, 2026-01-27: separated "Set/Reset Inertisation required" for H2 and O2 side and changed description of NP and NP* to make clear that (proof of) purge on each side is independent 
V3.4_001, FK, 2026-04-14: changed effect description for "Gas Sensor Not Ready" into "Degrade of SIF Conc. Gas Analytic H2/O2 High" to indicate the relation better
V3.4_001, FK, 2026-04-21: added "Gny_" for all effect identifiers, separated Gny_CMD_N2_PURGE_H2 and Gny_CMD_N2_PURGE_O2</t>
  </si>
  <si>
    <r>
      <rPr>
        <b/>
        <sz val="11"/>
        <color rgb="FF0000FF"/>
        <rFont val="Calibri"/>
        <family val="2"/>
        <scheme val="minor"/>
      </rPr>
      <t>Gny_</t>
    </r>
    <r>
      <rPr>
        <b/>
        <sz val="11"/>
        <rFont val="Calibri"/>
        <family val="2"/>
        <scheme val="minor"/>
      </rPr>
      <t>CMD_REF_PMP_STO</t>
    </r>
  </si>
  <si>
    <r>
      <rPr>
        <b/>
        <sz val="10"/>
        <color rgb="FF0000FF"/>
        <rFont val="Arial"/>
        <family val="2"/>
      </rPr>
      <t>Gny_</t>
    </r>
    <r>
      <rPr>
        <b/>
        <sz val="10"/>
        <color theme="1"/>
        <rFont val="Arial"/>
        <family val="2"/>
      </rPr>
      <t>CMD_CWR_VLV_CLS</t>
    </r>
  </si>
  <si>
    <r>
      <t>Gny_</t>
    </r>
    <r>
      <rPr>
        <b/>
        <sz val="10"/>
        <color theme="1"/>
        <rFont val="Arial"/>
        <family val="2"/>
      </rPr>
      <t>CMD_REC1_OFF</t>
    </r>
  </si>
  <si>
    <r>
      <t>Gny_</t>
    </r>
    <r>
      <rPr>
        <b/>
        <sz val="10"/>
        <color theme="1"/>
        <rFont val="Arial"/>
        <family val="2"/>
      </rPr>
      <t>CMD_REC2_OFF</t>
    </r>
  </si>
  <si>
    <r>
      <t>Gny_</t>
    </r>
    <r>
      <rPr>
        <b/>
        <sz val="11"/>
        <color theme="1"/>
        <rFont val="Calibri"/>
        <family val="2"/>
        <scheme val="minor"/>
      </rPr>
      <t>CMD_CB2_MV_OPN</t>
    </r>
  </si>
  <si>
    <r>
      <rPr>
        <b/>
        <sz val="10"/>
        <color rgb="FF0000FF"/>
        <rFont val="Arial"/>
        <family val="2"/>
      </rPr>
      <t>Gny_</t>
    </r>
    <r>
      <rPr>
        <b/>
        <sz val="10"/>
        <color theme="1"/>
        <rFont val="Arial"/>
        <family val="2"/>
      </rPr>
      <t>CMD_CWS_VLV_CLS</t>
    </r>
  </si>
  <si>
    <r>
      <rPr>
        <b/>
        <sz val="10"/>
        <color rgb="FF0000FF"/>
        <rFont val="Arial"/>
        <family val="2"/>
      </rPr>
      <t>Gny_</t>
    </r>
    <r>
      <rPr>
        <b/>
        <sz val="10"/>
        <color theme="1"/>
        <rFont val="Arial"/>
        <family val="2"/>
      </rPr>
      <t>CMD_DC-REC4_OFF</t>
    </r>
  </si>
  <si>
    <r>
      <rPr>
        <b/>
        <sz val="10"/>
        <color rgb="FF0000FF"/>
        <rFont val="Arial"/>
        <family val="2"/>
      </rPr>
      <t>Gny_</t>
    </r>
    <r>
      <rPr>
        <b/>
        <sz val="10"/>
        <color theme="1"/>
        <rFont val="Arial"/>
        <family val="2"/>
      </rPr>
      <t>CMD_DC-REC2_OFF</t>
    </r>
  </si>
  <si>
    <r>
      <rPr>
        <b/>
        <sz val="10"/>
        <color rgb="FF0000FF"/>
        <rFont val="Arial"/>
        <family val="2"/>
      </rPr>
      <t>Gny_</t>
    </r>
    <r>
      <rPr>
        <b/>
        <sz val="10"/>
        <color theme="1"/>
        <rFont val="Arial"/>
        <family val="2"/>
      </rPr>
      <t>CMD_DC-REC3_OFF</t>
    </r>
  </si>
  <si>
    <r>
      <rPr>
        <b/>
        <sz val="10"/>
        <color rgb="FF0000FF"/>
        <rFont val="Arial"/>
        <family val="2"/>
      </rPr>
      <t>Gny_</t>
    </r>
    <r>
      <rPr>
        <b/>
        <sz val="10"/>
        <color theme="1"/>
        <rFont val="Arial"/>
        <family val="2"/>
      </rPr>
      <t>CMD_DC-REC1_OFF</t>
    </r>
  </si>
  <si>
    <r>
      <rPr>
        <b/>
        <sz val="10"/>
        <color rgb="FF0000FF"/>
        <rFont val="Arial"/>
        <family val="2"/>
      </rPr>
      <t>Gny_</t>
    </r>
    <r>
      <rPr>
        <b/>
        <sz val="10"/>
        <color theme="1"/>
        <rFont val="Arial"/>
        <family val="2"/>
      </rPr>
      <t>CMD_DC+REC4_OFF</t>
    </r>
  </si>
  <si>
    <r>
      <rPr>
        <b/>
        <sz val="10"/>
        <color rgb="FF0000FF"/>
        <rFont val="Arial"/>
        <family val="2"/>
      </rPr>
      <t>Gny_</t>
    </r>
    <r>
      <rPr>
        <b/>
        <sz val="10"/>
        <color theme="1"/>
        <rFont val="Arial"/>
        <family val="2"/>
      </rPr>
      <t>CMD_DC+REC3_OFF</t>
    </r>
  </si>
  <si>
    <r>
      <rPr>
        <b/>
        <sz val="10"/>
        <color rgb="FF0000FF"/>
        <rFont val="Arial"/>
        <family val="2"/>
      </rPr>
      <t>Gny_</t>
    </r>
    <r>
      <rPr>
        <b/>
        <sz val="10"/>
        <color theme="1"/>
        <rFont val="Arial"/>
        <family val="2"/>
      </rPr>
      <t>CMD_DC+REC2_OFF</t>
    </r>
  </si>
  <si>
    <r>
      <rPr>
        <b/>
        <sz val="10"/>
        <color rgb="FF0000FF"/>
        <rFont val="Arial"/>
        <family val="2"/>
      </rPr>
      <t>Gny_</t>
    </r>
    <r>
      <rPr>
        <b/>
        <sz val="10"/>
        <color theme="1"/>
        <rFont val="Arial"/>
        <family val="2"/>
      </rPr>
      <t>CMD_DC+REC1_OFF</t>
    </r>
  </si>
  <si>
    <r>
      <rPr>
        <b/>
        <sz val="11"/>
        <color rgb="FF0000FF"/>
        <rFont val="Calibri"/>
        <family val="2"/>
        <scheme val="minor"/>
      </rPr>
      <t>Gny_</t>
    </r>
    <r>
      <rPr>
        <b/>
        <sz val="11"/>
        <rFont val="Calibri"/>
        <family val="2"/>
        <scheme val="minor"/>
      </rPr>
      <t>CMD_PRD_VLV_CLS</t>
    </r>
  </si>
  <si>
    <r>
      <rPr>
        <b/>
        <sz val="11"/>
        <color rgb="FF0000FF"/>
        <rFont val="Calibri"/>
        <family val="2"/>
        <scheme val="minor"/>
      </rPr>
      <t>Gny_</t>
    </r>
    <r>
      <rPr>
        <b/>
        <sz val="11"/>
        <rFont val="Calibri"/>
        <family val="2"/>
        <scheme val="minor"/>
      </rPr>
      <t>CMD_BLK_N2_PURGE</t>
    </r>
  </si>
  <si>
    <r>
      <rPr>
        <b/>
        <sz val="11"/>
        <color rgb="FF0000FF"/>
        <rFont val="Calibri"/>
        <family val="2"/>
        <scheme val="minor"/>
      </rPr>
      <t>Gny_</t>
    </r>
    <r>
      <rPr>
        <b/>
        <sz val="11"/>
        <rFont val="Calibri"/>
        <family val="2"/>
        <scheme val="minor"/>
      </rPr>
      <t>CMD_WAT_SUP_CLS</t>
    </r>
  </si>
  <si>
    <r>
      <rPr>
        <b/>
        <sz val="10"/>
        <color rgb="FF0000FF"/>
        <rFont val="Arial"/>
        <family val="2"/>
      </rPr>
      <t>Gny_</t>
    </r>
    <r>
      <rPr>
        <b/>
        <sz val="10"/>
        <color theme="1"/>
        <rFont val="Arial"/>
        <family val="2"/>
      </rPr>
      <t>CMD_REC1_OFF</t>
    </r>
  </si>
  <si>
    <r>
      <rPr>
        <b/>
        <sz val="10"/>
        <color rgb="FF0000FF"/>
        <rFont val="Arial"/>
        <family val="2"/>
      </rPr>
      <t>Gny_</t>
    </r>
    <r>
      <rPr>
        <b/>
        <sz val="10"/>
        <color theme="1"/>
        <rFont val="Arial"/>
        <family val="2"/>
      </rPr>
      <t>CMD_REC2_OFF</t>
    </r>
  </si>
  <si>
    <r>
      <rPr>
        <b/>
        <sz val="10"/>
        <color rgb="FF0000FF"/>
        <rFont val="Arial"/>
        <family val="2"/>
      </rPr>
      <t>Gny_</t>
    </r>
    <r>
      <rPr>
        <b/>
        <sz val="10"/>
        <color theme="1"/>
        <rFont val="Arial"/>
        <family val="2"/>
      </rPr>
      <t>CMD_REC3_OFF</t>
    </r>
  </si>
  <si>
    <r>
      <rPr>
        <b/>
        <sz val="10"/>
        <color rgb="FF0000FF"/>
        <rFont val="Arial"/>
        <family val="2"/>
      </rPr>
      <t>Gny_</t>
    </r>
    <r>
      <rPr>
        <b/>
        <sz val="10"/>
        <color theme="1"/>
        <rFont val="Arial"/>
        <family val="2"/>
      </rPr>
      <t>CMD_REC4_OFF</t>
    </r>
  </si>
  <si>
    <r>
      <rPr>
        <b/>
        <sz val="10"/>
        <color rgb="FF0000FF"/>
        <rFont val="Arial"/>
        <family val="2"/>
      </rPr>
      <t>Gny_</t>
    </r>
    <r>
      <rPr>
        <b/>
        <sz val="10"/>
        <color theme="1"/>
        <rFont val="Arial"/>
        <family val="2"/>
      </rPr>
      <t>CMD_REC2_SCO</t>
    </r>
  </si>
  <si>
    <r>
      <rPr>
        <b/>
        <sz val="10"/>
        <color rgb="FF0000FF"/>
        <rFont val="Arial"/>
        <family val="2"/>
      </rPr>
      <t>Gny_</t>
    </r>
    <r>
      <rPr>
        <b/>
        <sz val="10"/>
        <color theme="1"/>
        <rFont val="Arial"/>
        <family val="2"/>
      </rPr>
      <t>CMD_REC1_SCO</t>
    </r>
  </si>
  <si>
    <r>
      <rPr>
        <b/>
        <sz val="10"/>
        <color rgb="FF0000FF"/>
        <rFont val="Arial"/>
        <family val="2"/>
      </rPr>
      <t>Gny_</t>
    </r>
    <r>
      <rPr>
        <b/>
        <sz val="10"/>
        <color theme="1"/>
        <rFont val="Arial"/>
        <family val="2"/>
      </rPr>
      <t>CMD_REC3_SCO</t>
    </r>
  </si>
  <si>
    <r>
      <rPr>
        <b/>
        <sz val="10"/>
        <color rgb="FF0000FF"/>
        <rFont val="Arial"/>
        <family val="2"/>
      </rPr>
      <t>Gny_</t>
    </r>
    <r>
      <rPr>
        <b/>
        <sz val="10"/>
        <color theme="1"/>
        <rFont val="Arial"/>
        <family val="2"/>
      </rPr>
      <t>CMD_REC4_SCO</t>
    </r>
  </si>
  <si>
    <t>Note 1: GnyNHX01QN001-BF01 is integrated as long as it is &gt; 600 Nm³/h and GnyNHC01HP001-BP01 is &lt; 100 mbar. The integration is hold on a bad signal of the sensors and reset, when N2 Purge is started. When a Purge Volume of 53 Nm³ is reached at the integrator, a pulse for successful "Proof of Purge H2" is triggered to reset the state "Inertization Required H2 side". The purge volume must be re-checked based on project specific boundaries (e.g. array gas volume up to product gas valve etc.)</t>
  </si>
  <si>
    <t>Note 1: GnyNHX01QN002-BF01 is integrated as long as it is &gt; 600 Nm³/h and GnyNHE01HP001-BP01 is &lt; 100 mbar. The integration is hold on a bad signal of the sensors and reset, when N2 Purge is started. When a Purge Volume of 53 Nm³ is reached at the integrator, a pulse for successful "Proof of Purge O2" is triggered to reset the state "Inertization Required O2 side". The purge volume must be re-checked based on project specific boundaries (e.g. array gas volume up to product gas valve etc.)</t>
  </si>
  <si>
    <t>Gny_INERT_REQ_O2</t>
  </si>
  <si>
    <t>21.04.2026 / Implemented</t>
  </si>
  <si>
    <t>V1.4 added due to QIS item (DCM control failure)
V2.0: 28.08.2023 (BM) Falls das Stromsignal verloren geht soll der Schutzkreis auslösen. Es soll kein Ersatzwert gebildet werden.
V2.0: 2023-08-31 (JS, BM): N2 purge not part of SIL loop, since local zones are small and not considered dangerous.
V3.0, BM, 25.10.2023: TAG numbers of SIS Measurment changed
BM, 8.11.2023: Name of loop identifier changed
V3.1, V2.1 (FR, 01.02.2024): CMD_PRD_VLV_CLS changed from NP* to S* to keep closed after purge
V3.3_200, FK. 2025-10-31: added comment about MOS
V3.4, BM, 10.11.2025: See DDN-2025-006_Delta-Current-Shutdown; changed from 2500 A to 2340 A for Low limit and from 8000 A to 7800 A. New limits are based on updated operational range form 2340 A (30%) to 7800 A.
V3.4_001, FK. 2026-04-21: changed Low Limit from 2340 A to 1740 A (=2340 A - 500 A) and High Limit from 7800 A back to 8300 A (7800 A + 500 A), because delta monitoring should not be active at the operational limits (measurement could be fluctuating)</t>
  </si>
  <si>
    <t>L 1740</t>
  </si>
  <si>
    <t>H 8300</t>
  </si>
  <si>
    <r>
      <t xml:space="preserve">Internal control failure of DCM leads to too low or too high current of one rectifier row. N2 purge shall start after array shutdown.
Max.allowable  trip value for delta is 500 A. 
</t>
    </r>
    <r>
      <rPr>
        <sz val="11"/>
        <color rgb="FF0000FF"/>
        <rFont val="Calibri"/>
        <family val="2"/>
        <scheme val="minor"/>
      </rPr>
      <t>Monitoring is only activated outside of operational low limit (2340 A - 500 A) or high limit (7800 A + 500A).</t>
    </r>
    <r>
      <rPr>
        <sz val="11"/>
        <color theme="1"/>
        <rFont val="Calibri"/>
        <family val="2"/>
        <scheme val="minor"/>
      </rPr>
      <t xml:space="preserve">
If current measurement signal is "bad quality" or lost, protection loop shall be triggered.
</t>
    </r>
    <r>
      <rPr>
        <b/>
        <sz val="11"/>
        <color theme="1"/>
        <rFont val="Calibri"/>
        <family val="2"/>
        <scheme val="minor"/>
      </rPr>
      <t>*MOS is only allowed, when key switch in System Control Cabinet for Protection Level is inactive (MOS is required for Single Row Operation)</t>
    </r>
  </si>
  <si>
    <t xml:space="preserve">21.04.2026 / No change </t>
  </si>
  <si>
    <t>V1.3: Kommentar hinzugefügt
V2.0: 2023-08-31 (JS, BM): MV circuit braker deleted.
V3.3, BM, JS, FR, 21.10.2024: "S" for SCO deleted, since no SIL requirement.
V3.4_001, JS+FK+BM, 2026-04-20:  changed from 1oo1 to 1oo2 according Temperature High SIF</t>
  </si>
  <si>
    <t>22.04.2026 / Implemented</t>
  </si>
  <si>
    <r>
      <rPr>
        <b/>
        <sz val="11"/>
        <color rgb="FF0000FF"/>
        <rFont val="Calibri"/>
        <family val="2"/>
        <scheme val="minor"/>
      </rPr>
      <t>Gny_</t>
    </r>
    <r>
      <rPr>
        <b/>
        <sz val="11"/>
        <rFont val="Calibri"/>
        <family val="2"/>
        <scheme val="minor"/>
      </rPr>
      <t>CMD_CB_MV_OPN</t>
    </r>
  </si>
  <si>
    <t>AH 4500</t>
  </si>
  <si>
    <t>09.03.2023 FR+BM
'- during shutdown the foreign gas concentration can rise due to level shifts via the water refinement
- controlled nitrogen purge to keep foreign gas concentration low during shutdown
- trip value must be lower to the trip value during operation, so that no trip during startup can occur
V3.1 FR+RW+KB 26.01.2024
- Note: The stored value is used for the operational switch-off and not the actual measured value.
V3.1, 2024-03-04 (BM+FR): "G01NHY01KF101-KZ11" changed to "G01NHY01KF101/KZ12;XB01"
V3.2, FR,JS,RW,BM, 2024-07-02: calibration mode, sensor fault and bad signal deleted and replaced by common signal of S1 and S2 "GA_not ready" which is generated in SIS part
V3.3, BM, 2025.03.18: ASH, and ASHH
V3.4_001, BM+FK, 24.04.2026: Controlled purge on O2 side instead of H2 side shall avoid loosing "H2 ready" state, when O2inH2 concentration is increasing. Limit reduced from 4500 to 2500 ppm (Hysteresis reduced from 4000 to 1000 ppm because not relevant for purging) and comment adapted.</t>
  </si>
  <si>
    <t>V1.4 If a SIS limit for Deoxo is considered anyway, this value can be 8.000 ppm. If a operational trip for deoxo protection is sufficient a corresponding value shall be used for this trip (e.g. 5.000 ppm).
V3.1, 2024-03-04 (BM+FR): "G01NHY01KF101-KZ11" changed to "G01NHY01KF101/KZ12;XB01"
V3.2, FR,JS,RW,BM, 2024-07-02: calibration mode, sensor fault and bad signal deleted and replaced by common signal of S1 and S2 "GA_not ready" which is generated in SIS part
V3.3, BM, 2025.03.18: ASH, and ASHH
V3.4_001, BM+FK, 24.04.2026: included "Controlled Purge on H2 Side" and "Reset H2 Ready", because it is not done on AH limit anymore. Removed condition "Array in operation" to purge also during shutdown.</t>
  </si>
  <si>
    <r>
      <t>Controlled N2 Purging H2 side</t>
    </r>
    <r>
      <rPr>
        <sz val="10"/>
        <color rgb="FF0000FF"/>
        <rFont val="Calibri"/>
        <family val="2"/>
        <scheme val="minor"/>
      </rPr>
      <t xml:space="preserve"> 4)</t>
    </r>
  </si>
  <si>
    <r>
      <t xml:space="preserve">1) Tap Changer is pulse controlled (0-&gt;1)
2) MV Circuit Breaker is located in Medium Voltage Supply (=T01), but controlled by Rectifier System of Array. Tag is different for each Array (e.g. T01BBA01QA004/5/6-QA01 for Array 1/2/3)
</t>
    </r>
    <r>
      <rPr>
        <sz val="11"/>
        <color theme="1"/>
        <rFont val="Calibri"/>
        <family val="2"/>
        <scheme val="minor"/>
      </rPr>
      <t>3) Ramp down to 2340A with 750A/s, then ramp down to 0A with 375A/s</t>
    </r>
    <r>
      <rPr>
        <sz val="11"/>
        <color rgb="FF0000FF"/>
        <rFont val="Calibri"/>
        <family val="2"/>
        <scheme val="minor"/>
      </rPr>
      <t xml:space="preserve">
4) Controlled Purge starts only, when Array is not in operation
</t>
    </r>
  </si>
  <si>
    <t>For IGBT: 
5) Effected power line is switched off by converter controller instantaneously, after short communication delay parallel power line  is switched off by converter controller instantaneously, too
6) Discharge resistor is controlled for each pair of 2 power lines</t>
  </si>
  <si>
    <t>V3.0: , BM, 8.11.2023; Signal for Refinment pump changed from "YB21" to "YV01"
V3.3: BM, 6.11.2024: N2 Purge step sequence changed from "...KF101..." to ...KF201/KZ00"
V3.4_001, FK+BM, 24.04.2026: added Note 4) for Controlled N2 Purging H2 Side</t>
  </si>
  <si>
    <r>
      <rPr>
        <sz val="11"/>
        <color rgb="FF0000FF"/>
        <rFont val="Calibri"/>
        <family val="2"/>
        <scheme val="minor"/>
      </rPr>
      <t>- during shutdown the foreign gas concentration can rise due to water exchange via the water refinement: Purging the O2 side with N2 shall avoid further increase of foreign gas concentration on H2 side, while maintaining "H2 ready" state.</t>
    </r>
    <r>
      <rPr>
        <sz val="11"/>
        <rFont val="Calibri"/>
        <family val="2"/>
        <scheme val="minor"/>
      </rPr>
      <t xml:space="preserve">
</t>
    </r>
    <r>
      <rPr>
        <sz val="11"/>
        <color rgb="FF0000FF"/>
        <rFont val="Calibri"/>
        <family val="2"/>
        <scheme val="minor"/>
      </rPr>
      <t xml:space="preserve">One-time purge volume: 5 - 20 Nm³ (default: 10 Nm³; configurable via HMI) or stop after 20 min (in case of fault of flow measurement)
</t>
    </r>
    <r>
      <rPr>
        <sz val="11"/>
        <rFont val="Calibri"/>
        <family val="2"/>
        <scheme val="minor"/>
      </rPr>
      <t>- operational limits use the saved gas concentrations instead of the actual measurement value</t>
    </r>
  </si>
  <si>
    <t>Concentration - Gas analytic H2 - High limit</t>
  </si>
  <si>
    <t>V3.1, 2024-03-04 (FR): "N2 To H2 Side" changed to "G01NHX01KF201/KZ57;XB01"
V3.3, 2025-02-29 (FR): Changed comment, indication of cause via message of product valve
V3.4_001, 2026-04-27 (FK+KB):  changed "S" to "N" as it was implemented already like this in the software</t>
  </si>
  <si>
    <t>GnyNHC01KF202/KZ56</t>
  </si>
  <si>
    <t>GnyNHC01KF202/KZ59</t>
  </si>
  <si>
    <t>0= Gas Analytic H2 - Concentration Warning High</t>
  </si>
  <si>
    <t>0= Gas Analytic H2 - Concentration Alarm High</t>
  </si>
  <si>
    <t xml:space="preserve">V3.3, 2025-04-29 (FR): changed comment, indicate cause via message of product valve
V3.4_001, 2026-04-27 (FK+KB): changed "S" to "N", because it was implemented like this already in the software; replaced comment in column input tag with correct states (KZ56, KZ59), which are used in software  </t>
  </si>
  <si>
    <t>29.04.2026 / Implemented</t>
  </si>
  <si>
    <t>29.04.2026 / No functional change</t>
  </si>
  <si>
    <t>29.04.2026 / No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</si>
</sst>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quot;cm&quot;"/>
    <numFmt numFmtId="165" formatCode="0\ &quot;A&quot;"/>
  </numFmts>
  <fonts count="8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name val="Arial"/>
      <family val="2"/>
    </font>
    <font>
      <sz val="8"/>
      <name val="Arial"/>
      <family val="2"/>
    </font>
    <font>
      <b/>
      <sz val="10"/>
      <name val="Arial"/>
      <family val="2"/>
    </font>
    <font>
      <sz val="10"/>
      <name val="Arial"/>
      <family val="2"/>
    </font>
    <font>
      <sz val="10"/>
      <color rgb="FF9C6500"/>
      <name val="Arial"/>
      <family val="2"/>
    </font>
    <font>
      <sz val="10"/>
      <color rgb="FF9C0006"/>
      <name val="Arial"/>
      <family val="2"/>
    </font>
    <font>
      <sz val="36"/>
      <name val="Arial"/>
      <family val="2"/>
    </font>
    <font>
      <sz val="20"/>
      <name val="Arial"/>
      <family val="2"/>
    </font>
    <font>
      <sz val="11"/>
      <name val="Calibri"/>
      <family val="2"/>
      <scheme val="minor"/>
    </font>
    <font>
      <b/>
      <sz val="11"/>
      <name val="Calibri"/>
      <family val="2"/>
      <scheme val="minor"/>
    </font>
    <font>
      <strike/>
      <sz val="11"/>
      <name val="Calibri"/>
      <family val="2"/>
      <scheme val="minor"/>
    </font>
    <font>
      <sz val="8"/>
      <name val="Arial"/>
      <family val="2"/>
    </font>
    <font>
      <sz val="8"/>
      <name val="Calibri"/>
      <family val="2"/>
      <scheme val="minor"/>
    </font>
    <font>
      <b/>
      <sz val="16"/>
      <color theme="1"/>
      <name val="Arial"/>
      <family val="2"/>
    </font>
    <font>
      <sz val="8"/>
      <color theme="1"/>
      <name val="Arial"/>
      <family val="2"/>
    </font>
    <font>
      <sz val="12"/>
      <color rgb="FFFF0000"/>
      <name val="Arial"/>
      <family val="2"/>
    </font>
    <font>
      <sz val="12"/>
      <name val="Arial"/>
      <family val="2"/>
    </font>
    <font>
      <b/>
      <sz val="10"/>
      <name val="Calibri"/>
      <family val="2"/>
    </font>
    <font>
      <sz val="11"/>
      <color rgb="FFFF0000"/>
      <name val="Calibri"/>
      <family val="2"/>
      <scheme val="minor"/>
    </font>
    <font>
      <b/>
      <sz val="11"/>
      <color rgb="FFFF0000"/>
      <name val="Calibri"/>
      <family val="2"/>
      <scheme val="minor"/>
    </font>
    <font>
      <strike/>
      <sz val="10"/>
      <name val="Arial"/>
      <family val="2"/>
    </font>
    <font>
      <sz val="10"/>
      <name val="Calibri"/>
      <family val="2"/>
      <scheme val="minor"/>
    </font>
    <font>
      <sz val="8"/>
      <name val="Calibri"/>
      <family val="2"/>
    </font>
    <font>
      <sz val="8"/>
      <name val="Arial"/>
      <family val="2"/>
    </font>
    <font>
      <vertAlign val="superscript"/>
      <sz val="10"/>
      <name val="Calibri"/>
      <family val="2"/>
      <scheme val="minor"/>
    </font>
    <font>
      <sz val="10"/>
      <color rgb="FFFF0000"/>
      <name val="Arial"/>
      <family val="2"/>
    </font>
    <font>
      <b/>
      <sz val="11"/>
      <color theme="1"/>
      <name val="Calibri"/>
      <family val="2"/>
      <scheme val="minor"/>
    </font>
    <font>
      <b/>
      <sz val="9"/>
      <color theme="1"/>
      <name val="Calibri"/>
      <family val="2"/>
      <scheme val="minor"/>
    </font>
    <font>
      <b/>
      <sz val="16"/>
      <name val="Arial"/>
      <family val="2"/>
    </font>
    <font>
      <sz val="11"/>
      <color theme="1"/>
      <name val="Calibri"/>
      <family val="2"/>
    </font>
    <font>
      <vertAlign val="superscript"/>
      <sz val="11"/>
      <name val="Calibri"/>
      <family val="2"/>
      <scheme val="minor"/>
    </font>
    <font>
      <b/>
      <sz val="9"/>
      <name val="Calibri"/>
      <family val="2"/>
      <scheme val="minor"/>
    </font>
    <font>
      <sz val="11"/>
      <color rgb="FF000000"/>
      <name val="Calibri"/>
      <family val="2"/>
      <scheme val="minor"/>
    </font>
    <font>
      <strike/>
      <sz val="11"/>
      <color rgb="FF000000"/>
      <name val="Calibri"/>
      <family val="2"/>
      <scheme val="minor"/>
    </font>
    <font>
      <strike/>
      <sz val="11"/>
      <color rgb="FFFF0000"/>
      <name val="Calibri"/>
      <family val="2"/>
      <scheme val="minor"/>
    </font>
    <font>
      <sz val="11"/>
      <color theme="0"/>
      <name val="Calibri"/>
      <family val="2"/>
      <scheme val="minor"/>
    </font>
    <font>
      <sz val="10"/>
      <color theme="1"/>
      <name val="Calibri"/>
      <family val="2"/>
      <scheme val="minor"/>
    </font>
    <font>
      <b/>
      <sz val="10"/>
      <color theme="1"/>
      <name val="Arial"/>
      <family val="2"/>
    </font>
    <font>
      <sz val="10"/>
      <color rgb="FF000000"/>
      <name val="Arial"/>
      <family val="2"/>
    </font>
    <font>
      <sz val="11"/>
      <color rgb="FF0000FF"/>
      <name val="Calibri"/>
      <family val="2"/>
      <scheme val="minor"/>
    </font>
    <font>
      <sz val="7"/>
      <name val="Calibri"/>
      <family val="2"/>
      <scheme val="minor"/>
    </font>
    <font>
      <vertAlign val="superscript"/>
      <sz val="10"/>
      <color theme="1"/>
      <name val="Calibri"/>
      <family val="2"/>
      <scheme val="minor"/>
    </font>
    <font>
      <b/>
      <sz val="12"/>
      <color rgb="FFFF0000"/>
      <name val="Arial"/>
      <family val="2"/>
    </font>
    <font>
      <sz val="10"/>
      <color rgb="FF000000"/>
      <name val="Calibri"/>
      <family val="2"/>
      <scheme val="minor"/>
    </font>
    <font>
      <i/>
      <sz val="10"/>
      <color rgb="FF000000"/>
      <name val="Calibri"/>
      <family val="2"/>
      <scheme val="minor"/>
    </font>
    <font>
      <sz val="36"/>
      <color rgb="FF000000"/>
      <name val="Arial"/>
      <family val="2"/>
    </font>
    <font>
      <sz val="20"/>
      <color rgb="FF000000"/>
      <name val="Arial"/>
      <family val="2"/>
    </font>
    <font>
      <sz val="8"/>
      <color rgb="FF0000FF"/>
      <name val="Calibri"/>
      <family val="2"/>
    </font>
    <font>
      <sz val="10"/>
      <color rgb="FF0000FF"/>
      <name val="Calibri"/>
      <family val="2"/>
      <scheme val="minor"/>
    </font>
    <font>
      <strike/>
      <sz val="11"/>
      <color theme="1"/>
      <name val="Calibri"/>
      <family val="2"/>
      <scheme val="minor"/>
    </font>
    <font>
      <u/>
      <sz val="11"/>
      <color theme="1"/>
      <name val="Calibri"/>
      <family val="2"/>
      <scheme val="minor"/>
    </font>
    <font>
      <strike/>
      <sz val="10"/>
      <color theme="1"/>
      <name val="Arial"/>
      <family val="2"/>
    </font>
    <font>
      <b/>
      <strike/>
      <sz val="11"/>
      <color theme="1"/>
      <name val="Calibri"/>
      <family val="2"/>
    </font>
    <font>
      <strike/>
      <sz val="11"/>
      <color theme="1"/>
      <name val="Calibri"/>
      <family val="2"/>
    </font>
    <font>
      <sz val="10"/>
      <color theme="1"/>
      <name val="Calibri"/>
      <family val="2"/>
    </font>
    <font>
      <sz val="8"/>
      <color theme="1"/>
      <name val="Calibri"/>
      <family val="2"/>
      <scheme val="minor"/>
    </font>
    <font>
      <sz val="8"/>
      <color theme="1"/>
      <name val="Calibri"/>
      <family val="2"/>
    </font>
    <font>
      <sz val="10"/>
      <color rgb="FF0000FF"/>
      <name val="Arial"/>
      <family val="2"/>
    </font>
    <font>
      <b/>
      <sz val="11"/>
      <color rgb="FF0000FF"/>
      <name val="Calibri"/>
      <family val="2"/>
      <scheme val="minor"/>
    </font>
    <font>
      <b/>
      <sz val="10"/>
      <color rgb="FF0000FF"/>
      <name val="Arial"/>
      <family val="2"/>
    </font>
    <font>
      <sz val="7"/>
      <color rgb="FF0000FF"/>
      <name val="Calibri"/>
      <family val="2"/>
      <scheme val="minor"/>
    </font>
    <font>
      <i/>
      <sz val="10"/>
      <color rgb="FF0000FF"/>
      <name val="Calibri"/>
      <family val="2"/>
      <scheme val="minor"/>
    </font>
    <font>
      <strike/>
      <sz val="11"/>
      <color rgb="FF0000FF"/>
      <name val="Calibri"/>
      <family val="2"/>
      <scheme val="minor"/>
    </font>
    <font>
      <strike/>
      <sz val="10"/>
      <color rgb="FF0000FF"/>
      <name val="Arial"/>
      <family val="2"/>
    </font>
    <font>
      <b/>
      <strike/>
      <sz val="11"/>
      <color rgb="FF0000FF"/>
      <name val="Calibri"/>
      <family val="2"/>
      <scheme val="minor"/>
    </font>
    <font>
      <b/>
      <strike/>
      <sz val="10"/>
      <color rgb="FF0000FF"/>
      <name val="Arial"/>
      <family val="2"/>
    </font>
    <font>
      <sz val="10"/>
      <color rgb="FF0000FF"/>
      <name val="Arial"/>
    </font>
  </fonts>
  <fills count="18">
    <fill>
      <patternFill patternType="none"/>
    </fill>
    <fill>
      <patternFill patternType="gray125"/>
    </fill>
    <fill>
      <patternFill patternType="solid">
        <fgColor rgb="FFFFEB9C"/>
      </patternFill>
    </fill>
    <fill>
      <patternFill patternType="solid">
        <fgColor rgb="FFFFC7CE"/>
      </patternFill>
    </fill>
    <fill>
      <patternFill patternType="solid">
        <fgColor theme="0" tint="-0.249977111117893"/>
        <bgColor indexed="64"/>
      </patternFill>
    </fill>
    <fill>
      <patternFill patternType="solid">
        <fgColor rgb="FFFFFF00"/>
        <bgColor indexed="64"/>
      </patternFill>
    </fill>
    <fill>
      <patternFill patternType="solid">
        <fgColor rgb="FF00B050"/>
        <bgColor indexed="64"/>
      </patternFill>
    </fill>
    <fill>
      <patternFill patternType="solid">
        <fgColor indexed="22"/>
        <bgColor indexed="64"/>
      </patternFill>
    </fill>
    <fill>
      <patternFill patternType="solid">
        <fgColor indexed="9"/>
        <bgColor indexed="64"/>
      </patternFill>
    </fill>
    <fill>
      <patternFill patternType="solid">
        <fgColor rgb="FF00B0F0"/>
        <bgColor indexed="64"/>
      </patternFill>
    </fill>
    <fill>
      <patternFill patternType="solid">
        <fgColor rgb="FFFF0000"/>
        <bgColor indexed="64"/>
      </patternFill>
    </fill>
    <fill>
      <patternFill patternType="solid">
        <fgColor rgb="FFFF9999"/>
        <bgColor indexed="64"/>
      </patternFill>
    </fill>
    <fill>
      <patternFill patternType="solid">
        <fgColor rgb="FFFFC000"/>
        <bgColor indexed="64"/>
      </patternFill>
    </fill>
    <fill>
      <patternFill patternType="solid">
        <fgColor theme="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FFFFF"/>
        <bgColor indexed="64"/>
      </patternFill>
    </fill>
    <fill>
      <patternFill patternType="solid">
        <fgColor rgb="FF92D050"/>
        <bgColor indexed="64"/>
      </patternFill>
    </fill>
  </fills>
  <borders count="10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medium">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theme="0" tint="-0.499984740745262"/>
      </right>
      <top style="thin">
        <color indexed="64"/>
      </top>
      <bottom/>
      <diagonal/>
    </border>
    <border>
      <left style="thin">
        <color theme="0" tint="-0.499984740745262"/>
      </left>
      <right style="thin">
        <color indexed="64"/>
      </right>
      <top style="thin">
        <color indexed="64"/>
      </top>
      <bottom/>
      <diagonal/>
    </border>
    <border>
      <left/>
      <right style="thin">
        <color theme="0" tint="-0.499984740745262"/>
      </right>
      <top/>
      <bottom style="thin">
        <color indexed="64"/>
      </bottom>
      <diagonal/>
    </border>
    <border>
      <left style="thin">
        <color theme="0" tint="-0.499984740745262"/>
      </left>
      <right style="thin">
        <color indexed="64"/>
      </right>
      <top/>
      <bottom style="thin">
        <color indexed="64"/>
      </bottom>
      <diagonal/>
    </border>
    <border>
      <left style="hair">
        <color theme="0" tint="-0.499984740745262"/>
      </left>
      <right style="hair">
        <color theme="0" tint="-0.499984740745262"/>
      </right>
      <top style="thin">
        <color theme="1"/>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thin">
        <color theme="1"/>
      </bottom>
      <diagonal/>
    </border>
    <border>
      <left/>
      <right/>
      <top style="thin">
        <color theme="1"/>
      </top>
      <bottom style="hair">
        <color theme="0" tint="-0.499984740745262"/>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thin">
        <color indexed="64"/>
      </left>
      <right style="hair">
        <color theme="0" tint="-0.499984740745262"/>
      </right>
      <top style="thin">
        <color theme="1"/>
      </top>
      <bottom style="hair">
        <color theme="0" tint="-0.499984740745262"/>
      </bottom>
      <diagonal/>
    </border>
    <border>
      <left style="hair">
        <color theme="0" tint="-0.499984740745262"/>
      </left>
      <right style="thin">
        <color indexed="64"/>
      </right>
      <top style="thin">
        <color theme="1"/>
      </top>
      <bottom style="hair">
        <color theme="0" tint="-0.499984740745262"/>
      </bottom>
      <diagonal/>
    </border>
    <border>
      <left style="thin">
        <color indexed="64"/>
      </left>
      <right style="hair">
        <color theme="0" tint="-0.499984740745262"/>
      </right>
      <top style="hair">
        <color theme="0" tint="-0.499984740745262"/>
      </top>
      <bottom style="hair">
        <color theme="0" tint="-0.499984740745262"/>
      </bottom>
      <diagonal/>
    </border>
    <border>
      <left style="hair">
        <color theme="0" tint="-0.499984740745262"/>
      </left>
      <right style="thin">
        <color indexed="64"/>
      </right>
      <top style="hair">
        <color theme="0" tint="-0.499984740745262"/>
      </top>
      <bottom style="hair">
        <color theme="0" tint="-0.499984740745262"/>
      </bottom>
      <diagonal/>
    </border>
    <border>
      <left style="thin">
        <color indexed="64"/>
      </left>
      <right style="hair">
        <color theme="0" tint="-0.499984740745262"/>
      </right>
      <top style="hair">
        <color theme="0" tint="-0.499984740745262"/>
      </top>
      <bottom style="thin">
        <color theme="1"/>
      </bottom>
      <diagonal/>
    </border>
    <border>
      <left style="hair">
        <color theme="0" tint="-0.499984740745262"/>
      </left>
      <right style="thin">
        <color indexed="64"/>
      </right>
      <top style="hair">
        <color theme="0" tint="-0.499984740745262"/>
      </top>
      <bottom style="thin">
        <color theme="1"/>
      </bottom>
      <diagonal/>
    </border>
    <border>
      <left style="thin">
        <color indexed="64"/>
      </left>
      <right/>
      <top style="thin">
        <color theme="1"/>
      </top>
      <bottom style="hair">
        <color theme="0" tint="-0.499984740745262"/>
      </bottom>
      <diagonal/>
    </border>
    <border>
      <left/>
      <right style="thin">
        <color indexed="64"/>
      </right>
      <top style="thin">
        <color theme="1"/>
      </top>
      <bottom style="hair">
        <color theme="0" tint="-0.499984740745262"/>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style="medium">
        <color indexed="64"/>
      </left>
      <right style="thin">
        <color indexed="64"/>
      </right>
      <top/>
      <bottom/>
      <diagonal/>
    </border>
    <border>
      <left style="medium">
        <color indexed="64"/>
      </left>
      <right/>
      <top/>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right style="thin">
        <color rgb="FF000000"/>
      </right>
      <top style="thin">
        <color rgb="FF000000"/>
      </top>
      <bottom style="thin">
        <color rgb="FF000000"/>
      </bottom>
      <diagonal/>
    </border>
    <border>
      <left style="thin">
        <color indexed="64"/>
      </left>
      <right style="medium">
        <color indexed="64"/>
      </right>
      <top/>
      <bottom/>
      <diagonal/>
    </border>
    <border>
      <left style="thin">
        <color indexed="64"/>
      </left>
      <right style="thin">
        <color indexed="64"/>
      </right>
      <top style="thin">
        <color indexed="64"/>
      </top>
      <bottom style="thin">
        <color rgb="FF000000"/>
      </bottom>
      <diagonal/>
    </border>
    <border>
      <left/>
      <right style="medium">
        <color indexed="64"/>
      </right>
      <top style="thin">
        <color indexed="64"/>
      </top>
      <bottom/>
      <diagonal/>
    </border>
    <border>
      <left style="thin">
        <color indexed="64"/>
      </left>
      <right style="thin">
        <color rgb="FF000000"/>
      </right>
      <top style="thin">
        <color rgb="FF000000"/>
      </top>
      <bottom style="thin">
        <color rgb="FF000000"/>
      </bottom>
      <diagonal/>
    </border>
    <border>
      <left/>
      <right/>
      <top/>
      <bottom style="thin">
        <color rgb="FF000000"/>
      </bottom>
      <diagonal/>
    </border>
    <border>
      <left style="medium">
        <color indexed="64"/>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top style="thin">
        <color rgb="FF000000"/>
      </top>
      <bottom/>
      <diagonal/>
    </border>
  </borders>
  <cellStyleXfs count="14">
    <xf numFmtId="0" fontId="0" fillId="0" borderId="0"/>
    <xf numFmtId="0" fontId="23" fillId="2" borderId="0" applyNumberFormat="0" applyBorder="0" applyAlignment="0" applyProtection="0"/>
    <xf numFmtId="0" fontId="24" fillId="3" borderId="0" applyNumberFormat="0" applyBorder="0" applyAlignment="0" applyProtection="0"/>
    <xf numFmtId="0" fontId="22" fillId="0" borderId="0"/>
    <xf numFmtId="0" fontId="18" fillId="0" borderId="0"/>
    <xf numFmtId="0" fontId="17" fillId="0" borderId="0"/>
    <xf numFmtId="0" fontId="19" fillId="0" borderId="0"/>
    <xf numFmtId="0" fontId="19" fillId="0" borderId="0"/>
    <xf numFmtId="0" fontId="16" fillId="0" borderId="0"/>
    <xf numFmtId="0" fontId="16" fillId="0" borderId="0"/>
    <xf numFmtId="0" fontId="16" fillId="0" borderId="0"/>
    <xf numFmtId="0" fontId="15" fillId="0" borderId="0"/>
    <xf numFmtId="0" fontId="14" fillId="0" borderId="0"/>
    <xf numFmtId="0" fontId="13" fillId="0" borderId="0"/>
  </cellStyleXfs>
  <cellXfs count="1322">
    <xf numFmtId="0" fontId="0" fillId="0" borderId="0" xfId="0"/>
    <xf numFmtId="0" fontId="27"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28" fillId="0" borderId="1" xfId="0" applyFont="1" applyBorder="1" applyAlignment="1">
      <alignment horizontal="center" vertical="center"/>
    </xf>
    <xf numFmtId="0" fontId="0" fillId="0" borderId="1" xfId="0" applyBorder="1"/>
    <xf numFmtId="0" fontId="27" fillId="0" borderId="1" xfId="0" applyFont="1" applyBorder="1"/>
    <xf numFmtId="0" fontId="0" fillId="0" borderId="2" xfId="0" applyBorder="1"/>
    <xf numFmtId="0" fontId="21" fillId="0" borderId="8" xfId="0" applyFont="1" applyBorder="1" applyAlignment="1">
      <alignment horizontal="center" vertical="center" textRotation="90"/>
    </xf>
    <xf numFmtId="0" fontId="21" fillId="0" borderId="9" xfId="0" applyFont="1" applyBorder="1" applyAlignment="1">
      <alignment horizontal="center" vertical="center" textRotation="90"/>
    </xf>
    <xf numFmtId="0" fontId="21" fillId="0" borderId="10" xfId="0" applyFont="1" applyBorder="1" applyAlignment="1">
      <alignment horizontal="center" vertical="center" textRotation="90"/>
    </xf>
    <xf numFmtId="0" fontId="0" fillId="0" borderId="2" xfId="0" applyBorder="1" applyAlignment="1">
      <alignment horizontal="center" vertical="center"/>
    </xf>
    <xf numFmtId="0" fontId="27" fillId="0" borderId="3" xfId="0" applyFont="1" applyBorder="1" applyAlignment="1">
      <alignment horizontal="center" vertical="center"/>
    </xf>
    <xf numFmtId="0" fontId="21" fillId="0" borderId="11" xfId="0" applyFont="1" applyBorder="1" applyAlignment="1">
      <alignment horizontal="center" vertical="center" textRotation="90"/>
    </xf>
    <xf numFmtId="0" fontId="21" fillId="0" borderId="13" xfId="0" applyFont="1" applyBorder="1" applyAlignment="1">
      <alignment horizontal="center" vertical="center"/>
    </xf>
    <xf numFmtId="0" fontId="0" fillId="0" borderId="13" xfId="0" applyBorder="1"/>
    <xf numFmtId="0" fontId="27" fillId="0" borderId="13" xfId="0" applyFont="1" applyBorder="1"/>
    <xf numFmtId="0" fontId="27" fillId="0" borderId="5" xfId="0" applyFont="1" applyBorder="1" applyAlignment="1">
      <alignment horizontal="center" vertical="center"/>
    </xf>
    <xf numFmtId="0" fontId="27" fillId="0" borderId="1" xfId="0" quotePrefix="1" applyFont="1" applyBorder="1" applyAlignment="1">
      <alignment horizontal="center" vertical="center" wrapText="1"/>
    </xf>
    <xf numFmtId="0" fontId="27" fillId="0" borderId="1" xfId="0" applyFont="1" applyBorder="1" applyAlignment="1">
      <alignment wrapText="1"/>
    </xf>
    <xf numFmtId="0" fontId="27" fillId="5" borderId="1" xfId="0" applyFont="1" applyFill="1" applyBorder="1"/>
    <xf numFmtId="0" fontId="16" fillId="0" borderId="0" xfId="10"/>
    <xf numFmtId="0" fontId="21" fillId="0" borderId="23" xfId="10" applyFont="1" applyBorder="1" applyAlignment="1">
      <alignment vertical="top" wrapText="1"/>
    </xf>
    <xf numFmtId="0" fontId="19" fillId="0" borderId="17" xfId="10" applyFont="1" applyBorder="1" applyAlignment="1">
      <alignment vertical="center" wrapText="1"/>
    </xf>
    <xf numFmtId="0" fontId="19" fillId="0" borderId="25" xfId="10" applyFont="1" applyBorder="1" applyAlignment="1">
      <alignment vertical="center" wrapText="1"/>
    </xf>
    <xf numFmtId="0" fontId="19" fillId="0" borderId="1" xfId="0" applyFont="1" applyBorder="1" applyAlignment="1">
      <alignment horizontal="center" vertical="center"/>
    </xf>
    <xf numFmtId="0" fontId="0" fillId="0" borderId="1" xfId="0" applyBorder="1" applyAlignment="1">
      <alignment vertical="center"/>
    </xf>
    <xf numFmtId="0" fontId="27" fillId="4" borderId="1" xfId="0" applyFont="1" applyFill="1" applyBorder="1" applyAlignment="1">
      <alignment horizontal="left"/>
    </xf>
    <xf numFmtId="0" fontId="0" fillId="0" borderId="1" xfId="0" applyBorder="1" applyAlignment="1">
      <alignment horizontal="left" vertical="center"/>
    </xf>
    <xf numFmtId="0" fontId="15" fillId="7" borderId="1" xfId="11" applyFill="1" applyBorder="1"/>
    <xf numFmtId="0" fontId="15" fillId="6" borderId="8" xfId="11" applyFill="1" applyBorder="1"/>
    <xf numFmtId="0" fontId="15" fillId="0" borderId="6" xfId="11" applyBorder="1"/>
    <xf numFmtId="0" fontId="15" fillId="0" borderId="1" xfId="11" applyBorder="1"/>
    <xf numFmtId="0" fontId="15" fillId="8" borderId="5" xfId="11" applyFill="1" applyBorder="1" applyProtection="1">
      <protection locked="0"/>
    </xf>
    <xf numFmtId="0" fontId="15" fillId="6" borderId="9" xfId="11" applyFill="1" applyBorder="1"/>
    <xf numFmtId="0" fontId="15" fillId="8" borderId="1" xfId="11" applyFill="1" applyBorder="1" applyProtection="1">
      <protection locked="0"/>
    </xf>
    <xf numFmtId="0" fontId="15" fillId="9" borderId="5" xfId="11" applyFill="1" applyBorder="1"/>
    <xf numFmtId="0" fontId="28" fillId="4" borderId="1" xfId="0" applyFont="1" applyFill="1" applyBorder="1" applyAlignment="1">
      <alignment horizontal="center" vertical="center"/>
    </xf>
    <xf numFmtId="0" fontId="27" fillId="4" borderId="1" xfId="0" applyFont="1" applyFill="1" applyBorder="1" applyAlignment="1">
      <alignment vertical="center"/>
    </xf>
    <xf numFmtId="0" fontId="36" fillId="0" borderId="9" xfId="0" applyFont="1" applyBorder="1" applyAlignment="1">
      <alignment horizontal="center" vertical="center" textRotation="90"/>
    </xf>
    <xf numFmtId="0" fontId="21" fillId="4" borderId="4" xfId="0" applyFont="1" applyFill="1" applyBorder="1" applyAlignment="1">
      <alignment horizontal="center" vertical="center"/>
    </xf>
    <xf numFmtId="0" fontId="27" fillId="0" borderId="6" xfId="0" applyFont="1" applyBorder="1" applyAlignment="1">
      <alignment horizontal="center" vertical="center"/>
    </xf>
    <xf numFmtId="0" fontId="27" fillId="0" borderId="1" xfId="0" applyFont="1" applyBorder="1" applyAlignment="1">
      <alignment horizontal="left" vertical="center" wrapText="1"/>
    </xf>
    <xf numFmtId="0" fontId="21" fillId="0" borderId="0" xfId="0" applyFont="1"/>
    <xf numFmtId="0" fontId="19" fillId="0" borderId="0" xfId="0" applyFont="1"/>
    <xf numFmtId="49" fontId="15" fillId="7" borderId="5" xfId="11" applyNumberFormat="1" applyFill="1" applyBorder="1"/>
    <xf numFmtId="49" fontId="15" fillId="8" borderId="5" xfId="11" applyNumberFormat="1" applyFill="1" applyBorder="1" applyProtection="1">
      <protection locked="0"/>
    </xf>
    <xf numFmtId="0" fontId="19" fillId="0" borderId="0" xfId="0" applyFont="1" applyAlignment="1">
      <alignment wrapText="1"/>
    </xf>
    <xf numFmtId="0" fontId="0" fillId="5" borderId="0" xfId="0" applyFill="1" applyAlignment="1">
      <alignment wrapText="1"/>
    </xf>
    <xf numFmtId="0" fontId="19" fillId="6" borderId="0" xfId="0" applyFont="1" applyFill="1"/>
    <xf numFmtId="0" fontId="0" fillId="4" borderId="4" xfId="0" applyFill="1" applyBorder="1"/>
    <xf numFmtId="0" fontId="37" fillId="0" borderId="1" xfId="0" applyFont="1" applyBorder="1" applyAlignment="1">
      <alignment horizontal="center" vertical="center"/>
    </xf>
    <xf numFmtId="0" fontId="38" fillId="5" borderId="1" xfId="0" applyFont="1" applyFill="1" applyBorder="1" applyAlignment="1">
      <alignment horizontal="center" vertical="center"/>
    </xf>
    <xf numFmtId="0" fontId="27" fillId="5" borderId="1" xfId="0" applyFont="1" applyFill="1" applyBorder="1" applyAlignment="1">
      <alignment horizontal="center" vertical="center"/>
    </xf>
    <xf numFmtId="0" fontId="27" fillId="10" borderId="1" xfId="0" applyFont="1" applyFill="1" applyBorder="1" applyAlignment="1">
      <alignment horizontal="center" vertical="center"/>
    </xf>
    <xf numFmtId="0" fontId="21" fillId="0" borderId="9" xfId="0" applyFont="1" applyBorder="1" applyAlignment="1">
      <alignment horizontal="center" vertical="center"/>
    </xf>
    <xf numFmtId="0" fontId="21" fillId="0" borderId="21" xfId="10" applyFont="1" applyBorder="1" applyAlignment="1">
      <alignment vertical="top" wrapText="1"/>
    </xf>
    <xf numFmtId="0" fontId="0" fillId="0" borderId="3" xfId="0" applyBorder="1" applyAlignment="1">
      <alignment horizontal="center" vertical="center" wrapText="1"/>
    </xf>
    <xf numFmtId="0" fontId="27" fillId="0" borderId="3" xfId="0" applyFont="1" applyBorder="1" applyAlignment="1">
      <alignment horizontal="left" vertical="center" wrapText="1"/>
    </xf>
    <xf numFmtId="0" fontId="19" fillId="11" borderId="0" xfId="0" applyFont="1" applyFill="1"/>
    <xf numFmtId="0" fontId="27" fillId="0" borderId="0" xfId="0" applyFont="1" applyAlignment="1">
      <alignment horizontal="left"/>
    </xf>
    <xf numFmtId="0" fontId="27" fillId="0" borderId="0" xfId="0" applyFont="1"/>
    <xf numFmtId="0" fontId="38" fillId="0" borderId="0" xfId="0" applyFont="1"/>
    <xf numFmtId="0" fontId="27" fillId="0" borderId="0" xfId="0" applyFont="1" applyAlignment="1">
      <alignment wrapText="1"/>
    </xf>
    <xf numFmtId="0" fontId="21" fillId="4" borderId="30" xfId="0" applyFont="1" applyFill="1" applyBorder="1" applyAlignment="1">
      <alignment horizontal="center" vertical="center"/>
    </xf>
    <xf numFmtId="0" fontId="21" fillId="4" borderId="30" xfId="0" applyFont="1" applyFill="1" applyBorder="1" applyAlignment="1">
      <alignment horizontal="center" vertical="center" wrapText="1"/>
    </xf>
    <xf numFmtId="49" fontId="21" fillId="4" borderId="31" xfId="0" applyNumberFormat="1" applyFont="1" applyFill="1" applyBorder="1" applyAlignment="1">
      <alignment horizontal="center" vertical="center"/>
    </xf>
    <xf numFmtId="0" fontId="27" fillId="4" borderId="14" xfId="0" applyFont="1" applyFill="1" applyBorder="1" applyAlignment="1">
      <alignment horizontal="center" vertical="center" textRotation="90"/>
    </xf>
    <xf numFmtId="0" fontId="27" fillId="4" borderId="30" xfId="0" applyFont="1" applyFill="1" applyBorder="1" applyAlignment="1">
      <alignment horizontal="center" vertical="center" textRotation="90"/>
    </xf>
    <xf numFmtId="0" fontId="27" fillId="4" borderId="1" xfId="0" applyFont="1" applyFill="1" applyBorder="1" applyAlignment="1">
      <alignment horizontal="center" vertical="center"/>
    </xf>
    <xf numFmtId="0" fontId="27" fillId="4" borderId="1" xfId="0" applyFont="1" applyFill="1" applyBorder="1" applyAlignment="1">
      <alignment horizontal="left" vertical="center" wrapText="1"/>
    </xf>
    <xf numFmtId="0" fontId="27" fillId="4" borderId="1" xfId="0" applyFont="1" applyFill="1" applyBorder="1" applyAlignment="1">
      <alignment horizontal="center" vertical="center" wrapText="1"/>
    </xf>
    <xf numFmtId="0" fontId="27" fillId="4" borderId="1" xfId="0" applyFont="1" applyFill="1" applyBorder="1" applyAlignment="1">
      <alignment horizontal="left" vertical="center"/>
    </xf>
    <xf numFmtId="0" fontId="21" fillId="4" borderId="32" xfId="0" applyFont="1" applyFill="1" applyBorder="1" applyAlignment="1">
      <alignment horizontal="center" vertical="center" wrapText="1"/>
    </xf>
    <xf numFmtId="0" fontId="19" fillId="0" borderId="7" xfId="0" applyFont="1" applyBorder="1" applyAlignment="1">
      <alignment horizontal="center" vertical="center"/>
    </xf>
    <xf numFmtId="0" fontId="19" fillId="0" borderId="33" xfId="0" applyFont="1" applyBorder="1" applyAlignment="1">
      <alignment horizontal="center" vertical="center" wrapText="1"/>
    </xf>
    <xf numFmtId="0" fontId="21" fillId="0" borderId="37" xfId="0" applyFont="1" applyBorder="1" applyAlignment="1">
      <alignment horizontal="center" vertical="center"/>
    </xf>
    <xf numFmtId="0" fontId="28" fillId="4" borderId="37" xfId="6" applyFont="1" applyFill="1" applyBorder="1" applyAlignment="1">
      <alignment vertical="center"/>
    </xf>
    <xf numFmtId="0" fontId="27" fillId="4" borderId="6" xfId="0" applyFont="1" applyFill="1" applyBorder="1" applyAlignment="1">
      <alignment horizontal="left"/>
    </xf>
    <xf numFmtId="0" fontId="27" fillId="0" borderId="6" xfId="0" applyFont="1" applyBorder="1"/>
    <xf numFmtId="0" fontId="27" fillId="4" borderId="1" xfId="6" applyFont="1" applyFill="1" applyBorder="1" applyAlignment="1">
      <alignment vertical="center" wrapText="1"/>
    </xf>
    <xf numFmtId="0" fontId="27" fillId="4" borderId="1" xfId="6" applyFont="1" applyFill="1" applyBorder="1" applyAlignment="1">
      <alignment horizontal="center" vertical="center" wrapText="1"/>
    </xf>
    <xf numFmtId="0" fontId="27" fillId="4" borderId="1" xfId="6" applyFont="1" applyFill="1" applyBorder="1" applyAlignment="1">
      <alignment vertical="center"/>
    </xf>
    <xf numFmtId="0" fontId="40" fillId="0" borderId="33" xfId="0" applyFont="1" applyBorder="1" applyAlignment="1">
      <alignment horizontal="center" vertical="center" textRotation="90"/>
    </xf>
    <xf numFmtId="0" fontId="40" fillId="0" borderId="34" xfId="0" applyFont="1" applyBorder="1" applyAlignment="1">
      <alignment horizontal="center" vertical="center" textRotation="90"/>
    </xf>
    <xf numFmtId="2" fontId="41" fillId="0" borderId="1" xfId="0" quotePrefix="1" applyNumberFormat="1" applyFont="1" applyBorder="1" applyAlignment="1">
      <alignment horizontal="center" textRotation="90"/>
    </xf>
    <xf numFmtId="0" fontId="40" fillId="0" borderId="7" xfId="0" applyFont="1" applyBorder="1" applyAlignment="1">
      <alignment horizontal="center" vertical="center" textRotation="90"/>
    </xf>
    <xf numFmtId="0" fontId="40" fillId="0" borderId="2" xfId="0" applyFont="1" applyBorder="1" applyAlignment="1">
      <alignment horizontal="center" vertical="center" textRotation="90"/>
    </xf>
    <xf numFmtId="0" fontId="40" fillId="0" borderId="20" xfId="0" applyFont="1" applyBorder="1" applyAlignment="1">
      <alignment horizontal="center" vertical="center" textRotation="90"/>
    </xf>
    <xf numFmtId="0" fontId="16" fillId="0" borderId="0" xfId="10" applyAlignment="1">
      <alignment horizontal="right"/>
    </xf>
    <xf numFmtId="0" fontId="16" fillId="0" borderId="42" xfId="10" applyBorder="1"/>
    <xf numFmtId="0" fontId="16" fillId="0" borderId="15" xfId="10" applyBorder="1"/>
    <xf numFmtId="0" fontId="27" fillId="0" borderId="1" xfId="0" applyFont="1" applyBorder="1" applyAlignment="1">
      <alignment vertical="center"/>
    </xf>
    <xf numFmtId="0" fontId="37" fillId="0" borderId="1" xfId="0" applyFont="1" applyBorder="1" applyAlignment="1">
      <alignment wrapText="1"/>
    </xf>
    <xf numFmtId="0" fontId="27" fillId="0" borderId="1" xfId="1" applyFont="1" applyFill="1" applyBorder="1" applyAlignment="1">
      <alignment horizontal="center" vertical="center" wrapText="1"/>
    </xf>
    <xf numFmtId="0" fontId="19" fillId="0" borderId="1" xfId="0" applyFont="1" applyBorder="1" applyAlignment="1">
      <alignment horizontal="center" vertical="center" wrapText="1"/>
    </xf>
    <xf numFmtId="0" fontId="27" fillId="0" borderId="5" xfId="0" applyFont="1" applyBorder="1" applyAlignment="1">
      <alignment horizontal="left"/>
    </xf>
    <xf numFmtId="0" fontId="27" fillId="0" borderId="1" xfId="0" applyFont="1" applyBorder="1" applyAlignment="1">
      <alignment horizontal="center" vertical="center" wrapText="1"/>
    </xf>
    <xf numFmtId="16" fontId="19" fillId="0" borderId="25" xfId="10" quotePrefix="1" applyNumberFormat="1" applyFont="1" applyBorder="1" applyAlignment="1">
      <alignment horizontal="left" vertical="center" wrapText="1"/>
    </xf>
    <xf numFmtId="0" fontId="0" fillId="0" borderId="6" xfId="0" applyBorder="1" applyAlignment="1">
      <alignment horizontal="left" vertical="center"/>
    </xf>
    <xf numFmtId="0" fontId="19" fillId="0" borderId="6" xfId="0" applyFont="1" applyBorder="1" applyAlignment="1">
      <alignment horizontal="left" vertical="center"/>
    </xf>
    <xf numFmtId="0" fontId="19" fillId="4" borderId="6" xfId="0" applyFont="1" applyFill="1" applyBorder="1" applyAlignment="1">
      <alignment horizontal="left" vertical="center"/>
    </xf>
    <xf numFmtId="0" fontId="21" fillId="0" borderId="15" xfId="0" applyFont="1" applyBorder="1" applyAlignment="1">
      <alignment horizontal="left" vertical="center"/>
    </xf>
    <xf numFmtId="0" fontId="28" fillId="4" borderId="6" xfId="0" applyFont="1" applyFill="1" applyBorder="1" applyAlignment="1">
      <alignment horizontal="left" vertical="center"/>
    </xf>
    <xf numFmtId="0" fontId="27" fillId="0" borderId="6" xfId="0" applyFont="1" applyBorder="1" applyAlignment="1">
      <alignment horizontal="left" vertical="center"/>
    </xf>
    <xf numFmtId="0" fontId="40" fillId="0" borderId="19" xfId="0" applyFont="1" applyBorder="1" applyAlignment="1">
      <alignment horizontal="center" vertical="center" textRotation="90"/>
    </xf>
    <xf numFmtId="0" fontId="19" fillId="13" borderId="1" xfId="0" applyFont="1" applyFill="1" applyBorder="1" applyAlignment="1">
      <alignment horizontal="center" vertical="center"/>
    </xf>
    <xf numFmtId="0" fontId="0" fillId="0" borderId="5" xfId="0" applyBorder="1" applyAlignment="1">
      <alignment horizontal="center" vertical="center" wrapText="1"/>
    </xf>
    <xf numFmtId="0" fontId="27" fillId="0" borderId="1" xfId="1" applyFont="1" applyFill="1" applyBorder="1" applyAlignment="1">
      <alignment vertical="center" wrapText="1"/>
    </xf>
    <xf numFmtId="0" fontId="40" fillId="0" borderId="34" xfId="0" applyFont="1" applyBorder="1" applyAlignment="1">
      <alignment horizontal="center" vertical="center" textRotation="90" wrapText="1"/>
    </xf>
    <xf numFmtId="0" fontId="40" fillId="0" borderId="35" xfId="0" applyFont="1" applyBorder="1" applyAlignment="1">
      <alignment horizontal="center" vertical="center" textRotation="90"/>
    </xf>
    <xf numFmtId="0" fontId="19" fillId="0" borderId="3" xfId="0" applyFont="1" applyBorder="1" applyAlignment="1">
      <alignment horizontal="left" vertical="center" wrapText="1"/>
    </xf>
    <xf numFmtId="0" fontId="19" fillId="0" borderId="1" xfId="0" applyFont="1" applyBorder="1" applyAlignment="1">
      <alignment horizontal="left" vertical="center" wrapText="1"/>
    </xf>
    <xf numFmtId="0" fontId="38" fillId="0" borderId="0" xfId="0" applyFont="1" applyAlignment="1">
      <alignment wrapText="1"/>
    </xf>
    <xf numFmtId="0" fontId="29" fillId="0" borderId="1" xfId="0" applyFont="1" applyBorder="1" applyAlignment="1">
      <alignment horizontal="center" vertical="center"/>
    </xf>
    <xf numFmtId="0" fontId="38" fillId="10" borderId="1" xfId="0" applyFont="1" applyFill="1" applyBorder="1" applyAlignment="1">
      <alignment horizontal="center" vertical="center"/>
    </xf>
    <xf numFmtId="0" fontId="40" fillId="0" borderId="36" xfId="0" applyFont="1" applyBorder="1" applyAlignment="1">
      <alignment horizontal="center" vertical="center" textRotation="90"/>
    </xf>
    <xf numFmtId="0" fontId="27" fillId="0" borderId="6" xfId="0" quotePrefix="1" applyFont="1" applyBorder="1" applyAlignment="1">
      <alignment horizontal="left" vertical="center" wrapText="1"/>
    </xf>
    <xf numFmtId="0" fontId="29" fillId="0" borderId="0" xfId="0" applyFont="1"/>
    <xf numFmtId="0" fontId="39" fillId="0" borderId="0" xfId="0" applyFont="1"/>
    <xf numFmtId="0" fontId="27" fillId="4" borderId="13" xfId="0" applyFont="1" applyFill="1" applyBorder="1" applyAlignment="1">
      <alignment horizontal="left"/>
    </xf>
    <xf numFmtId="0" fontId="29" fillId="4" borderId="1" xfId="0" applyFont="1" applyFill="1" applyBorder="1" applyAlignment="1">
      <alignment vertical="center"/>
    </xf>
    <xf numFmtId="0" fontId="27" fillId="0" borderId="6" xfId="0" applyFont="1" applyBorder="1" applyAlignment="1">
      <alignment horizontal="left" vertical="center" wrapText="1"/>
    </xf>
    <xf numFmtId="16" fontId="16" fillId="0" borderId="1" xfId="2" quotePrefix="1" applyNumberFormat="1" applyFont="1" applyFill="1" applyBorder="1" applyAlignment="1">
      <alignment horizontal="center" vertical="center" wrapText="1"/>
    </xf>
    <xf numFmtId="0" fontId="48" fillId="0" borderId="1" xfId="0" quotePrefix="1" applyFont="1" applyBorder="1" applyAlignment="1" applyProtection="1">
      <alignment horizontal="center" vertical="center" wrapText="1"/>
      <protection locked="0"/>
    </xf>
    <xf numFmtId="0" fontId="48" fillId="0" borderId="1" xfId="0" applyFont="1" applyBorder="1" applyAlignment="1">
      <alignment horizontal="center" vertical="center" wrapText="1"/>
    </xf>
    <xf numFmtId="0" fontId="16" fillId="0" borderId="1" xfId="2" quotePrefix="1" applyFont="1" applyFill="1" applyBorder="1" applyAlignment="1">
      <alignment horizontal="center" vertical="center" wrapText="1"/>
    </xf>
    <xf numFmtId="0" fontId="0" fillId="0" borderId="0" xfId="0" applyAlignment="1">
      <alignment horizontal="center"/>
    </xf>
    <xf numFmtId="0" fontId="27" fillId="0" borderId="0" xfId="0" applyFont="1" applyAlignment="1">
      <alignment horizontal="center"/>
    </xf>
    <xf numFmtId="0" fontId="21" fillId="0" borderId="1" xfId="0" applyFont="1" applyBorder="1" applyAlignment="1">
      <alignment horizontal="center" vertical="center"/>
    </xf>
    <xf numFmtId="0" fontId="28" fillId="4" borderId="1" xfId="6" applyFont="1" applyFill="1" applyBorder="1" applyAlignment="1">
      <alignment vertical="center"/>
    </xf>
    <xf numFmtId="0" fontId="27" fillId="0" borderId="58" xfId="0" applyFont="1" applyBorder="1" applyAlignment="1">
      <alignment horizontal="center" vertical="center"/>
    </xf>
    <xf numFmtId="0" fontId="29" fillId="9" borderId="58" xfId="0" applyFont="1" applyFill="1" applyBorder="1" applyAlignment="1">
      <alignment vertical="center" wrapText="1"/>
    </xf>
    <xf numFmtId="0" fontId="45" fillId="14" borderId="1" xfId="0" applyFont="1" applyFill="1" applyBorder="1" applyAlignment="1">
      <alignment horizontal="center"/>
    </xf>
    <xf numFmtId="0" fontId="46" fillId="14" borderId="1" xfId="0" applyFont="1" applyFill="1" applyBorder="1" applyAlignment="1">
      <alignment horizontal="center"/>
    </xf>
    <xf numFmtId="164" fontId="45" fillId="0" borderId="1" xfId="0" applyNumberFormat="1" applyFont="1" applyBorder="1" applyAlignment="1">
      <alignment horizontal="center"/>
    </xf>
    <xf numFmtId="0" fontId="28" fillId="4" borderId="53" xfId="6" applyFont="1" applyFill="1" applyBorder="1" applyAlignment="1">
      <alignment vertical="center"/>
    </xf>
    <xf numFmtId="0" fontId="0" fillId="4" borderId="61" xfId="0" applyFill="1" applyBorder="1" applyAlignment="1">
      <alignment vertical="center"/>
    </xf>
    <xf numFmtId="0" fontId="21" fillId="4" borderId="13" xfId="0" applyFont="1" applyFill="1" applyBorder="1" applyAlignment="1">
      <alignment horizontal="center" vertical="center"/>
    </xf>
    <xf numFmtId="0" fontId="21" fillId="4" borderId="13" xfId="0" applyFont="1" applyFill="1" applyBorder="1" applyAlignment="1">
      <alignment horizontal="center" vertical="center" wrapText="1"/>
    </xf>
    <xf numFmtId="0" fontId="21" fillId="4" borderId="55" xfId="0" applyFont="1" applyFill="1" applyBorder="1" applyAlignment="1">
      <alignment horizontal="center" vertical="center"/>
    </xf>
    <xf numFmtId="49" fontId="21" fillId="4" borderId="63" xfId="0" applyNumberFormat="1" applyFont="1" applyFill="1" applyBorder="1" applyAlignment="1">
      <alignment horizontal="center" vertical="center"/>
    </xf>
    <xf numFmtId="0" fontId="47" fillId="0" borderId="0" xfId="0" applyFont="1"/>
    <xf numFmtId="0" fontId="27" fillId="4" borderId="33" xfId="0" applyFont="1" applyFill="1" applyBorder="1" applyAlignment="1">
      <alignment horizontal="center" vertical="center" textRotation="90"/>
    </xf>
    <xf numFmtId="0" fontId="21" fillId="4" borderId="33" xfId="0" applyFont="1" applyFill="1" applyBorder="1" applyAlignment="1">
      <alignment horizontal="center" vertical="center" wrapText="1"/>
    </xf>
    <xf numFmtId="49" fontId="21" fillId="4" borderId="59" xfId="0" applyNumberFormat="1" applyFont="1" applyFill="1" applyBorder="1" applyAlignment="1">
      <alignment horizontal="center" vertical="center"/>
    </xf>
    <xf numFmtId="0" fontId="27" fillId="4" borderId="3" xfId="6" applyFont="1" applyFill="1" applyBorder="1" applyAlignment="1">
      <alignment vertical="center" wrapText="1"/>
    </xf>
    <xf numFmtId="0" fontId="29" fillId="4" borderId="14" xfId="0" applyFont="1" applyFill="1" applyBorder="1" applyAlignment="1">
      <alignment horizontal="center" vertical="center" textRotation="90"/>
    </xf>
    <xf numFmtId="0" fontId="29" fillId="4" borderId="30" xfId="0" applyFont="1" applyFill="1" applyBorder="1" applyAlignment="1">
      <alignment horizontal="center" vertical="center" textRotation="90"/>
    </xf>
    <xf numFmtId="0" fontId="39" fillId="0" borderId="1" xfId="0" applyFont="1" applyBorder="1" applyAlignment="1">
      <alignment horizontal="center" vertical="center"/>
    </xf>
    <xf numFmtId="0" fontId="27" fillId="0" borderId="1" xfId="7" applyFont="1" applyBorder="1"/>
    <xf numFmtId="0" fontId="50" fillId="14" borderId="1" xfId="0" applyFont="1" applyFill="1" applyBorder="1" applyAlignment="1">
      <alignment horizontal="center"/>
    </xf>
    <xf numFmtId="0" fontId="19" fillId="0" borderId="6" xfId="0" applyFont="1" applyBorder="1" applyAlignment="1">
      <alignment horizontal="left" vertical="center" wrapText="1"/>
    </xf>
    <xf numFmtId="0" fontId="0" fillId="0" borderId="1" xfId="0" applyBorder="1" applyAlignment="1">
      <alignment horizontal="center"/>
    </xf>
    <xf numFmtId="0" fontId="28" fillId="4" borderId="37" xfId="6" applyFont="1" applyFill="1" applyBorder="1" applyAlignment="1">
      <alignment horizontal="center" vertical="center"/>
    </xf>
    <xf numFmtId="0" fontId="37" fillId="4" borderId="14" xfId="0" applyFont="1" applyFill="1" applyBorder="1" applyAlignment="1">
      <alignment horizontal="center" vertical="center" textRotation="90"/>
    </xf>
    <xf numFmtId="0" fontId="44" fillId="0" borderId="1" xfId="0" applyFont="1" applyBorder="1" applyAlignment="1">
      <alignment horizontal="center" vertical="center"/>
    </xf>
    <xf numFmtId="0" fontId="37" fillId="4" borderId="1" xfId="0" applyFont="1" applyFill="1" applyBorder="1" applyAlignment="1">
      <alignment vertical="center"/>
    </xf>
    <xf numFmtId="0" fontId="27" fillId="11" borderId="1" xfId="0" applyFont="1" applyFill="1" applyBorder="1" applyAlignment="1">
      <alignment horizontal="center" vertical="center"/>
    </xf>
    <xf numFmtId="0" fontId="28" fillId="15" borderId="37" xfId="0" applyFont="1" applyFill="1" applyBorder="1" applyAlignment="1">
      <alignment horizontal="left" vertical="center"/>
    </xf>
    <xf numFmtId="16" fontId="27" fillId="15" borderId="1" xfId="0" quotePrefix="1" applyNumberFormat="1" applyFont="1" applyFill="1" applyBorder="1" applyAlignment="1">
      <alignment horizontal="center" vertical="center"/>
    </xf>
    <xf numFmtId="0" fontId="19" fillId="15" borderId="1" xfId="0" quotePrefix="1" applyFont="1" applyFill="1" applyBorder="1" applyAlignment="1" applyProtection="1">
      <alignment horizontal="center" vertical="center" wrapText="1"/>
      <protection locked="0"/>
    </xf>
    <xf numFmtId="0" fontId="19" fillId="15" borderId="1" xfId="0" quotePrefix="1" applyFont="1" applyFill="1" applyBorder="1" applyAlignment="1" applyProtection="1">
      <alignment horizontal="center" vertical="center"/>
      <protection locked="0"/>
    </xf>
    <xf numFmtId="0" fontId="27" fillId="15" borderId="1" xfId="1" applyFont="1" applyFill="1" applyBorder="1" applyAlignment="1">
      <alignment horizontal="center" vertical="center" wrapText="1"/>
    </xf>
    <xf numFmtId="0" fontId="27" fillId="15" borderId="1" xfId="0" applyFont="1" applyFill="1" applyBorder="1" applyAlignment="1">
      <alignment horizontal="center" vertical="center" wrapText="1"/>
    </xf>
    <xf numFmtId="0" fontId="27" fillId="15" borderId="2" xfId="0" applyFont="1" applyFill="1" applyBorder="1" applyAlignment="1">
      <alignment horizontal="center" vertical="center" wrapText="1"/>
    </xf>
    <xf numFmtId="0" fontId="27" fillId="15" borderId="1" xfId="0" applyFont="1" applyFill="1" applyBorder="1" applyAlignment="1">
      <alignment horizontal="center" vertical="center"/>
    </xf>
    <xf numFmtId="0" fontId="27" fillId="15" borderId="1" xfId="0" applyFont="1" applyFill="1" applyBorder="1" applyAlignment="1">
      <alignment horizontal="center" vertical="center" textRotation="90"/>
    </xf>
    <xf numFmtId="0" fontId="29" fillId="15" borderId="1" xfId="0" applyFont="1" applyFill="1" applyBorder="1" applyAlignment="1">
      <alignment horizontal="center" vertical="center"/>
    </xf>
    <xf numFmtId="0" fontId="37" fillId="15" borderId="1" xfId="0" applyFont="1" applyFill="1" applyBorder="1" applyAlignment="1">
      <alignment horizontal="center" vertical="center"/>
    </xf>
    <xf numFmtId="0" fontId="19" fillId="15" borderId="1" xfId="0" applyFont="1" applyFill="1" applyBorder="1" applyAlignment="1">
      <alignment horizontal="center" vertical="center"/>
    </xf>
    <xf numFmtId="0" fontId="27" fillId="15" borderId="1" xfId="1" quotePrefix="1" applyFont="1" applyFill="1" applyBorder="1" applyAlignment="1">
      <alignment horizontal="center" vertical="center"/>
    </xf>
    <xf numFmtId="0" fontId="27" fillId="15" borderId="1" xfId="1" applyFont="1" applyFill="1" applyBorder="1" applyAlignment="1">
      <alignment horizontal="center" vertical="center"/>
    </xf>
    <xf numFmtId="0" fontId="27" fillId="15" borderId="2" xfId="1" applyFont="1" applyFill="1" applyBorder="1" applyAlignment="1">
      <alignment horizontal="center" vertical="center" wrapText="1"/>
    </xf>
    <xf numFmtId="0" fontId="40" fillId="0" borderId="7" xfId="0" applyFont="1" applyBorder="1" applyAlignment="1">
      <alignment horizontal="center" vertical="center" textRotation="90" wrapText="1"/>
    </xf>
    <xf numFmtId="0" fontId="29" fillId="15" borderId="1" xfId="0" applyFont="1" applyFill="1" applyBorder="1" applyAlignment="1">
      <alignment horizontal="center" vertical="center" wrapText="1"/>
    </xf>
    <xf numFmtId="0" fontId="27" fillId="15" borderId="37" xfId="0" applyFont="1" applyFill="1" applyBorder="1" applyAlignment="1">
      <alignment vertical="center" wrapText="1"/>
    </xf>
    <xf numFmtId="0" fontId="27" fillId="15" borderId="37" xfId="0" applyFont="1" applyFill="1" applyBorder="1" applyAlignment="1">
      <alignment horizontal="center" vertical="center" wrapText="1"/>
    </xf>
    <xf numFmtId="0" fontId="27" fillId="15" borderId="1" xfId="1" quotePrefix="1" applyFont="1" applyFill="1" applyBorder="1" applyAlignment="1">
      <alignment horizontal="center" vertical="center" wrapText="1"/>
    </xf>
    <xf numFmtId="0" fontId="27" fillId="15" borderId="1" xfId="0" quotePrefix="1" applyFont="1" applyFill="1" applyBorder="1" applyAlignment="1">
      <alignment horizontal="center" vertical="center" wrapText="1"/>
    </xf>
    <xf numFmtId="0" fontId="27" fillId="15" borderId="1" xfId="0" applyFont="1" applyFill="1" applyBorder="1" applyAlignment="1">
      <alignment wrapText="1"/>
    </xf>
    <xf numFmtId="0" fontId="27" fillId="15" borderId="52" xfId="1" applyFont="1" applyFill="1" applyBorder="1" applyAlignment="1">
      <alignment horizontal="center" vertical="center" wrapText="1"/>
    </xf>
    <xf numFmtId="0" fontId="27" fillId="15" borderId="1" xfId="1" applyFont="1" applyFill="1" applyBorder="1" applyAlignment="1">
      <alignment horizontal="left" vertical="center" wrapText="1"/>
    </xf>
    <xf numFmtId="0" fontId="27" fillId="15" borderId="37" xfId="0" applyFont="1" applyFill="1" applyBorder="1" applyAlignment="1">
      <alignment horizontal="center" vertical="center"/>
    </xf>
    <xf numFmtId="0" fontId="19" fillId="15" borderId="1" xfId="0" applyFont="1" applyFill="1" applyBorder="1" applyAlignment="1" applyProtection="1">
      <alignment horizontal="center" vertical="center" wrapText="1"/>
      <protection locked="0"/>
    </xf>
    <xf numFmtId="0" fontId="27" fillId="15" borderId="1" xfId="0" applyFont="1" applyFill="1" applyBorder="1"/>
    <xf numFmtId="0" fontId="27" fillId="15" borderId="1" xfId="7" applyFont="1" applyFill="1" applyBorder="1" applyAlignment="1">
      <alignment horizontal="center" vertical="center" wrapText="1"/>
    </xf>
    <xf numFmtId="0" fontId="27" fillId="15" borderId="6" xfId="0" applyFont="1" applyFill="1" applyBorder="1"/>
    <xf numFmtId="0" fontId="40" fillId="15" borderId="33" xfId="0" applyFont="1" applyFill="1" applyBorder="1" applyAlignment="1">
      <alignment horizontal="center" vertical="center" textRotation="90"/>
    </xf>
    <xf numFmtId="0" fontId="31" fillId="15" borderId="1" xfId="0" quotePrefix="1" applyFont="1" applyFill="1" applyBorder="1" applyAlignment="1">
      <alignment horizontal="center" textRotation="90"/>
    </xf>
    <xf numFmtId="0" fontId="40" fillId="15" borderId="2" xfId="0" applyFont="1" applyFill="1" applyBorder="1" applyAlignment="1">
      <alignment horizontal="center" vertical="center" textRotation="90"/>
    </xf>
    <xf numFmtId="0" fontId="27" fillId="15" borderId="14" xfId="0" applyFont="1" applyFill="1" applyBorder="1" applyAlignment="1">
      <alignment horizontal="center" vertical="center" textRotation="90"/>
    </xf>
    <xf numFmtId="2" fontId="41" fillId="15" borderId="1" xfId="0" quotePrefix="1" applyNumberFormat="1" applyFont="1" applyFill="1" applyBorder="1" applyAlignment="1">
      <alignment horizontal="center" textRotation="90"/>
    </xf>
    <xf numFmtId="0" fontId="27" fillId="15" borderId="2" xfId="1" quotePrefix="1" applyFont="1" applyFill="1" applyBorder="1" applyAlignment="1">
      <alignment horizontal="center" vertical="center" wrapText="1"/>
    </xf>
    <xf numFmtId="0" fontId="40" fillId="15" borderId="2" xfId="0" applyFont="1" applyFill="1" applyBorder="1" applyAlignment="1">
      <alignment horizontal="center" vertical="center" textRotation="90" wrapText="1"/>
    </xf>
    <xf numFmtId="0" fontId="27" fillId="15" borderId="13" xfId="0" applyFont="1" applyFill="1" applyBorder="1" applyAlignment="1">
      <alignment horizontal="center" vertical="center" wrapText="1"/>
    </xf>
    <xf numFmtId="0" fontId="27" fillId="15" borderId="3" xfId="0" applyFont="1" applyFill="1" applyBorder="1" applyAlignment="1">
      <alignment horizontal="center" vertical="center" wrapText="1"/>
    </xf>
    <xf numFmtId="0" fontId="27" fillId="15" borderId="3" xfId="1" applyFont="1" applyFill="1" applyBorder="1" applyAlignment="1">
      <alignment horizontal="center" vertical="center" wrapText="1"/>
    </xf>
    <xf numFmtId="0" fontId="27" fillId="15" borderId="53" xfId="1" applyFont="1" applyFill="1" applyBorder="1" applyAlignment="1">
      <alignment horizontal="center" vertical="center" wrapText="1"/>
    </xf>
    <xf numFmtId="0" fontId="27" fillId="15" borderId="3" xfId="1" quotePrefix="1" applyFont="1" applyFill="1" applyBorder="1" applyAlignment="1">
      <alignment horizontal="center" vertical="center" wrapText="1"/>
    </xf>
    <xf numFmtId="0" fontId="27" fillId="0" borderId="3" xfId="0" applyFont="1" applyBorder="1" applyAlignment="1">
      <alignment horizontal="center" vertical="center" wrapText="1"/>
    </xf>
    <xf numFmtId="0" fontId="27" fillId="0" borderId="7" xfId="0" applyFont="1" applyBorder="1" applyAlignment="1">
      <alignment horizontal="left" vertical="center" wrapText="1"/>
    </xf>
    <xf numFmtId="0" fontId="27" fillId="15" borderId="6" xfId="0" applyFont="1" applyFill="1" applyBorder="1" applyAlignment="1">
      <alignment horizontal="left" vertical="center"/>
    </xf>
    <xf numFmtId="0" fontId="19" fillId="15" borderId="1" xfId="0" applyFont="1" applyFill="1" applyBorder="1" applyAlignment="1">
      <alignment horizontal="center" vertical="center" wrapText="1"/>
    </xf>
    <xf numFmtId="0" fontId="0" fillId="15" borderId="1" xfId="0" applyFill="1" applyBorder="1" applyAlignment="1">
      <alignment horizontal="center" vertical="center" wrapText="1"/>
    </xf>
    <xf numFmtId="0" fontId="19" fillId="15" borderId="2" xfId="0" applyFont="1" applyFill="1" applyBorder="1" applyAlignment="1">
      <alignment horizontal="center" vertical="center" wrapText="1"/>
    </xf>
    <xf numFmtId="0" fontId="29" fillId="0" borderId="3" xfId="0" applyFont="1" applyBorder="1" applyAlignment="1">
      <alignment horizontal="center" vertical="center"/>
    </xf>
    <xf numFmtId="0" fontId="0" fillId="15" borderId="1" xfId="0" quotePrefix="1" applyFill="1" applyBorder="1" applyAlignment="1" applyProtection="1">
      <alignment horizontal="center" vertical="center" wrapText="1"/>
      <protection locked="0"/>
    </xf>
    <xf numFmtId="0" fontId="0" fillId="15" borderId="1" xfId="0" quotePrefix="1" applyFill="1" applyBorder="1" applyAlignment="1" applyProtection="1">
      <alignment horizontal="center" vertical="center"/>
      <protection locked="0"/>
    </xf>
    <xf numFmtId="0" fontId="37" fillId="15" borderId="1" xfId="0" applyFont="1" applyFill="1" applyBorder="1" applyAlignment="1">
      <alignment wrapText="1"/>
    </xf>
    <xf numFmtId="0" fontId="27" fillId="15" borderId="1" xfId="0" applyFont="1" applyFill="1" applyBorder="1" applyAlignment="1">
      <alignment vertical="center" wrapText="1"/>
    </xf>
    <xf numFmtId="0" fontId="40" fillId="15" borderId="2" xfId="0" applyFont="1" applyFill="1" applyBorder="1" applyAlignment="1">
      <alignment horizontal="center" vertical="center" textRotation="90" shrinkToFit="1"/>
    </xf>
    <xf numFmtId="0" fontId="21" fillId="4" borderId="13" xfId="0" applyFont="1" applyFill="1" applyBorder="1" applyAlignment="1">
      <alignment horizontal="left" vertical="center" wrapText="1"/>
    </xf>
    <xf numFmtId="0" fontId="27" fillId="0" borderId="6" xfId="0" applyFont="1" applyBorder="1" applyAlignment="1">
      <alignment horizontal="center" vertical="center" wrapText="1"/>
    </xf>
    <xf numFmtId="0" fontId="39" fillId="15" borderId="1" xfId="0" quotePrefix="1" applyFont="1" applyFill="1" applyBorder="1" applyAlignment="1" applyProtection="1">
      <alignment horizontal="center" vertical="center"/>
      <protection locked="0"/>
    </xf>
    <xf numFmtId="0" fontId="29" fillId="15" borderId="1" xfId="1" applyFont="1" applyFill="1" applyBorder="1" applyAlignment="1">
      <alignment horizontal="center" vertical="center" wrapText="1"/>
    </xf>
    <xf numFmtId="0" fontId="27" fillId="15" borderId="0" xfId="0" applyFont="1" applyFill="1"/>
    <xf numFmtId="0" fontId="0" fillId="15" borderId="0" xfId="0" applyFill="1"/>
    <xf numFmtId="0" fontId="27" fillId="15" borderId="1" xfId="0" quotePrefix="1" applyFont="1" applyFill="1" applyBorder="1" applyAlignment="1" applyProtection="1">
      <alignment horizontal="center" vertical="center" wrapText="1"/>
      <protection locked="0"/>
    </xf>
    <xf numFmtId="0" fontId="27" fillId="15" borderId="1" xfId="0" applyFont="1" applyFill="1" applyBorder="1" applyAlignment="1" applyProtection="1">
      <alignment horizontal="center" vertical="center" wrapText="1"/>
      <protection locked="0"/>
    </xf>
    <xf numFmtId="0" fontId="19" fillId="0" borderId="1" xfId="0" applyFont="1" applyBorder="1" applyAlignment="1">
      <alignment wrapText="1"/>
    </xf>
    <xf numFmtId="0" fontId="29" fillId="15" borderId="1" xfId="0" applyFont="1" applyFill="1" applyBorder="1" applyAlignment="1">
      <alignment horizontal="center" vertical="center" textRotation="90"/>
    </xf>
    <xf numFmtId="0" fontId="53" fillId="15" borderId="1" xfId="0" applyFont="1" applyFill="1" applyBorder="1" applyAlignment="1">
      <alignment horizontal="center" vertical="center"/>
    </xf>
    <xf numFmtId="0" fontId="28" fillId="15" borderId="55" xfId="0" applyFont="1" applyFill="1" applyBorder="1" applyAlignment="1">
      <alignment horizontal="center" vertical="center"/>
    </xf>
    <xf numFmtId="0" fontId="27" fillId="15" borderId="13" xfId="1" applyFont="1" applyFill="1" applyBorder="1" applyAlignment="1">
      <alignment horizontal="center" vertical="center" wrapText="1"/>
    </xf>
    <xf numFmtId="0" fontId="27" fillId="15" borderId="63" xfId="1" applyFont="1" applyFill="1" applyBorder="1" applyAlignment="1">
      <alignment horizontal="center" vertical="center" wrapText="1"/>
    </xf>
    <xf numFmtId="0" fontId="27" fillId="15" borderId="79" xfId="0" applyFont="1" applyFill="1" applyBorder="1" applyAlignment="1">
      <alignment horizontal="center" vertical="center" wrapText="1"/>
    </xf>
    <xf numFmtId="0" fontId="27" fillId="15" borderId="79" xfId="1" applyFont="1" applyFill="1" applyBorder="1" applyAlignment="1">
      <alignment horizontal="center" vertical="center" wrapText="1"/>
    </xf>
    <xf numFmtId="0" fontId="27" fillId="15" borderId="76" xfId="0" applyFont="1" applyFill="1" applyBorder="1" applyAlignment="1">
      <alignment horizontal="center" vertical="center" wrapText="1"/>
    </xf>
    <xf numFmtId="0" fontId="27" fillId="15" borderId="80" xfId="0" applyFont="1" applyFill="1" applyBorder="1" applyAlignment="1">
      <alignment horizontal="center" vertical="center" wrapText="1"/>
    </xf>
    <xf numFmtId="0" fontId="27" fillId="15" borderId="6" xfId="0" applyFont="1" applyFill="1" applyBorder="1" applyAlignment="1">
      <alignment wrapText="1"/>
    </xf>
    <xf numFmtId="0" fontId="29" fillId="15" borderId="6" xfId="0" applyFont="1" applyFill="1" applyBorder="1" applyAlignment="1">
      <alignment horizontal="left" vertical="center"/>
    </xf>
    <xf numFmtId="0" fontId="21" fillId="0" borderId="66" xfId="0" applyFont="1" applyBorder="1" applyAlignment="1">
      <alignment horizontal="center" vertical="center" textRotation="90"/>
    </xf>
    <xf numFmtId="0" fontId="40" fillId="0" borderId="16" xfId="0" applyFont="1" applyBorder="1" applyAlignment="1">
      <alignment horizontal="center" vertical="center" textRotation="90"/>
    </xf>
    <xf numFmtId="0" fontId="40" fillId="15" borderId="16" xfId="0" applyFont="1" applyFill="1" applyBorder="1" applyAlignment="1">
      <alignment horizontal="center" vertical="center" textRotation="90"/>
    </xf>
    <xf numFmtId="0" fontId="40" fillId="15" borderId="16" xfId="0" applyFont="1" applyFill="1" applyBorder="1" applyAlignment="1">
      <alignment horizontal="center" vertical="center" textRotation="90" wrapText="1"/>
    </xf>
    <xf numFmtId="0" fontId="40" fillId="15" borderId="17" xfId="0" applyFont="1" applyFill="1" applyBorder="1" applyAlignment="1">
      <alignment horizontal="center" vertical="center" textRotation="90"/>
    </xf>
    <xf numFmtId="0" fontId="40" fillId="15" borderId="18" xfId="0" applyFont="1" applyFill="1" applyBorder="1" applyAlignment="1">
      <alignment horizontal="center" vertical="center" textRotation="90"/>
    </xf>
    <xf numFmtId="0" fontId="41" fillId="15" borderId="1" xfId="2" quotePrefix="1" applyFont="1" applyFill="1" applyBorder="1" applyAlignment="1">
      <alignment horizontal="center" textRotation="90" wrapText="1"/>
    </xf>
    <xf numFmtId="0" fontId="41" fillId="15" borderId="1" xfId="2" quotePrefix="1" applyFont="1" applyFill="1" applyBorder="1" applyAlignment="1">
      <alignment horizontal="center" textRotation="90"/>
    </xf>
    <xf numFmtId="0" fontId="19" fillId="0" borderId="17" xfId="0" applyFont="1" applyBorder="1" applyAlignment="1">
      <alignment horizontal="left" vertical="center" wrapText="1"/>
    </xf>
    <xf numFmtId="0" fontId="19" fillId="0" borderId="0" xfId="0" applyFont="1" applyAlignment="1">
      <alignment horizontal="left" vertical="center" wrapText="1"/>
    </xf>
    <xf numFmtId="0" fontId="19" fillId="0" borderId="12" xfId="0" applyFont="1" applyBorder="1" applyAlignment="1">
      <alignment horizontal="left" vertical="center" wrapText="1"/>
    </xf>
    <xf numFmtId="0" fontId="27" fillId="0" borderId="12" xfId="0" quotePrefix="1" applyFont="1" applyBorder="1" applyAlignment="1">
      <alignment horizontal="left" vertical="center" wrapText="1"/>
    </xf>
    <xf numFmtId="0" fontId="19" fillId="0" borderId="21" xfId="0" applyFont="1" applyBorder="1" applyAlignment="1">
      <alignment horizontal="left" vertical="center" textRotation="90" wrapText="1"/>
    </xf>
    <xf numFmtId="0" fontId="21" fillId="4" borderId="1" xfId="0" applyFont="1" applyFill="1" applyBorder="1" applyAlignment="1">
      <alignment horizontal="left" vertical="center" wrapText="1"/>
    </xf>
    <xf numFmtId="0" fontId="27" fillId="9" borderId="76" xfId="0" quotePrefix="1" applyFont="1" applyFill="1" applyBorder="1" applyAlignment="1">
      <alignment horizontal="center" vertical="center" wrapText="1"/>
    </xf>
    <xf numFmtId="0" fontId="27" fillId="4" borderId="21" xfId="0" applyFont="1" applyFill="1" applyBorder="1" applyAlignment="1">
      <alignment horizontal="left" vertical="center" wrapText="1"/>
    </xf>
    <xf numFmtId="0" fontId="29" fillId="15" borderId="76" xfId="0" applyFont="1" applyFill="1" applyBorder="1" applyAlignment="1">
      <alignment horizontal="left" vertical="center" wrapText="1"/>
    </xf>
    <xf numFmtId="0" fontId="27" fillId="15" borderId="5" xfId="0" applyFont="1" applyFill="1" applyBorder="1" applyAlignment="1">
      <alignment horizontal="left" vertical="center" wrapText="1"/>
    </xf>
    <xf numFmtId="0" fontId="27" fillId="15" borderId="76" xfId="0" applyFont="1" applyFill="1" applyBorder="1" applyAlignment="1">
      <alignment horizontal="left" vertical="center" wrapText="1"/>
    </xf>
    <xf numFmtId="0" fontId="27" fillId="4" borderId="76" xfId="0" applyFont="1" applyFill="1" applyBorder="1" applyAlignment="1">
      <alignment horizontal="left" vertical="center" wrapText="1"/>
    </xf>
    <xf numFmtId="0" fontId="27" fillId="4" borderId="5" xfId="0" applyFont="1" applyFill="1" applyBorder="1" applyAlignment="1">
      <alignment horizontal="left" vertical="center" wrapText="1"/>
    </xf>
    <xf numFmtId="0" fontId="27" fillId="0" borderId="5" xfId="0" applyFont="1" applyBorder="1" applyAlignment="1">
      <alignment horizontal="left" vertical="center" wrapText="1"/>
    </xf>
    <xf numFmtId="0" fontId="27" fillId="5" borderId="3" xfId="0" applyFont="1" applyFill="1" applyBorder="1" applyAlignment="1">
      <alignment horizontal="center" vertical="center" wrapText="1"/>
    </xf>
    <xf numFmtId="0" fontId="27" fillId="0" borderId="72" xfId="0" applyFont="1" applyBorder="1" applyAlignment="1">
      <alignment vertical="center" wrapText="1"/>
    </xf>
    <xf numFmtId="0" fontId="27" fillId="0" borderId="88" xfId="0" applyFont="1" applyBorder="1" applyAlignment="1">
      <alignment vertical="center" wrapText="1"/>
    </xf>
    <xf numFmtId="0" fontId="27" fillId="15" borderId="1" xfId="0" applyFont="1" applyFill="1" applyBorder="1" applyAlignment="1">
      <alignment vertical="center"/>
    </xf>
    <xf numFmtId="0" fontId="29" fillId="4" borderId="2" xfId="0" applyFont="1" applyFill="1" applyBorder="1" applyAlignment="1">
      <alignment vertical="center"/>
    </xf>
    <xf numFmtId="0" fontId="29" fillId="4" borderId="3" xfId="0" applyFont="1" applyFill="1" applyBorder="1" applyAlignment="1">
      <alignment vertical="center"/>
    </xf>
    <xf numFmtId="0" fontId="27" fillId="0" borderId="7" xfId="0" applyFont="1" applyBorder="1" applyAlignment="1">
      <alignment horizontal="left" vertical="center"/>
    </xf>
    <xf numFmtId="0" fontId="27" fillId="4" borderId="5" xfId="0" applyFont="1" applyFill="1" applyBorder="1" applyAlignment="1">
      <alignment horizontal="left" vertical="center"/>
    </xf>
    <xf numFmtId="0" fontId="27" fillId="15" borderId="42" xfId="1" applyFont="1" applyFill="1" applyBorder="1" applyAlignment="1">
      <alignment horizontal="center" vertical="center" wrapText="1"/>
    </xf>
    <xf numFmtId="0" fontId="27" fillId="0" borderId="1" xfId="0" applyFont="1" applyBorder="1" applyAlignment="1">
      <alignment horizontal="left" vertical="center" textRotation="90" wrapText="1"/>
    </xf>
    <xf numFmtId="0" fontId="27" fillId="15" borderId="1" xfId="0" applyFont="1" applyFill="1" applyBorder="1" applyAlignment="1">
      <alignment horizontal="left" vertical="center" wrapText="1"/>
    </xf>
    <xf numFmtId="0" fontId="27" fillId="15" borderId="1" xfId="1" quotePrefix="1" applyFont="1" applyFill="1" applyBorder="1" applyAlignment="1">
      <alignment horizontal="left" vertical="center" wrapText="1"/>
    </xf>
    <xf numFmtId="0" fontId="37" fillId="15" borderId="1" xfId="1" applyFont="1" applyFill="1" applyBorder="1" applyAlignment="1">
      <alignment horizontal="center" vertical="center" wrapText="1"/>
    </xf>
    <xf numFmtId="0" fontId="27" fillId="0" borderId="1" xfId="0" applyFont="1" applyBorder="1" applyAlignment="1">
      <alignment horizontal="left" vertical="top" wrapText="1"/>
    </xf>
    <xf numFmtId="0" fontId="51" fillId="0" borderId="87" xfId="0" applyFont="1" applyBorder="1" applyAlignment="1">
      <alignment vertical="center" wrapText="1"/>
    </xf>
    <xf numFmtId="0" fontId="29" fillId="15" borderId="1" xfId="0" applyFont="1" applyFill="1" applyBorder="1" applyAlignment="1">
      <alignment wrapText="1"/>
    </xf>
    <xf numFmtId="0" fontId="0" fillId="15" borderId="2" xfId="0" applyFill="1" applyBorder="1" applyAlignment="1">
      <alignment horizontal="center" vertical="center" wrapText="1"/>
    </xf>
    <xf numFmtId="0" fontId="0" fillId="15" borderId="91" xfId="0" applyFill="1" applyBorder="1" applyAlignment="1">
      <alignment horizontal="center" vertical="center" wrapText="1"/>
    </xf>
    <xf numFmtId="0" fontId="27" fillId="15" borderId="91" xfId="1" applyFont="1" applyFill="1" applyBorder="1" applyAlignment="1">
      <alignment horizontal="center" vertical="center" wrapText="1"/>
    </xf>
    <xf numFmtId="0" fontId="27" fillId="15" borderId="91" xfId="0" applyFont="1" applyFill="1" applyBorder="1" applyAlignment="1">
      <alignment horizontal="center" vertical="center" wrapText="1"/>
    </xf>
    <xf numFmtId="0" fontId="27" fillId="15" borderId="79" xfId="1" quotePrefix="1" applyFont="1" applyFill="1" applyBorder="1" applyAlignment="1">
      <alignment horizontal="center" vertical="center" wrapText="1"/>
    </xf>
    <xf numFmtId="164" fontId="45" fillId="5" borderId="1" xfId="0" applyNumberFormat="1" applyFont="1" applyFill="1" applyBorder="1" applyAlignment="1">
      <alignment horizontal="center"/>
    </xf>
    <xf numFmtId="0" fontId="41" fillId="0" borderId="1" xfId="2" quotePrefix="1" applyFont="1" applyFill="1" applyBorder="1" applyAlignment="1">
      <alignment horizontal="center" textRotation="90" wrapText="1"/>
    </xf>
    <xf numFmtId="0" fontId="37" fillId="0" borderId="1" xfId="0" quotePrefix="1" applyFont="1" applyBorder="1" applyAlignment="1">
      <alignment horizontal="left" vertical="center" wrapText="1"/>
    </xf>
    <xf numFmtId="0" fontId="19" fillId="0" borderId="7" xfId="0" applyFont="1" applyBorder="1" applyAlignment="1">
      <alignment horizontal="left" vertical="center"/>
    </xf>
    <xf numFmtId="0" fontId="27" fillId="0" borderId="6" xfId="0" quotePrefix="1" applyFont="1" applyBorder="1" applyAlignment="1">
      <alignment horizontal="left" wrapText="1"/>
    </xf>
    <xf numFmtId="0" fontId="27" fillId="0" borderId="6" xfId="0" applyFont="1" applyBorder="1" applyAlignment="1">
      <alignment horizontal="left" wrapText="1"/>
    </xf>
    <xf numFmtId="0" fontId="27" fillId="0" borderId="6" xfId="0" applyFont="1" applyBorder="1" applyAlignment="1">
      <alignment horizontal="left"/>
    </xf>
    <xf numFmtId="0" fontId="29" fillId="4" borderId="1" xfId="0" applyFont="1" applyFill="1" applyBorder="1" applyAlignment="1">
      <alignment horizontal="center" vertical="center"/>
    </xf>
    <xf numFmtId="0" fontId="16" fillId="0" borderId="1" xfId="0" applyFont="1" applyBorder="1" applyAlignment="1">
      <alignment horizontal="left" vertical="center" wrapText="1"/>
    </xf>
    <xf numFmtId="0" fontId="33" fillId="0" borderId="1" xfId="2" quotePrefix="1" applyFont="1" applyFill="1" applyBorder="1" applyAlignment="1">
      <alignment horizontal="center" textRotation="90" wrapText="1"/>
    </xf>
    <xf numFmtId="0" fontId="55" fillId="0" borderId="2" xfId="0" applyFont="1" applyBorder="1" applyAlignment="1">
      <alignment horizontal="center" vertical="center" textRotation="90" wrapText="1"/>
    </xf>
    <xf numFmtId="0" fontId="19" fillId="4" borderId="1" xfId="0" applyFont="1" applyFill="1" applyBorder="1" applyAlignment="1">
      <alignment horizontal="center" vertical="center"/>
    </xf>
    <xf numFmtId="0" fontId="27" fillId="4" borderId="3" xfId="0" applyFont="1" applyFill="1" applyBorder="1" applyAlignment="1">
      <alignment vertical="center"/>
    </xf>
    <xf numFmtId="0" fontId="37" fillId="4" borderId="3" xfId="0" applyFont="1" applyFill="1" applyBorder="1" applyAlignment="1">
      <alignment vertical="center"/>
    </xf>
    <xf numFmtId="0" fontId="21" fillId="4" borderId="30" xfId="0" applyFont="1" applyFill="1" applyBorder="1" applyAlignment="1">
      <alignment horizontal="left" vertical="center" wrapText="1"/>
    </xf>
    <xf numFmtId="0" fontId="31" fillId="0" borderId="5" xfId="0" quotePrefix="1" applyFont="1" applyBorder="1" applyAlignment="1">
      <alignment horizontal="center" textRotation="90"/>
    </xf>
    <xf numFmtId="0" fontId="19" fillId="0" borderId="1" xfId="0" applyFont="1" applyBorder="1" applyAlignment="1">
      <alignment vertical="top" wrapText="1"/>
    </xf>
    <xf numFmtId="0" fontId="19" fillId="0" borderId="6" xfId="0" applyFont="1" applyBorder="1" applyAlignment="1">
      <alignment horizontal="left"/>
    </xf>
    <xf numFmtId="0" fontId="19" fillId="0" borderId="6" xfId="0" applyFont="1" applyBorder="1" applyAlignment="1">
      <alignment horizontal="left" wrapText="1"/>
    </xf>
    <xf numFmtId="0" fontId="19" fillId="0" borderId="7" xfId="0" applyFont="1" applyBorder="1" applyAlignment="1">
      <alignment horizontal="left"/>
    </xf>
    <xf numFmtId="0" fontId="19" fillId="0" borderId="15" xfId="0" applyFont="1" applyBorder="1" applyAlignment="1">
      <alignment horizontal="left"/>
    </xf>
    <xf numFmtId="0" fontId="27" fillId="0" borderId="15" xfId="0" quotePrefix="1" applyFont="1" applyBorder="1" applyAlignment="1">
      <alignment horizontal="left" wrapText="1"/>
    </xf>
    <xf numFmtId="0" fontId="27" fillId="0" borderId="15" xfId="0" applyFont="1" applyBorder="1" applyAlignment="1">
      <alignment horizontal="left" vertical="center" wrapText="1"/>
    </xf>
    <xf numFmtId="0" fontId="19" fillId="0" borderId="15" xfId="0" applyFont="1" applyBorder="1" applyAlignment="1">
      <alignment horizontal="left" vertical="center"/>
    </xf>
    <xf numFmtId="0" fontId="27" fillId="0" borderId="12" xfId="11" quotePrefix="1" applyFont="1" applyBorder="1" applyAlignment="1" applyProtection="1">
      <alignment horizontal="left" wrapText="1"/>
      <protection locked="0"/>
    </xf>
    <xf numFmtId="0" fontId="27" fillId="0" borderId="7" xfId="0" applyFont="1" applyBorder="1" applyAlignment="1">
      <alignment horizontal="left" vertical="top" wrapText="1"/>
    </xf>
    <xf numFmtId="0" fontId="27" fillId="0" borderId="15" xfId="0" applyFont="1" applyBorder="1" applyAlignment="1">
      <alignment horizontal="left" vertical="top" wrapText="1"/>
    </xf>
    <xf numFmtId="0" fontId="27" fillId="0" borderId="18" xfId="0" applyFont="1" applyBorder="1" applyAlignment="1">
      <alignment horizontal="left" vertical="top" wrapText="1"/>
    </xf>
    <xf numFmtId="0" fontId="27" fillId="0" borderId="1" xfId="0" applyFont="1" applyBorder="1" applyAlignment="1">
      <alignment horizontal="left"/>
    </xf>
    <xf numFmtId="0" fontId="27" fillId="0" borderId="89" xfId="0" applyFont="1" applyBorder="1" applyAlignment="1">
      <alignment horizontal="left" vertical="center" wrapText="1"/>
    </xf>
    <xf numFmtId="0" fontId="27" fillId="0" borderId="6" xfId="0" applyFont="1" applyBorder="1" applyAlignment="1">
      <alignment horizontal="left" vertical="top" wrapText="1"/>
    </xf>
    <xf numFmtId="0" fontId="57" fillId="16" borderId="0" xfId="0" applyFont="1" applyFill="1"/>
    <xf numFmtId="0" fontId="19" fillId="0" borderId="7" xfId="0" applyFont="1" applyBorder="1" applyAlignment="1">
      <alignment vertical="center" wrapText="1"/>
    </xf>
    <xf numFmtId="0" fontId="27" fillId="4" borderId="3" xfId="0" applyFont="1" applyFill="1" applyBorder="1" applyAlignment="1">
      <alignment horizontal="center" vertical="center"/>
    </xf>
    <xf numFmtId="0" fontId="27" fillId="0" borderId="2" xfId="0" applyFont="1" applyBorder="1" applyAlignment="1">
      <alignment horizontal="left" vertical="center" wrapText="1"/>
    </xf>
    <xf numFmtId="0" fontId="27" fillId="4" borderId="3" xfId="0" applyFont="1" applyFill="1" applyBorder="1" applyAlignment="1">
      <alignment horizontal="center" vertical="center" wrapText="1"/>
    </xf>
    <xf numFmtId="0" fontId="21" fillId="4" borderId="6" xfId="0" applyFont="1" applyFill="1" applyBorder="1" applyAlignment="1">
      <alignment horizontal="left" vertical="center" wrapText="1"/>
    </xf>
    <xf numFmtId="14" fontId="27" fillId="9" borderId="89" xfId="0" quotePrefix="1" applyNumberFormat="1" applyFont="1" applyFill="1" applyBorder="1" applyAlignment="1">
      <alignment horizontal="center" vertical="center" wrapText="1"/>
    </xf>
    <xf numFmtId="0" fontId="27" fillId="4" borderId="89" xfId="0" applyFont="1" applyFill="1" applyBorder="1" applyAlignment="1">
      <alignment horizontal="left" vertical="center" wrapText="1"/>
    </xf>
    <xf numFmtId="0" fontId="27" fillId="4" borderId="3" xfId="6" applyFont="1" applyFill="1" applyBorder="1" applyAlignment="1">
      <alignment vertical="center"/>
    </xf>
    <xf numFmtId="0" fontId="27" fillId="4" borderId="3" xfId="6" applyFont="1" applyFill="1" applyBorder="1" applyAlignment="1">
      <alignment horizontal="center" vertical="center" wrapText="1"/>
    </xf>
    <xf numFmtId="0" fontId="27" fillId="4" borderId="16" xfId="0" applyFont="1" applyFill="1" applyBorder="1" applyAlignment="1">
      <alignment horizontal="left" vertical="center" wrapText="1"/>
    </xf>
    <xf numFmtId="0" fontId="21" fillId="0" borderId="9" xfId="0" applyFont="1" applyBorder="1" applyAlignment="1">
      <alignment horizontal="center" textRotation="90"/>
    </xf>
    <xf numFmtId="0" fontId="56" fillId="0" borderId="40" xfId="2" applyFont="1" applyFill="1" applyBorder="1" applyAlignment="1">
      <alignment horizontal="center" textRotation="90"/>
    </xf>
    <xf numFmtId="0" fontId="56" fillId="0" borderId="57" xfId="2" applyFont="1" applyFill="1" applyBorder="1" applyAlignment="1">
      <alignment horizontal="center" textRotation="90"/>
    </xf>
    <xf numFmtId="0" fontId="28" fillId="0" borderId="41" xfId="0" applyFont="1" applyBorder="1" applyAlignment="1">
      <alignment horizontal="center" textRotation="90"/>
    </xf>
    <xf numFmtId="0" fontId="56" fillId="0" borderId="41" xfId="2" applyFont="1" applyFill="1" applyBorder="1" applyAlignment="1">
      <alignment horizontal="center" textRotation="90"/>
    </xf>
    <xf numFmtId="0" fontId="28" fillId="0" borderId="5" xfId="0" applyFont="1" applyBorder="1" applyAlignment="1">
      <alignment horizontal="center" textRotation="90" wrapText="1"/>
    </xf>
    <xf numFmtId="0" fontId="28" fillId="0" borderId="20" xfId="0" applyFont="1" applyBorder="1" applyAlignment="1">
      <alignment horizontal="center" textRotation="90"/>
    </xf>
    <xf numFmtId="0" fontId="19" fillId="0" borderId="33" xfId="0" applyFont="1" applyBorder="1" applyAlignment="1">
      <alignment horizontal="left" vertical="center" wrapText="1"/>
    </xf>
    <xf numFmtId="0" fontId="27" fillId="0" borderId="1" xfId="0" quotePrefix="1" applyFont="1" applyBorder="1" applyAlignment="1">
      <alignment horizontal="left" vertical="center" wrapText="1"/>
    </xf>
    <xf numFmtId="0" fontId="19" fillId="0" borderId="2" xfId="0" applyFont="1" applyBorder="1" applyAlignment="1">
      <alignment horizontal="left" vertical="center" textRotation="90" wrapText="1"/>
    </xf>
    <xf numFmtId="0" fontId="28" fillId="4" borderId="3" xfId="6" applyFont="1" applyFill="1" applyBorder="1" applyAlignment="1">
      <alignment vertical="center"/>
    </xf>
    <xf numFmtId="0" fontId="21" fillId="4" borderId="18" xfId="0" applyFont="1" applyFill="1" applyBorder="1" applyAlignment="1">
      <alignment horizontal="center" vertical="center" wrapText="1"/>
    </xf>
    <xf numFmtId="0" fontId="0" fillId="0" borderId="6" xfId="0" applyBorder="1"/>
    <xf numFmtId="0" fontId="27" fillId="4" borderId="3" xfId="0" applyFont="1" applyFill="1" applyBorder="1" applyAlignment="1">
      <alignment horizontal="left" vertical="center" wrapText="1"/>
    </xf>
    <xf numFmtId="0" fontId="0" fillId="0" borderId="20" xfId="0" applyBorder="1" applyAlignment="1">
      <alignment vertical="center" wrapText="1"/>
    </xf>
    <xf numFmtId="0" fontId="0" fillId="0" borderId="7" xfId="0" applyBorder="1" applyAlignment="1">
      <alignment vertical="center" wrapText="1"/>
    </xf>
    <xf numFmtId="0" fontId="37" fillId="0" borderId="6" xfId="0" quotePrefix="1" applyFont="1" applyBorder="1" applyAlignment="1">
      <alignment horizontal="left" vertical="center" wrapText="1"/>
    </xf>
    <xf numFmtId="0" fontId="27" fillId="0" borderId="6" xfId="0" applyFont="1" applyBorder="1" applyAlignment="1">
      <alignment horizontal="left" vertical="center" textRotation="90" wrapText="1"/>
    </xf>
    <xf numFmtId="0" fontId="27" fillId="4" borderId="6" xfId="0" applyFont="1" applyFill="1" applyBorder="1" applyAlignment="1">
      <alignment horizontal="left" vertical="center"/>
    </xf>
    <xf numFmtId="0" fontId="28" fillId="4" borderId="53" xfId="6" applyFont="1" applyFill="1" applyBorder="1" applyAlignment="1">
      <alignment horizontal="center" vertical="center"/>
    </xf>
    <xf numFmtId="0" fontId="27" fillId="4" borderId="3" xfId="0" applyFont="1" applyFill="1" applyBorder="1" applyAlignment="1">
      <alignment horizontal="left" vertical="center"/>
    </xf>
    <xf numFmtId="0" fontId="27" fillId="4" borderId="16" xfId="0" applyFont="1" applyFill="1" applyBorder="1" applyAlignment="1">
      <alignment horizontal="left" vertical="center"/>
    </xf>
    <xf numFmtId="0" fontId="40" fillId="0" borderId="5" xfId="0" applyFont="1" applyBorder="1" applyAlignment="1">
      <alignment horizontal="center" vertical="center" textRotation="90"/>
    </xf>
    <xf numFmtId="0" fontId="40" fillId="15" borderId="5" xfId="0" applyFont="1" applyFill="1" applyBorder="1" applyAlignment="1">
      <alignment horizontal="center" vertical="center" textRotation="90"/>
    </xf>
    <xf numFmtId="0" fontId="27" fillId="0" borderId="2" xfId="0" applyFont="1" applyBorder="1" applyAlignment="1">
      <alignment horizontal="left" vertical="center" textRotation="90" wrapText="1"/>
    </xf>
    <xf numFmtId="0" fontId="27" fillId="0" borderId="58" xfId="0" applyFont="1" applyBorder="1" applyAlignment="1">
      <alignment vertical="center" wrapText="1"/>
    </xf>
    <xf numFmtId="0" fontId="27" fillId="0" borderId="6" xfId="0" quotePrefix="1" applyFont="1" applyBorder="1" applyAlignment="1">
      <alignment horizontal="center" vertical="center" wrapText="1"/>
    </xf>
    <xf numFmtId="0" fontId="48" fillId="0" borderId="6" xfId="0" applyFont="1" applyBorder="1" applyAlignment="1">
      <alignment horizontal="center" vertical="center" wrapText="1"/>
    </xf>
    <xf numFmtId="0" fontId="27" fillId="0" borderId="7" xfId="0" quotePrefix="1" applyFont="1" applyBorder="1" applyAlignment="1">
      <alignment horizontal="left" wrapText="1"/>
    </xf>
    <xf numFmtId="0" fontId="59" fillId="0" borderId="1" xfId="0" quotePrefix="1" applyFont="1" applyBorder="1" applyAlignment="1">
      <alignment horizontal="center" textRotation="90" wrapText="1"/>
    </xf>
    <xf numFmtId="0" fontId="58" fillId="0" borderId="1" xfId="0" applyFont="1" applyBorder="1" applyAlignment="1">
      <alignment horizontal="center" vertical="center" wrapText="1"/>
    </xf>
    <xf numFmtId="0" fontId="55" fillId="0" borderId="34" xfId="0" applyFont="1" applyBorder="1" applyAlignment="1">
      <alignment horizontal="center" vertical="center" textRotation="90" wrapText="1"/>
    </xf>
    <xf numFmtId="0" fontId="56" fillId="0" borderId="2" xfId="10" applyFont="1" applyBorder="1" applyAlignment="1">
      <alignment horizontal="left" vertical="top"/>
    </xf>
    <xf numFmtId="16" fontId="16" fillId="0" borderId="1" xfId="10" quotePrefix="1" applyNumberFormat="1" applyBorder="1" applyAlignment="1">
      <alignment horizontal="left" vertical="top"/>
    </xf>
    <xf numFmtId="0" fontId="16" fillId="0" borderId="1" xfId="10" applyBorder="1" applyAlignment="1">
      <alignment horizontal="left" vertical="top"/>
    </xf>
    <xf numFmtId="0" fontId="16" fillId="0" borderId="1" xfId="10" applyBorder="1" applyAlignment="1">
      <alignment horizontal="left" vertical="top" shrinkToFit="1"/>
    </xf>
    <xf numFmtId="14" fontId="16" fillId="0" borderId="1" xfId="10" applyNumberFormat="1" applyBorder="1" applyAlignment="1">
      <alignment horizontal="left" vertical="top"/>
    </xf>
    <xf numFmtId="0" fontId="16" fillId="0" borderId="1" xfId="10" applyBorder="1" applyAlignment="1">
      <alignment horizontal="left" vertical="top" wrapText="1"/>
    </xf>
    <xf numFmtId="0" fontId="19" fillId="5" borderId="0" xfId="0" applyFont="1" applyFill="1" applyAlignment="1">
      <alignment horizontal="center"/>
    </xf>
    <xf numFmtId="0" fontId="54" fillId="15" borderId="1" xfId="0" applyFont="1" applyFill="1" applyBorder="1" applyAlignment="1">
      <alignment horizontal="left" vertical="center" wrapText="1"/>
    </xf>
    <xf numFmtId="0" fontId="27" fillId="15" borderId="37" xfId="1" applyFont="1" applyFill="1" applyBorder="1" applyAlignment="1">
      <alignment horizontal="center" vertical="center" wrapText="1"/>
    </xf>
    <xf numFmtId="0" fontId="27" fillId="0" borderId="6" xfId="1" applyFont="1" applyFill="1" applyBorder="1" applyAlignment="1">
      <alignment horizontal="center" vertical="center" wrapText="1"/>
    </xf>
    <xf numFmtId="0" fontId="27" fillId="0" borderId="15" xfId="0" quotePrefix="1" applyFont="1" applyBorder="1" applyAlignment="1">
      <alignment horizontal="center" vertical="center" wrapText="1"/>
    </xf>
    <xf numFmtId="0" fontId="27" fillId="0" borderId="13" xfId="0" quotePrefix="1" applyFont="1" applyBorder="1" applyAlignment="1">
      <alignment horizontal="center" vertical="center" wrapText="1"/>
    </xf>
    <xf numFmtId="0" fontId="27" fillId="0" borderId="76" xfId="0" quotePrefix="1" applyFont="1" applyBorder="1" applyAlignment="1">
      <alignment horizontal="center" vertical="center" wrapText="1"/>
    </xf>
    <xf numFmtId="14" fontId="27" fillId="0" borderId="89" xfId="0" quotePrefix="1" applyNumberFormat="1" applyFont="1" applyBorder="1" applyAlignment="1">
      <alignment horizontal="center" vertical="center" wrapText="1"/>
    </xf>
    <xf numFmtId="14" fontId="27" fillId="0" borderId="1" xfId="1" applyNumberFormat="1" applyFont="1" applyFill="1" applyBorder="1" applyAlignment="1">
      <alignment horizontal="center" vertical="center" wrapText="1"/>
    </xf>
    <xf numFmtId="14" fontId="27" fillId="0" borderId="1" xfId="0" applyNumberFormat="1" applyFont="1" applyBorder="1" applyAlignment="1">
      <alignment horizontal="center" vertical="center" wrapText="1"/>
    </xf>
    <xf numFmtId="0" fontId="51" fillId="0" borderId="6" xfId="0" applyFont="1" applyBorder="1" applyAlignment="1">
      <alignment horizontal="left" vertical="center" wrapText="1"/>
    </xf>
    <xf numFmtId="0" fontId="58" fillId="0" borderId="1" xfId="1" applyFont="1" applyFill="1" applyBorder="1" applyAlignment="1">
      <alignment horizontal="center" vertical="center" wrapText="1"/>
    </xf>
    <xf numFmtId="14" fontId="27" fillId="0" borderId="6" xfId="0" applyNumberFormat="1" applyFont="1" applyBorder="1" applyAlignment="1">
      <alignment horizontal="center" vertical="center" wrapText="1"/>
    </xf>
    <xf numFmtId="0" fontId="58" fillId="0" borderId="1" xfId="0" quotePrefix="1" applyFont="1" applyBorder="1" applyAlignment="1">
      <alignment horizontal="center" vertical="center" wrapText="1"/>
    </xf>
    <xf numFmtId="0" fontId="58" fillId="0" borderId="1" xfId="0" applyFont="1" applyBorder="1" applyAlignment="1">
      <alignment horizontal="center" vertical="center"/>
    </xf>
    <xf numFmtId="0" fontId="27" fillId="0" borderId="99" xfId="0" applyFont="1" applyBorder="1" applyAlignment="1">
      <alignment horizontal="left" wrapText="1"/>
    </xf>
    <xf numFmtId="0" fontId="27" fillId="0" borderId="2" xfId="1" quotePrefix="1" applyFont="1" applyFill="1" applyBorder="1" applyAlignment="1">
      <alignment horizontal="left" wrapText="1"/>
    </xf>
    <xf numFmtId="0" fontId="58" fillId="0" borderId="1" xfId="2" applyFont="1" applyFill="1" applyBorder="1" applyAlignment="1">
      <alignment horizontal="center" vertical="center" wrapText="1"/>
    </xf>
    <xf numFmtId="0" fontId="27" fillId="0" borderId="7" xfId="0" applyFont="1" applyBorder="1" applyAlignment="1">
      <alignment horizontal="left" wrapText="1"/>
    </xf>
    <xf numFmtId="0" fontId="27" fillId="0" borderId="2" xfId="0" applyFont="1" applyBorder="1" applyAlignment="1">
      <alignment horizontal="left" vertical="top" wrapText="1"/>
    </xf>
    <xf numFmtId="0" fontId="0" fillId="0" borderId="7" xfId="0" applyBorder="1" applyAlignment="1">
      <alignment horizontal="center"/>
    </xf>
    <xf numFmtId="2" fontId="66" fillId="0" borderId="1" xfId="0" quotePrefix="1" applyNumberFormat="1" applyFont="1" applyBorder="1" applyAlignment="1">
      <alignment horizontal="center" textRotation="90" wrapText="1"/>
    </xf>
    <xf numFmtId="0" fontId="67" fillId="0" borderId="5" xfId="0" applyFont="1" applyBorder="1" applyAlignment="1">
      <alignment horizontal="center" vertical="center" textRotation="90"/>
    </xf>
    <xf numFmtId="0" fontId="19" fillId="0" borderId="1" xfId="0" applyFont="1" applyBorder="1"/>
    <xf numFmtId="0" fontId="19" fillId="0" borderId="1" xfId="0" quotePrefix="1" applyFont="1" applyBorder="1" applyAlignment="1">
      <alignment horizontal="left" wrapText="1"/>
    </xf>
    <xf numFmtId="0" fontId="16" fillId="0" borderId="1" xfId="10" applyBorder="1" applyAlignment="1">
      <alignment horizontal="left" vertical="top" wrapText="1" shrinkToFit="1"/>
    </xf>
    <xf numFmtId="0" fontId="27" fillId="0" borderId="18" xfId="0" applyFont="1" applyBorder="1" applyAlignment="1">
      <alignment horizontal="left"/>
    </xf>
    <xf numFmtId="0" fontId="67" fillId="0" borderId="2" xfId="0" applyFont="1" applyBorder="1" applyAlignment="1">
      <alignment horizontal="center" vertical="center" textRotation="90"/>
    </xf>
    <xf numFmtId="0" fontId="45" fillId="4" borderId="1" xfId="6" applyFont="1" applyFill="1" applyBorder="1" applyAlignment="1">
      <alignment vertical="center"/>
    </xf>
    <xf numFmtId="0" fontId="68" fillId="4" borderId="1" xfId="0" applyFont="1" applyFill="1" applyBorder="1" applyAlignment="1">
      <alignment vertical="center"/>
    </xf>
    <xf numFmtId="0" fontId="45" fillId="0" borderId="2" xfId="0" applyFont="1" applyBorder="1" applyAlignment="1">
      <alignment horizontal="left" vertical="center"/>
    </xf>
    <xf numFmtId="0" fontId="55" fillId="0" borderId="1" xfId="0" applyFont="1" applyBorder="1" applyAlignment="1">
      <alignment horizontal="center" vertical="center" wrapText="1"/>
    </xf>
    <xf numFmtId="0" fontId="16" fillId="4" borderId="1" xfId="0" applyFont="1" applyFill="1" applyBorder="1" applyAlignment="1">
      <alignment horizontal="center" vertical="center"/>
    </xf>
    <xf numFmtId="0" fontId="16" fillId="15" borderId="1" xfId="0" applyFont="1" applyFill="1" applyBorder="1" applyAlignment="1">
      <alignment horizontal="center" vertical="center"/>
    </xf>
    <xf numFmtId="0" fontId="68" fillId="0" borderId="1" xfId="1" applyFont="1" applyFill="1" applyBorder="1" applyAlignment="1">
      <alignment horizontal="center" vertical="center"/>
    </xf>
    <xf numFmtId="0" fontId="68" fillId="0" borderId="1" xfId="0" applyFont="1" applyBorder="1" applyAlignment="1">
      <alignment horizontal="center" vertical="center"/>
    </xf>
    <xf numFmtId="0" fontId="68" fillId="4" borderId="1" xfId="1" applyFont="1" applyFill="1" applyBorder="1" applyAlignment="1">
      <alignment horizontal="center" vertical="center"/>
    </xf>
    <xf numFmtId="0" fontId="68" fillId="15" borderId="1" xfId="1" applyFont="1" applyFill="1" applyBorder="1" applyAlignment="1">
      <alignment horizontal="center" vertical="center"/>
    </xf>
    <xf numFmtId="0" fontId="45" fillId="0" borderId="1" xfId="0" applyFont="1" applyBorder="1" applyAlignment="1">
      <alignment horizontal="left" vertical="center"/>
    </xf>
    <xf numFmtId="0" fontId="45" fillId="0" borderId="3" xfId="0" applyFont="1" applyBorder="1" applyAlignment="1">
      <alignment horizontal="left" vertical="center"/>
    </xf>
    <xf numFmtId="0" fontId="68" fillId="0" borderId="1" xfId="0" applyFont="1" applyBorder="1" applyAlignment="1">
      <alignment horizontal="center" vertical="center" wrapText="1"/>
    </xf>
    <xf numFmtId="0" fontId="45" fillId="0" borderId="1" xfId="0" applyFont="1" applyBorder="1" applyAlignment="1">
      <alignment horizontal="center" vertical="center"/>
    </xf>
    <xf numFmtId="0" fontId="68" fillId="4" borderId="2" xfId="1" applyFont="1" applyFill="1" applyBorder="1" applyAlignment="1">
      <alignment horizontal="center" vertical="center"/>
    </xf>
    <xf numFmtId="0" fontId="68" fillId="15" borderId="2" xfId="1" applyFont="1" applyFill="1" applyBorder="1" applyAlignment="1">
      <alignment horizontal="center" vertical="center"/>
    </xf>
    <xf numFmtId="0" fontId="45" fillId="0" borderId="2" xfId="0" applyFont="1" applyBorder="1" applyAlignment="1">
      <alignment horizontal="left" vertical="center" wrapText="1"/>
    </xf>
    <xf numFmtId="0" fontId="68" fillId="0" borderId="1" xfId="0" applyFont="1" applyBorder="1" applyAlignment="1">
      <alignment vertical="center"/>
    </xf>
    <xf numFmtId="0" fontId="68" fillId="4" borderId="1" xfId="0" applyFont="1" applyFill="1" applyBorder="1" applyAlignment="1">
      <alignment horizontal="center" vertical="center"/>
    </xf>
    <xf numFmtId="0" fontId="68" fillId="15" borderId="1" xfId="0" applyFont="1" applyFill="1" applyBorder="1" applyAlignment="1">
      <alignment horizontal="center" vertical="center"/>
    </xf>
    <xf numFmtId="0" fontId="68" fillId="0" borderId="1" xfId="1" applyFont="1" applyFill="1" applyBorder="1" applyAlignment="1">
      <alignment horizontal="center" vertical="center" wrapText="1"/>
    </xf>
    <xf numFmtId="0" fontId="68" fillId="0" borderId="2" xfId="1" applyFont="1" applyFill="1" applyBorder="1" applyAlignment="1">
      <alignment horizontal="center" vertical="center" wrapText="1"/>
    </xf>
    <xf numFmtId="0" fontId="68" fillId="0" borderId="3" xfId="0" applyFont="1" applyBorder="1" applyAlignment="1">
      <alignment horizontal="center" vertical="center"/>
    </xf>
    <xf numFmtId="0" fontId="16" fillId="0" borderId="13" xfId="0" applyFont="1" applyBorder="1" applyAlignment="1">
      <alignment horizontal="center" vertical="center"/>
    </xf>
    <xf numFmtId="0" fontId="16" fillId="0" borderId="1" xfId="0" applyFont="1" applyBorder="1" applyAlignment="1">
      <alignment horizontal="center" vertical="center" wrapText="1"/>
    </xf>
    <xf numFmtId="0" fontId="45" fillId="0" borderId="1" xfId="6" applyFont="1" applyBorder="1" applyAlignment="1">
      <alignment horizontal="left" vertical="center"/>
    </xf>
    <xf numFmtId="0" fontId="16" fillId="0" borderId="1" xfId="0" quotePrefix="1" applyFont="1" applyBorder="1" applyAlignment="1">
      <alignment horizontal="center" vertical="center" wrapText="1"/>
    </xf>
    <xf numFmtId="0" fontId="16" fillId="0" borderId="2" xfId="0" applyFont="1" applyBorder="1" applyAlignment="1">
      <alignment horizontal="center" vertical="center"/>
    </xf>
    <xf numFmtId="0" fontId="16" fillId="4" borderId="2" xfId="0" applyFont="1" applyFill="1" applyBorder="1" applyAlignment="1">
      <alignment horizontal="center" vertical="center"/>
    </xf>
    <xf numFmtId="0" fontId="16" fillId="15" borderId="2" xfId="0" applyFont="1" applyFill="1" applyBorder="1" applyAlignment="1">
      <alignment horizontal="center" vertical="center"/>
    </xf>
    <xf numFmtId="0" fontId="16" fillId="0" borderId="1" xfId="0" applyFont="1" applyBorder="1" applyAlignment="1">
      <alignment horizontal="center" vertical="center"/>
    </xf>
    <xf numFmtId="0" fontId="45" fillId="4" borderId="1" xfId="0" applyFont="1" applyFill="1" applyBorder="1" applyAlignment="1">
      <alignment horizontal="center" vertical="center"/>
    </xf>
    <xf numFmtId="0" fontId="71" fillId="0" borderId="93" xfId="0" applyFont="1" applyBorder="1" applyAlignment="1">
      <alignment vertical="center"/>
    </xf>
    <xf numFmtId="0" fontId="68" fillId="0" borderId="2" xfId="0" applyFont="1" applyBorder="1" applyAlignment="1">
      <alignment vertical="center"/>
    </xf>
    <xf numFmtId="0" fontId="68" fillId="0" borderId="79" xfId="0" applyFont="1" applyBorder="1" applyAlignment="1">
      <alignment horizontal="center" vertical="center" wrapText="1"/>
    </xf>
    <xf numFmtId="0" fontId="68" fillId="0" borderId="76" xfId="0" applyFont="1" applyBorder="1" applyAlignment="1">
      <alignment horizontal="center" vertical="center" wrapText="1"/>
    </xf>
    <xf numFmtId="0" fontId="68" fillId="0" borderId="76" xfId="0" applyFont="1" applyBorder="1" applyAlignment="1">
      <alignment vertical="center"/>
    </xf>
    <xf numFmtId="0" fontId="68" fillId="0" borderId="7" xfId="0" applyFont="1" applyBorder="1" applyAlignment="1">
      <alignment vertical="center"/>
    </xf>
    <xf numFmtId="0" fontId="68" fillId="0" borderId="1" xfId="0" applyFont="1" applyBorder="1" applyAlignment="1">
      <alignment vertical="center" textRotation="90"/>
    </xf>
    <xf numFmtId="0" fontId="68" fillId="4" borderId="13" xfId="0" applyFont="1" applyFill="1" applyBorder="1" applyAlignment="1">
      <alignment vertical="center"/>
    </xf>
    <xf numFmtId="0" fontId="68" fillId="0" borderId="2" xfId="0" quotePrefix="1" applyFont="1" applyBorder="1" applyAlignment="1">
      <alignment vertical="center" wrapText="1"/>
    </xf>
    <xf numFmtId="0" fontId="71" fillId="0" borderId="100" xfId="0" applyFont="1" applyBorder="1" applyAlignment="1">
      <alignment vertical="center"/>
    </xf>
    <xf numFmtId="0" fontId="68" fillId="0" borderId="6" xfId="0" applyFont="1" applyBorder="1" applyAlignment="1">
      <alignment horizontal="center" vertical="center" wrapText="1"/>
    </xf>
    <xf numFmtId="0" fontId="72" fillId="0" borderId="94" xfId="0" applyFont="1" applyBorder="1" applyAlignment="1">
      <alignment horizontal="center" vertical="center"/>
    </xf>
    <xf numFmtId="0" fontId="68" fillId="0" borderId="3" xfId="0" applyFont="1" applyBorder="1" applyAlignment="1">
      <alignment horizontal="center" vertical="center" wrapText="1"/>
    </xf>
    <xf numFmtId="0" fontId="68" fillId="0" borderId="3" xfId="0" applyFont="1" applyBorder="1" applyAlignment="1">
      <alignment vertical="center"/>
    </xf>
    <xf numFmtId="0" fontId="68" fillId="4" borderId="3" xfId="0" applyFont="1" applyFill="1" applyBorder="1" applyAlignment="1">
      <alignment vertical="center"/>
    </xf>
    <xf numFmtId="0" fontId="68" fillId="0" borderId="76" xfId="0" quotePrefix="1" applyFont="1" applyBorder="1" applyAlignment="1">
      <alignment vertical="center" wrapText="1"/>
    </xf>
    <xf numFmtId="0" fontId="45" fillId="4" borderId="3" xfId="6" applyFont="1" applyFill="1" applyBorder="1" applyAlignment="1">
      <alignment vertical="center"/>
    </xf>
    <xf numFmtId="0" fontId="16" fillId="0" borderId="1" xfId="0" quotePrefix="1" applyFont="1" applyBorder="1" applyAlignment="1" applyProtection="1">
      <alignment horizontal="center" vertical="center" wrapText="1"/>
      <protection locked="0"/>
    </xf>
    <xf numFmtId="0" fontId="16" fillId="0" borderId="1" xfId="0" quotePrefix="1" applyFont="1" applyBorder="1" applyAlignment="1" applyProtection="1">
      <alignment horizontal="center" vertical="center"/>
      <protection locked="0"/>
    </xf>
    <xf numFmtId="0" fontId="45" fillId="4" borderId="2" xfId="6" applyFont="1" applyFill="1" applyBorder="1" applyAlignment="1">
      <alignment vertical="center"/>
    </xf>
    <xf numFmtId="0" fontId="68" fillId="4" borderId="2" xfId="0" applyFont="1" applyFill="1" applyBorder="1" applyAlignment="1">
      <alignment vertical="center"/>
    </xf>
    <xf numFmtId="0" fontId="16" fillId="0" borderId="1" xfId="7" quotePrefix="1" applyFont="1" applyBorder="1" applyAlignment="1" applyProtection="1">
      <alignment horizontal="center" vertical="center" wrapText="1"/>
      <protection locked="0"/>
    </xf>
    <xf numFmtId="0" fontId="16" fillId="0" borderId="1" xfId="0" applyFont="1" applyBorder="1" applyAlignment="1">
      <alignment vertical="center"/>
    </xf>
    <xf numFmtId="0" fontId="55" fillId="0" borderId="6" xfId="0" applyFont="1" applyBorder="1" applyAlignment="1">
      <alignment horizontal="center" vertical="center" textRotation="90"/>
    </xf>
    <xf numFmtId="0" fontId="73" fillId="0" borderId="6" xfId="2" applyFont="1" applyFill="1" applyBorder="1" applyAlignment="1">
      <alignment horizontal="center" vertical="center" textRotation="90"/>
    </xf>
    <xf numFmtId="0" fontId="55" fillId="0" borderId="1" xfId="0" applyFont="1" applyBorder="1" applyAlignment="1">
      <alignment horizontal="center" vertical="center" textRotation="90" wrapText="1"/>
    </xf>
    <xf numFmtId="0" fontId="55" fillId="0" borderId="5" xfId="0" applyFont="1" applyBorder="1" applyAlignment="1">
      <alignment horizontal="center" vertical="center" textRotation="90"/>
    </xf>
    <xf numFmtId="0" fontId="55" fillId="0" borderId="18" xfId="0" applyFont="1" applyBorder="1" applyAlignment="1">
      <alignment horizontal="center" vertical="center" textRotation="90"/>
    </xf>
    <xf numFmtId="0" fontId="73" fillId="0" borderId="18" xfId="2" applyFont="1" applyFill="1" applyBorder="1" applyAlignment="1">
      <alignment horizontal="center" vertical="center" textRotation="90"/>
    </xf>
    <xf numFmtId="0" fontId="55" fillId="0" borderId="3" xfId="0" applyFont="1" applyBorder="1" applyAlignment="1">
      <alignment horizontal="center" vertical="center" textRotation="90" wrapText="1"/>
    </xf>
    <xf numFmtId="0" fontId="55" fillId="0" borderId="16" xfId="0" applyFont="1" applyBorder="1" applyAlignment="1">
      <alignment horizontal="center" vertical="center" textRotation="90"/>
    </xf>
    <xf numFmtId="0" fontId="48" fillId="0" borderId="6" xfId="2" applyFont="1" applyFill="1" applyBorder="1" applyAlignment="1">
      <alignment horizontal="center" vertical="center"/>
    </xf>
    <xf numFmtId="0" fontId="74" fillId="0" borderId="1" xfId="0" quotePrefix="1" applyFont="1" applyBorder="1" applyAlignment="1">
      <alignment horizontal="center" textRotation="90" wrapText="1"/>
    </xf>
    <xf numFmtId="0" fontId="75" fillId="0" borderId="1" xfId="2" quotePrefix="1" applyFont="1" applyFill="1" applyBorder="1" applyAlignment="1">
      <alignment horizontal="center" textRotation="90"/>
    </xf>
    <xf numFmtId="2" fontId="75" fillId="0" borderId="1" xfId="0" quotePrefix="1" applyNumberFormat="1" applyFont="1" applyBorder="1" applyAlignment="1">
      <alignment horizontal="center" textRotation="90"/>
    </xf>
    <xf numFmtId="0" fontId="74" fillId="0" borderId="1" xfId="0" quotePrefix="1" applyFont="1" applyBorder="1" applyAlignment="1">
      <alignment horizontal="center" textRotation="90"/>
    </xf>
    <xf numFmtId="2" fontId="75" fillId="0" borderId="1" xfId="0" quotePrefix="1" applyNumberFormat="1" applyFont="1" applyBorder="1" applyAlignment="1">
      <alignment horizontal="center" textRotation="90" wrapText="1"/>
    </xf>
    <xf numFmtId="0" fontId="45" fillId="4" borderId="37" xfId="6" applyFont="1" applyFill="1" applyBorder="1" applyAlignment="1">
      <alignment horizontal="center" vertical="center"/>
    </xf>
    <xf numFmtId="0" fontId="16" fillId="0" borderId="39" xfId="0" applyFont="1" applyBorder="1" applyAlignment="1">
      <alignment horizontal="center" vertical="center"/>
    </xf>
    <xf numFmtId="0" fontId="16" fillId="0" borderId="52" xfId="0" applyFont="1" applyBorder="1" applyAlignment="1">
      <alignment horizontal="center" vertical="center"/>
    </xf>
    <xf numFmtId="0" fontId="16" fillId="0" borderId="37" xfId="0" applyFont="1" applyBorder="1" applyAlignment="1">
      <alignment horizontal="center" vertical="center"/>
    </xf>
    <xf numFmtId="0" fontId="16" fillId="0" borderId="37" xfId="0" applyFont="1" applyBorder="1" applyAlignment="1">
      <alignment horizontal="center" vertical="center" shrinkToFit="1"/>
    </xf>
    <xf numFmtId="0" fontId="16" fillId="15" borderId="3" xfId="0" applyFont="1" applyFill="1" applyBorder="1" applyAlignment="1">
      <alignment horizontal="center" vertical="center"/>
    </xf>
    <xf numFmtId="0" fontId="45" fillId="4" borderId="53" xfId="6" applyFont="1" applyFill="1" applyBorder="1" applyAlignment="1">
      <alignment horizontal="center" vertical="center"/>
    </xf>
    <xf numFmtId="0" fontId="45" fillId="4" borderId="52" xfId="6" applyFont="1" applyFill="1" applyBorder="1" applyAlignment="1">
      <alignment horizontal="center" vertical="center"/>
    </xf>
    <xf numFmtId="0" fontId="55" fillId="0" borderId="1" xfId="1" applyFont="1" applyFill="1" applyBorder="1" applyAlignment="1">
      <alignment horizontal="center" vertical="center" wrapText="1"/>
    </xf>
    <xf numFmtId="0" fontId="16" fillId="0" borderId="1" xfId="0" applyFont="1" applyBorder="1" applyAlignment="1" applyProtection="1">
      <alignment horizontal="center" vertical="center" wrapText="1"/>
      <protection locked="0"/>
    </xf>
    <xf numFmtId="0" fontId="16" fillId="0" borderId="1" xfId="7" quotePrefix="1" applyFont="1" applyBorder="1" applyAlignment="1" applyProtection="1">
      <alignment horizontal="center" vertical="center"/>
      <protection locked="0"/>
    </xf>
    <xf numFmtId="0" fontId="16" fillId="15" borderId="2" xfId="0" applyFont="1" applyFill="1" applyBorder="1" applyAlignment="1" applyProtection="1">
      <alignment horizontal="center" vertical="center" wrapText="1"/>
      <protection locked="0"/>
    </xf>
    <xf numFmtId="0" fontId="16" fillId="15" borderId="3" xfId="0" applyFont="1" applyFill="1" applyBorder="1" applyAlignment="1" applyProtection="1">
      <alignment horizontal="center" vertical="center" wrapText="1"/>
      <protection locked="0"/>
    </xf>
    <xf numFmtId="0" fontId="16" fillId="0" borderId="3" xfId="0" quotePrefix="1" applyFont="1" applyBorder="1" applyAlignment="1" applyProtection="1">
      <alignment horizontal="center" vertical="center" wrapText="1"/>
      <protection locked="0"/>
    </xf>
    <xf numFmtId="16" fontId="48" fillId="0" borderId="1" xfId="0" quotePrefix="1" applyNumberFormat="1" applyFont="1" applyBorder="1" applyAlignment="1" applyProtection="1">
      <alignment horizontal="center" vertical="center" wrapText="1"/>
      <protection locked="0"/>
    </xf>
    <xf numFmtId="0" fontId="16" fillId="0" borderId="1" xfId="2" applyFont="1" applyFill="1" applyBorder="1" applyAlignment="1">
      <alignment horizontal="center" vertical="center" wrapText="1"/>
    </xf>
    <xf numFmtId="0" fontId="48" fillId="0" borderId="3" xfId="0" quotePrefix="1" applyFont="1" applyBorder="1" applyAlignment="1" applyProtection="1">
      <alignment horizontal="center" vertical="center" wrapText="1"/>
      <protection locked="0"/>
    </xf>
    <xf numFmtId="0" fontId="27" fillId="5" borderId="2" xfId="0" applyFont="1" applyFill="1" applyBorder="1"/>
    <xf numFmtId="0" fontId="27" fillId="4" borderId="18" xfId="0" applyFont="1" applyFill="1" applyBorder="1" applyAlignment="1">
      <alignment horizontal="left" vertical="center"/>
    </xf>
    <xf numFmtId="0" fontId="27" fillId="4" borderId="3" xfId="0" applyFont="1" applyFill="1" applyBorder="1" applyAlignment="1">
      <alignment horizontal="left"/>
    </xf>
    <xf numFmtId="0" fontId="58" fillId="0" borderId="1" xfId="0" quotePrefix="1" applyFont="1" applyBorder="1" applyAlignment="1">
      <alignment horizontal="left" vertical="center" wrapText="1"/>
    </xf>
    <xf numFmtId="0" fontId="58" fillId="0" borderId="2" xfId="0" applyFont="1" applyBorder="1" applyAlignment="1">
      <alignment horizontal="center" vertical="center" wrapText="1"/>
    </xf>
    <xf numFmtId="0" fontId="58" fillId="0" borderId="1" xfId="1" applyFont="1" applyFill="1" applyBorder="1" applyAlignment="1">
      <alignment horizontal="center" vertical="center"/>
    </xf>
    <xf numFmtId="0" fontId="77" fillId="0" borderId="2" xfId="0" applyFont="1" applyBorder="1" applyAlignment="1">
      <alignment horizontal="left" vertical="center" wrapText="1"/>
    </xf>
    <xf numFmtId="0" fontId="67" fillId="0" borderId="33" xfId="0" applyFont="1" applyBorder="1" applyAlignment="1">
      <alignment horizontal="center" vertical="center" textRotation="90"/>
    </xf>
    <xf numFmtId="0" fontId="16" fillId="0" borderId="3" xfId="0" applyFont="1" applyBorder="1" applyAlignment="1">
      <alignment horizontal="center" vertical="center"/>
    </xf>
    <xf numFmtId="0" fontId="68" fillId="0" borderId="2" xfId="0" applyFont="1" applyBorder="1" applyAlignment="1">
      <alignment horizontal="center" vertical="center"/>
    </xf>
    <xf numFmtId="0" fontId="27" fillId="15" borderId="20" xfId="0" applyFont="1" applyFill="1" applyBorder="1" applyAlignment="1">
      <alignment horizontal="center" vertical="center"/>
    </xf>
    <xf numFmtId="0" fontId="27" fillId="15" borderId="42" xfId="0" applyFont="1" applyFill="1" applyBorder="1" applyAlignment="1">
      <alignment horizontal="center" vertical="center"/>
    </xf>
    <xf numFmtId="0" fontId="27" fillId="15" borderId="16" xfId="0" applyFont="1" applyFill="1" applyBorder="1" applyAlignment="1">
      <alignment horizontal="center" vertical="center"/>
    </xf>
    <xf numFmtId="0" fontId="68" fillId="0" borderId="0" xfId="0" applyFont="1" applyAlignment="1">
      <alignment horizontal="center" vertical="center"/>
    </xf>
    <xf numFmtId="0" fontId="27" fillId="4" borderId="16" xfId="6" applyFont="1" applyFill="1" applyBorder="1" applyAlignment="1">
      <alignment vertical="center" wrapText="1"/>
    </xf>
    <xf numFmtId="0" fontId="27" fillId="15" borderId="20" xfId="1" applyFont="1" applyFill="1" applyBorder="1" applyAlignment="1">
      <alignment horizontal="center" vertical="center"/>
    </xf>
    <xf numFmtId="0" fontId="27" fillId="15" borderId="42" xfId="1" applyFont="1" applyFill="1" applyBorder="1" applyAlignment="1">
      <alignment horizontal="center" vertical="center"/>
    </xf>
    <xf numFmtId="0" fontId="27" fillId="4" borderId="5" xfId="6" applyFont="1" applyFill="1" applyBorder="1" applyAlignment="1">
      <alignment vertical="center" wrapText="1"/>
    </xf>
    <xf numFmtId="0" fontId="27" fillId="15" borderId="5" xfId="1" applyFont="1" applyFill="1" applyBorder="1" applyAlignment="1">
      <alignment horizontal="center" vertical="center" wrapText="1"/>
    </xf>
    <xf numFmtId="0" fontId="29" fillId="15" borderId="5" xfId="1" applyFont="1" applyFill="1" applyBorder="1" applyAlignment="1">
      <alignment horizontal="center" vertical="center" wrapText="1"/>
    </xf>
    <xf numFmtId="0" fontId="29" fillId="15" borderId="20" xfId="1" applyFont="1" applyFill="1" applyBorder="1" applyAlignment="1">
      <alignment horizontal="center" vertical="center" wrapText="1"/>
    </xf>
    <xf numFmtId="0" fontId="29" fillId="15" borderId="16" xfId="1" applyFont="1" applyFill="1" applyBorder="1" applyAlignment="1">
      <alignment horizontal="center" vertical="center" wrapText="1"/>
    </xf>
    <xf numFmtId="0" fontId="27" fillId="15" borderId="0" xfId="0" applyFont="1" applyFill="1" applyAlignment="1">
      <alignment horizontal="center" vertical="center" wrapText="1"/>
    </xf>
    <xf numFmtId="0" fontId="58" fillId="0" borderId="1" xfId="0" applyFont="1" applyBorder="1" applyAlignment="1">
      <alignment horizontal="left" vertical="center" wrapText="1"/>
    </xf>
    <xf numFmtId="0" fontId="12" fillId="4" borderId="1" xfId="6" applyFont="1" applyFill="1" applyBorder="1" applyAlignment="1">
      <alignment vertical="center" wrapText="1"/>
    </xf>
    <xf numFmtId="0" fontId="12" fillId="4" borderId="1" xfId="6" applyFont="1" applyFill="1" applyBorder="1" applyAlignment="1">
      <alignment horizontal="center" vertical="center" wrapText="1"/>
    </xf>
    <xf numFmtId="0" fontId="12" fillId="4" borderId="1" xfId="6" applyFont="1" applyFill="1" applyBorder="1" applyAlignment="1">
      <alignment vertical="center"/>
    </xf>
    <xf numFmtId="0" fontId="12" fillId="4" borderId="1" xfId="0" applyFont="1" applyFill="1" applyBorder="1" applyAlignment="1">
      <alignment vertical="center"/>
    </xf>
    <xf numFmtId="0" fontId="12" fillId="4" borderId="1" xfId="0" applyFont="1" applyFill="1" applyBorder="1" applyAlignment="1">
      <alignment horizontal="left" vertical="center" wrapText="1"/>
    </xf>
    <xf numFmtId="16" fontId="12" fillId="0" borderId="1" xfId="0" quotePrefix="1" applyNumberFormat="1" applyFont="1" applyBorder="1" applyAlignment="1">
      <alignment horizontal="center" vertical="center"/>
    </xf>
    <xf numFmtId="0" fontId="12" fillId="0" borderId="1" xfId="0" applyFont="1" applyBorder="1" applyAlignment="1">
      <alignment horizontal="center" vertical="center"/>
    </xf>
    <xf numFmtId="0" fontId="12" fillId="0" borderId="1" xfId="2" applyFont="1" applyFill="1" applyBorder="1" applyAlignment="1">
      <alignment horizontal="center" vertical="center" wrapText="1"/>
    </xf>
    <xf numFmtId="0" fontId="12" fillId="0" borderId="3" xfId="0" applyFont="1" applyBorder="1" applyAlignment="1">
      <alignment horizontal="center" vertical="center"/>
    </xf>
    <xf numFmtId="0" fontId="12" fillId="0" borderId="1" xfId="1" applyFont="1" applyFill="1" applyBorder="1" applyAlignment="1">
      <alignment horizontal="center" vertical="center"/>
    </xf>
    <xf numFmtId="0" fontId="12" fillId="0" borderId="1" xfId="0" applyFont="1" applyBorder="1" applyAlignment="1">
      <alignment horizontal="center" vertical="center" wrapText="1"/>
    </xf>
    <xf numFmtId="0" fontId="12" fillId="13" borderId="1" xfId="0" applyFont="1" applyFill="1" applyBorder="1" applyAlignment="1">
      <alignment horizontal="center" vertical="center"/>
    </xf>
    <xf numFmtId="0" fontId="12" fillId="0" borderId="1" xfId="0" quotePrefix="1" applyFont="1" applyBorder="1" applyAlignment="1">
      <alignment horizontal="left" vertical="center" wrapText="1"/>
    </xf>
    <xf numFmtId="0" fontId="12" fillId="4" borderId="1" xfId="0" applyFont="1" applyFill="1" applyBorder="1" applyAlignment="1">
      <alignment horizontal="center" vertical="center"/>
    </xf>
    <xf numFmtId="0" fontId="12" fillId="15" borderId="1" xfId="0" applyFont="1" applyFill="1" applyBorder="1" applyAlignment="1">
      <alignment horizontal="center" vertical="center"/>
    </xf>
    <xf numFmtId="0" fontId="12" fillId="0" borderId="1" xfId="0" quotePrefix="1" applyFont="1" applyBorder="1" applyAlignment="1">
      <alignment horizontal="center" vertical="center"/>
    </xf>
    <xf numFmtId="0" fontId="12" fillId="0" borderId="2" xfId="0" applyFont="1" applyBorder="1" applyAlignment="1">
      <alignment horizontal="center" vertical="center" wrapText="1"/>
    </xf>
    <xf numFmtId="0" fontId="12" fillId="11" borderId="1" xfId="0" applyFont="1" applyFill="1" applyBorder="1" applyAlignment="1">
      <alignment horizontal="center" vertical="center"/>
    </xf>
    <xf numFmtId="0" fontId="12" fillId="0" borderId="3" xfId="0" applyFont="1" applyBorder="1" applyAlignment="1">
      <alignment horizontal="center" vertical="center" wrapText="1"/>
    </xf>
    <xf numFmtId="0" fontId="12" fillId="4" borderId="1" xfId="1" applyFont="1" applyFill="1" applyBorder="1" applyAlignment="1">
      <alignment horizontal="center" vertical="center"/>
    </xf>
    <xf numFmtId="0" fontId="12" fillId="15" borderId="1" xfId="1" applyFont="1" applyFill="1" applyBorder="1" applyAlignment="1">
      <alignment horizontal="center" vertical="center"/>
    </xf>
    <xf numFmtId="0" fontId="12" fillId="0" borderId="1" xfId="1" applyFont="1" applyFill="1" applyBorder="1" applyAlignment="1">
      <alignment vertical="center"/>
    </xf>
    <xf numFmtId="0" fontId="12" fillId="0" borderId="1" xfId="0" quotePrefix="1" applyFont="1" applyBorder="1" applyAlignment="1">
      <alignment vertical="center" wrapText="1"/>
    </xf>
    <xf numFmtId="0" fontId="12" fillId="13" borderId="1" xfId="0" quotePrefix="1" applyFont="1" applyFill="1" applyBorder="1" applyAlignment="1">
      <alignment vertical="center" wrapText="1"/>
    </xf>
    <xf numFmtId="0" fontId="12" fillId="0" borderId="1" xfId="5" applyFont="1" applyBorder="1" applyAlignment="1">
      <alignment horizontal="center" vertical="center"/>
    </xf>
    <xf numFmtId="0" fontId="12" fillId="0" borderId="2" xfId="1" applyFont="1" applyFill="1" applyBorder="1" applyAlignment="1">
      <alignment horizontal="center" vertical="center"/>
    </xf>
    <xf numFmtId="0" fontId="12" fillId="0" borderId="1" xfId="0" applyFont="1" applyBorder="1" applyAlignment="1">
      <alignment horizontal="center" vertical="center" textRotation="90"/>
    </xf>
    <xf numFmtId="0" fontId="12" fillId="0" borderId="3" xfId="1" applyFont="1" applyFill="1" applyBorder="1" applyAlignment="1">
      <alignment horizontal="center" vertical="center"/>
    </xf>
    <xf numFmtId="0" fontId="12" fillId="5" borderId="1" xfId="1" applyFont="1" applyFill="1" applyBorder="1" applyAlignment="1">
      <alignment horizontal="center" vertical="center"/>
    </xf>
    <xf numFmtId="0" fontId="12" fillId="0" borderId="1" xfId="0" quotePrefix="1" applyFont="1" applyBorder="1" applyAlignment="1">
      <alignment horizontal="left" vertical="top" wrapText="1"/>
    </xf>
    <xf numFmtId="16" fontId="12" fillId="0" borderId="2" xfId="0" quotePrefix="1" applyNumberFormat="1" applyFont="1" applyBorder="1" applyAlignment="1">
      <alignment horizontal="center" vertical="center"/>
    </xf>
    <xf numFmtId="0" fontId="12" fillId="0" borderId="3" xfId="1" quotePrefix="1" applyFont="1" applyFill="1" applyBorder="1" applyAlignment="1">
      <alignment horizontal="center" vertical="center"/>
    </xf>
    <xf numFmtId="0" fontId="12" fillId="0" borderId="2" xfId="5" applyFont="1" applyBorder="1" applyAlignment="1">
      <alignment horizontal="center" vertical="center" wrapText="1"/>
    </xf>
    <xf numFmtId="0" fontId="12" fillId="0" borderId="2" xfId="1" quotePrefix="1" applyFont="1" applyFill="1" applyBorder="1" applyAlignment="1">
      <alignment horizontal="left" vertical="top" wrapText="1"/>
    </xf>
    <xf numFmtId="0" fontId="12" fillId="4" borderId="3" xfId="6" applyFont="1" applyFill="1" applyBorder="1" applyAlignment="1">
      <alignment vertical="center" wrapText="1"/>
    </xf>
    <xf numFmtId="0" fontId="12" fillId="0" borderId="1" xfId="0" quotePrefix="1" applyFont="1" applyBorder="1" applyAlignment="1">
      <alignment horizontal="center" vertical="center" wrapText="1"/>
    </xf>
    <xf numFmtId="0" fontId="12" fillId="0" borderId="2" xfId="0" applyFont="1" applyBorder="1" applyAlignment="1">
      <alignment vertical="center"/>
    </xf>
    <xf numFmtId="0" fontId="12" fillId="0" borderId="5" xfId="0" applyFont="1" applyBorder="1" applyAlignment="1">
      <alignment horizontal="center" vertical="center" wrapText="1"/>
    </xf>
    <xf numFmtId="0" fontId="12" fillId="0" borderId="76" xfId="0" applyFont="1" applyBorder="1" applyAlignment="1">
      <alignment vertical="center"/>
    </xf>
    <xf numFmtId="0" fontId="12" fillId="0" borderId="1" xfId="0" applyFont="1" applyBorder="1" applyAlignment="1">
      <alignment vertical="center"/>
    </xf>
    <xf numFmtId="0" fontId="12" fillId="0" borderId="1" xfId="0" applyFont="1" applyBorder="1" applyAlignment="1">
      <alignment vertical="center" textRotation="90"/>
    </xf>
    <xf numFmtId="0" fontId="12" fillId="4" borderId="2" xfId="0" applyFont="1" applyFill="1" applyBorder="1" applyAlignment="1">
      <alignment vertical="center"/>
    </xf>
    <xf numFmtId="0" fontId="12" fillId="15" borderId="2" xfId="0" applyFont="1" applyFill="1" applyBorder="1" applyAlignment="1">
      <alignment vertical="center"/>
    </xf>
    <xf numFmtId="0" fontId="12" fillId="0" borderId="2" xfId="0" applyFont="1" applyBorder="1" applyAlignment="1">
      <alignment horizontal="center" vertical="center"/>
    </xf>
    <xf numFmtId="0" fontId="12" fillId="0" borderId="2" xfId="0" quotePrefix="1" applyFont="1" applyBorder="1" applyAlignment="1">
      <alignment vertical="center" wrapText="1"/>
    </xf>
    <xf numFmtId="0" fontId="12" fillId="0" borderId="2" xfId="0" quotePrefix="1" applyFont="1" applyBorder="1" applyAlignment="1">
      <alignment horizontal="center" vertical="center" wrapText="1"/>
    </xf>
    <xf numFmtId="0" fontId="12" fillId="0" borderId="1" xfId="1" applyFont="1" applyFill="1" applyBorder="1" applyAlignment="1">
      <alignment horizontal="center" vertical="center" wrapText="1"/>
    </xf>
    <xf numFmtId="0" fontId="12" fillId="4" borderId="2" xfId="0" applyFont="1" applyFill="1" applyBorder="1" applyAlignment="1">
      <alignment horizontal="center" vertical="center"/>
    </xf>
    <xf numFmtId="0" fontId="12" fillId="15" borderId="2" xfId="0" applyFont="1" applyFill="1" applyBorder="1" applyAlignment="1">
      <alignment horizontal="center" vertical="center"/>
    </xf>
    <xf numFmtId="0" fontId="12" fillId="0" borderId="3" xfId="0" quotePrefix="1" applyFont="1" applyBorder="1" applyAlignment="1">
      <alignment horizontal="center" vertical="center" wrapText="1"/>
    </xf>
    <xf numFmtId="0" fontId="12" fillId="4" borderId="3" xfId="0" applyFont="1" applyFill="1" applyBorder="1" applyAlignment="1">
      <alignment horizontal="center" vertical="center"/>
    </xf>
    <xf numFmtId="0" fontId="12" fillId="15" borderId="3" xfId="0" applyFont="1" applyFill="1" applyBorder="1" applyAlignment="1">
      <alignment horizontal="center" vertical="center"/>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0" borderId="1" xfId="0" applyFont="1" applyBorder="1" applyAlignment="1">
      <alignment horizontal="left" vertical="center" wrapText="1"/>
    </xf>
    <xf numFmtId="0" fontId="12" fillId="0" borderId="3" xfId="0" applyFont="1" applyBorder="1" applyAlignment="1">
      <alignment horizontal="center" vertical="center" textRotation="90"/>
    </xf>
    <xf numFmtId="0" fontId="12" fillId="0" borderId="2" xfId="1" applyFont="1" applyFill="1" applyBorder="1" applyAlignment="1">
      <alignment horizontal="center" vertical="center" wrapText="1"/>
    </xf>
    <xf numFmtId="0" fontId="12" fillId="0" borderId="1" xfId="1" applyFont="1" applyFill="1" applyBorder="1" applyAlignment="1">
      <alignment vertical="center" wrapText="1"/>
    </xf>
    <xf numFmtId="0" fontId="12" fillId="0" borderId="1" xfId="1" applyFont="1" applyFill="1" applyBorder="1" applyAlignment="1">
      <alignment horizontal="left" vertical="center" wrapText="1"/>
    </xf>
    <xf numFmtId="0" fontId="12" fillId="0" borderId="13" xfId="1" applyFont="1" applyFill="1" applyBorder="1" applyAlignment="1">
      <alignment horizontal="center" vertical="center" wrapText="1"/>
    </xf>
    <xf numFmtId="0" fontId="12" fillId="0" borderId="13" xfId="0" applyFont="1" applyBorder="1" applyAlignment="1">
      <alignment horizontal="center" vertical="center"/>
    </xf>
    <xf numFmtId="0" fontId="12" fillId="0" borderId="3" xfId="1" applyFont="1" applyFill="1" applyBorder="1" applyAlignment="1">
      <alignment horizontal="center" vertical="center" wrapText="1"/>
    </xf>
    <xf numFmtId="0" fontId="12" fillId="0" borderId="1" xfId="1" quotePrefix="1" applyFont="1" applyFill="1" applyBorder="1" applyAlignment="1">
      <alignment horizontal="center" vertical="center" wrapText="1"/>
    </xf>
    <xf numFmtId="0" fontId="12" fillId="13" borderId="1" xfId="1" applyFont="1" applyFill="1" applyBorder="1" applyAlignment="1">
      <alignment horizontal="center" vertical="center" wrapText="1"/>
    </xf>
    <xf numFmtId="0" fontId="12" fillId="0" borderId="2" xfId="1" applyFont="1" applyFill="1" applyBorder="1" applyAlignment="1">
      <alignment vertical="center" wrapText="1"/>
    </xf>
    <xf numFmtId="0" fontId="12" fillId="0" borderId="2" xfId="1" quotePrefix="1" applyFont="1" applyFill="1" applyBorder="1" applyAlignment="1">
      <alignment horizontal="left" vertical="center" wrapText="1"/>
    </xf>
    <xf numFmtId="0" fontId="12" fillId="13" borderId="1" xfId="1" applyFont="1" applyFill="1" applyBorder="1" applyAlignment="1">
      <alignment horizontal="center" vertical="center"/>
    </xf>
    <xf numFmtId="0" fontId="12" fillId="0" borderId="1" xfId="1" quotePrefix="1" applyFont="1" applyFill="1" applyBorder="1" applyAlignment="1">
      <alignment horizontal="center" vertical="center"/>
    </xf>
    <xf numFmtId="0" fontId="12" fillId="0" borderId="13" xfId="1" applyFont="1" applyFill="1" applyBorder="1" applyAlignment="1">
      <alignment horizontal="center" vertical="center"/>
    </xf>
    <xf numFmtId="0" fontId="12" fillId="0" borderId="13" xfId="0" applyFont="1" applyBorder="1" applyAlignment="1">
      <alignment horizontal="left" vertical="center" wrapText="1"/>
    </xf>
    <xf numFmtId="0" fontId="12" fillId="0" borderId="2" xfId="1" quotePrefix="1" applyFont="1" applyFill="1" applyBorder="1" applyAlignment="1">
      <alignment horizontal="center" vertical="center"/>
    </xf>
    <xf numFmtId="0" fontId="12" fillId="4" borderId="13" xfId="0" applyFont="1" applyFill="1" applyBorder="1" applyAlignment="1">
      <alignment horizontal="center" vertical="center"/>
    </xf>
    <xf numFmtId="0" fontId="12" fillId="15" borderId="13" xfId="0" applyFont="1" applyFill="1" applyBorder="1" applyAlignment="1">
      <alignment horizontal="center" vertical="center"/>
    </xf>
    <xf numFmtId="0" fontId="12" fillId="0" borderId="79" xfId="0" applyFont="1" applyBorder="1" applyAlignment="1">
      <alignment horizontal="center" vertical="center"/>
    </xf>
    <xf numFmtId="0" fontId="12" fillId="4" borderId="79" xfId="0" applyFont="1" applyFill="1" applyBorder="1" applyAlignment="1">
      <alignment horizontal="center" vertical="center"/>
    </xf>
    <xf numFmtId="0" fontId="12" fillId="15" borderId="79" xfId="0" applyFont="1" applyFill="1" applyBorder="1" applyAlignment="1">
      <alignment horizontal="center" vertical="center"/>
    </xf>
    <xf numFmtId="0" fontId="12" fillId="4" borderId="2" xfId="6" applyFont="1" applyFill="1" applyBorder="1" applyAlignment="1">
      <alignment vertical="center"/>
    </xf>
    <xf numFmtId="0" fontId="12" fillId="0" borderId="91" xfId="0" applyFont="1" applyBorder="1" applyAlignment="1">
      <alignment horizontal="center" vertical="center" wrapText="1"/>
    </xf>
    <xf numFmtId="16" fontId="12" fillId="0" borderId="7" xfId="0" quotePrefix="1" applyNumberFormat="1" applyFont="1" applyBorder="1" applyAlignment="1">
      <alignment horizontal="center" vertical="center"/>
    </xf>
    <xf numFmtId="16" fontId="12" fillId="0" borderId="15" xfId="0" quotePrefix="1" applyNumberFormat="1" applyFont="1" applyBorder="1" applyAlignment="1">
      <alignment horizontal="center" vertical="center"/>
    </xf>
    <xf numFmtId="0" fontId="12" fillId="0" borderId="13" xfId="0" quotePrefix="1" applyFont="1" applyBorder="1" applyAlignment="1">
      <alignment horizontal="left" vertical="center" wrapText="1"/>
    </xf>
    <xf numFmtId="0" fontId="12" fillId="4" borderId="3" xfId="0" applyFont="1" applyFill="1" applyBorder="1" applyAlignment="1">
      <alignment vertical="center"/>
    </xf>
    <xf numFmtId="0" fontId="12" fillId="4" borderId="2" xfId="6" applyFont="1" applyFill="1" applyBorder="1" applyAlignment="1">
      <alignment vertical="center" wrapText="1"/>
    </xf>
    <xf numFmtId="0" fontId="12" fillId="4" borderId="2" xfId="6" applyFont="1" applyFill="1" applyBorder="1" applyAlignment="1">
      <alignment horizontal="center" vertical="center" wrapText="1"/>
    </xf>
    <xf numFmtId="0" fontId="12" fillId="4" borderId="2" xfId="0" applyFont="1" applyFill="1" applyBorder="1" applyAlignment="1">
      <alignment horizontal="left" vertical="center" wrapText="1"/>
    </xf>
    <xf numFmtId="0" fontId="12" fillId="0" borderId="6" xfId="0" applyFont="1" applyBorder="1" applyAlignment="1">
      <alignment horizontal="center" vertical="center"/>
    </xf>
    <xf numFmtId="0" fontId="12" fillId="0" borderId="5" xfId="0" applyFont="1" applyBorder="1" applyAlignment="1">
      <alignment horizontal="center" vertical="center"/>
    </xf>
    <xf numFmtId="0" fontId="12" fillId="4" borderId="1" xfId="0" applyFont="1" applyFill="1" applyBorder="1" applyAlignment="1">
      <alignment horizontal="center" vertical="center" wrapText="1"/>
    </xf>
    <xf numFmtId="0" fontId="12" fillId="4" borderId="1" xfId="0" applyFont="1" applyFill="1" applyBorder="1" applyAlignment="1">
      <alignment horizontal="left" vertical="center"/>
    </xf>
    <xf numFmtId="16" fontId="12" fillId="0" borderId="2" xfId="0" quotePrefix="1" applyNumberFormat="1" applyFont="1" applyBorder="1" applyAlignment="1">
      <alignment horizontal="center" vertical="center" wrapText="1"/>
    </xf>
    <xf numFmtId="0" fontId="12" fillId="0" borderId="2" xfId="2" quotePrefix="1" applyFont="1" applyFill="1" applyBorder="1" applyAlignment="1">
      <alignment horizontal="center" vertical="center" wrapText="1"/>
    </xf>
    <xf numFmtId="0" fontId="12" fillId="0" borderId="1" xfId="2" quotePrefix="1"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15" borderId="2"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2" fillId="0" borderId="1" xfId="0" applyFont="1" applyBorder="1" applyAlignment="1">
      <alignment vertical="center" wrapText="1"/>
    </xf>
    <xf numFmtId="0" fontId="12" fillId="0" borderId="37" xfId="0" applyFont="1" applyBorder="1" applyAlignment="1">
      <alignment horizontal="center" vertical="center" shrinkToFit="1"/>
    </xf>
    <xf numFmtId="0" fontId="12" fillId="0" borderId="6" xfId="0" applyFont="1" applyBorder="1" applyAlignment="1">
      <alignment horizontal="center" vertical="center" wrapText="1"/>
    </xf>
    <xf numFmtId="0" fontId="12" fillId="0" borderId="6" xfId="0" quotePrefix="1" applyFont="1" applyBorder="1" applyAlignment="1">
      <alignment horizontal="center" vertical="center" wrapText="1"/>
    </xf>
    <xf numFmtId="0" fontId="12" fillId="0" borderId="7" xfId="0" quotePrefix="1" applyFont="1" applyBorder="1" applyAlignment="1">
      <alignment horizontal="center" vertical="center" wrapText="1"/>
    </xf>
    <xf numFmtId="0" fontId="12" fillId="0" borderId="2" xfId="2" applyFont="1" applyFill="1" applyBorder="1" applyAlignment="1">
      <alignment horizontal="center" vertical="center" wrapText="1"/>
    </xf>
    <xf numFmtId="0" fontId="12" fillId="0" borderId="2" xfId="0" applyFont="1" applyBorder="1" applyAlignment="1">
      <alignment vertical="center" wrapText="1"/>
    </xf>
    <xf numFmtId="0" fontId="12" fillId="4" borderId="3" xfId="0" applyFont="1" applyFill="1" applyBorder="1" applyAlignment="1">
      <alignment horizontal="left" vertical="center" wrapText="1"/>
    </xf>
    <xf numFmtId="0" fontId="12" fillId="4" borderId="3" xfId="0" applyFont="1" applyFill="1" applyBorder="1" applyAlignment="1">
      <alignment horizontal="center" vertical="center" wrapText="1"/>
    </xf>
    <xf numFmtId="0" fontId="12" fillId="4" borderId="3" xfId="0" applyFont="1" applyFill="1" applyBorder="1" applyAlignment="1">
      <alignment horizontal="left" vertical="center"/>
    </xf>
    <xf numFmtId="16" fontId="12" fillId="0" borderId="2" xfId="2" quotePrefix="1" applyNumberFormat="1" applyFont="1" applyFill="1" applyBorder="1" applyAlignment="1">
      <alignment horizontal="center" vertical="center" wrapText="1"/>
    </xf>
    <xf numFmtId="0" fontId="12" fillId="0" borderId="37" xfId="0" applyFont="1" applyBorder="1" applyAlignment="1">
      <alignment horizontal="center" vertical="center"/>
    </xf>
    <xf numFmtId="0" fontId="12" fillId="15" borderId="3" xfId="0" applyFont="1" applyFill="1" applyBorder="1" applyAlignment="1">
      <alignment horizontal="center" vertical="center" wrapText="1"/>
    </xf>
    <xf numFmtId="0" fontId="12" fillId="4" borderId="2" xfId="0" applyFont="1" applyFill="1" applyBorder="1" applyAlignment="1">
      <alignment horizontal="left" vertical="center"/>
    </xf>
    <xf numFmtId="0" fontId="12" fillId="0" borderId="1" xfId="7" applyFont="1" applyBorder="1" applyAlignment="1">
      <alignment horizontal="center" vertical="center" wrapText="1"/>
    </xf>
    <xf numFmtId="0" fontId="12" fillId="0" borderId="53" xfId="0" applyFont="1" applyBorder="1" applyAlignment="1">
      <alignment horizontal="center" vertical="center" wrapText="1"/>
    </xf>
    <xf numFmtId="0" fontId="12" fillId="0" borderId="37" xfId="0" applyFont="1" applyBorder="1" applyAlignment="1">
      <alignment horizontal="center" vertical="center" wrapText="1"/>
    </xf>
    <xf numFmtId="16" fontId="12" fillId="0" borderId="1" xfId="0" quotePrefix="1" applyNumberFormat="1" applyFont="1" applyBorder="1" applyAlignment="1">
      <alignment horizontal="center" vertical="center" wrapText="1"/>
    </xf>
    <xf numFmtId="0" fontId="12" fillId="0" borderId="79" xfId="0" applyFont="1" applyBorder="1" applyAlignment="1">
      <alignment vertical="center" wrapText="1"/>
    </xf>
    <xf numFmtId="0" fontId="12" fillId="0" borderId="95" xfId="0" applyFont="1" applyBorder="1" applyAlignment="1">
      <alignment horizontal="center" vertical="center" wrapText="1"/>
    </xf>
    <xf numFmtId="0" fontId="12" fillId="0" borderId="79" xfId="0" applyFont="1" applyBorder="1" applyAlignment="1">
      <alignment horizontal="center" vertical="center" wrapText="1"/>
    </xf>
    <xf numFmtId="0" fontId="12" fillId="0" borderId="76" xfId="0" applyFont="1" applyBorder="1" applyAlignment="1">
      <alignment horizontal="left" vertical="center" wrapText="1"/>
    </xf>
    <xf numFmtId="0" fontId="12" fillId="0" borderId="3" xfId="0" applyFont="1" applyBorder="1" applyAlignment="1">
      <alignment vertical="center" wrapText="1"/>
    </xf>
    <xf numFmtId="16" fontId="12" fillId="0" borderId="1" xfId="1" applyNumberFormat="1" applyFont="1" applyFill="1" applyBorder="1" applyAlignment="1">
      <alignment horizontal="center" vertical="center" wrapText="1"/>
    </xf>
    <xf numFmtId="17" fontId="12" fillId="0" borderId="1" xfId="1" applyNumberFormat="1" applyFont="1" applyFill="1" applyBorder="1" applyAlignment="1">
      <alignment horizontal="center" vertical="center" wrapText="1"/>
    </xf>
    <xf numFmtId="0" fontId="12" fillId="0" borderId="1" xfId="9" applyFont="1" applyBorder="1" applyAlignment="1">
      <alignment horizontal="center" vertical="center" wrapText="1"/>
    </xf>
    <xf numFmtId="0" fontId="12" fillId="0" borderId="1" xfId="9" quotePrefix="1" applyFont="1" applyBorder="1" applyAlignment="1">
      <alignment horizontal="center" vertical="center" wrapText="1"/>
    </xf>
    <xf numFmtId="0" fontId="12" fillId="0" borderId="1" xfId="7" quotePrefix="1" applyFont="1" applyBorder="1" applyAlignment="1">
      <alignment horizontal="center" vertical="center" wrapText="1"/>
    </xf>
    <xf numFmtId="0" fontId="12" fillId="0" borderId="2" xfId="9" applyFont="1" applyBorder="1" applyAlignment="1">
      <alignment horizontal="center" vertical="center" wrapText="1"/>
    </xf>
    <xf numFmtId="0" fontId="12" fillId="0" borderId="2" xfId="7" quotePrefix="1" applyFont="1" applyBorder="1" applyAlignment="1">
      <alignment horizontal="center" vertical="center" wrapText="1"/>
    </xf>
    <xf numFmtId="0" fontId="12" fillId="0" borderId="2" xfId="7" applyFont="1" applyBorder="1" applyAlignment="1">
      <alignment horizontal="center" vertical="center" wrapText="1"/>
    </xf>
    <xf numFmtId="0" fontId="12" fillId="15" borderId="2" xfId="1" applyFont="1" applyFill="1" applyBorder="1" applyAlignment="1">
      <alignment horizontal="center" vertical="center" wrapText="1"/>
    </xf>
    <xf numFmtId="0" fontId="12" fillId="0" borderId="1" xfId="5" applyFont="1" applyBorder="1" applyAlignment="1">
      <alignment horizontal="center" vertical="center" wrapText="1"/>
    </xf>
    <xf numFmtId="0" fontId="12" fillId="15" borderId="3" xfId="1" applyFont="1" applyFill="1" applyBorder="1" applyAlignment="1">
      <alignment horizontal="center" vertical="center" wrapText="1"/>
    </xf>
    <xf numFmtId="0" fontId="12" fillId="0" borderId="1" xfId="0" applyFont="1" applyBorder="1" applyAlignment="1">
      <alignment horizontal="left" vertical="top" wrapText="1"/>
    </xf>
    <xf numFmtId="0" fontId="12" fillId="0" borderId="41" xfId="0" applyFont="1" applyBorder="1" applyAlignment="1">
      <alignment vertical="center" wrapText="1"/>
    </xf>
    <xf numFmtId="0" fontId="12" fillId="0" borderId="40" xfId="0" applyFont="1" applyBorder="1" applyAlignment="1">
      <alignment horizontal="center" vertical="center" wrapText="1"/>
    </xf>
    <xf numFmtId="0" fontId="12" fillId="0" borderId="41" xfId="1" quotePrefix="1" applyFont="1" applyFill="1" applyBorder="1" applyAlignment="1">
      <alignment horizontal="center" vertical="center" wrapText="1"/>
    </xf>
    <xf numFmtId="0" fontId="12" fillId="0" borderId="41" xfId="1" applyFont="1" applyFill="1" applyBorder="1" applyAlignment="1">
      <alignment horizontal="center" vertical="center" wrapText="1"/>
    </xf>
    <xf numFmtId="0" fontId="12" fillId="0" borderId="41" xfId="0" quotePrefix="1" applyFont="1" applyBorder="1" applyAlignment="1">
      <alignment horizontal="center" vertical="center" wrapText="1"/>
    </xf>
    <xf numFmtId="0" fontId="12" fillId="0" borderId="41" xfId="0" applyFont="1" applyBorder="1" applyAlignment="1">
      <alignment horizontal="center" vertical="center" wrapText="1"/>
    </xf>
    <xf numFmtId="0" fontId="12" fillId="13" borderId="41" xfId="0" applyFont="1" applyFill="1" applyBorder="1" applyAlignment="1">
      <alignment horizontal="center" vertical="center" wrapText="1"/>
    </xf>
    <xf numFmtId="0" fontId="12" fillId="0" borderId="41" xfId="0" applyFont="1" applyBorder="1" applyAlignment="1">
      <alignment horizontal="center" vertical="center"/>
    </xf>
    <xf numFmtId="0" fontId="12" fillId="4" borderId="41" xfId="0" applyFont="1" applyFill="1" applyBorder="1" applyAlignment="1">
      <alignment horizontal="center" vertical="center" wrapText="1"/>
    </xf>
    <xf numFmtId="0" fontId="12" fillId="15" borderId="41" xfId="0" applyFont="1" applyFill="1" applyBorder="1" applyAlignment="1">
      <alignment horizontal="center" vertical="center" wrapText="1"/>
    </xf>
    <xf numFmtId="0" fontId="12" fillId="0" borderId="41" xfId="0" applyFont="1" applyBorder="1" applyAlignment="1">
      <alignment horizontal="left" vertical="center" wrapText="1"/>
    </xf>
    <xf numFmtId="0" fontId="12" fillId="0" borderId="77" xfId="1" applyFont="1" applyFill="1" applyBorder="1" applyAlignment="1">
      <alignment horizontal="center" vertical="center" wrapText="1"/>
    </xf>
    <xf numFmtId="0" fontId="12" fillId="15" borderId="13" xfId="0" applyFont="1" applyFill="1" applyBorder="1" applyAlignment="1">
      <alignment horizontal="center" vertical="center" wrapText="1"/>
    </xf>
    <xf numFmtId="0" fontId="12" fillId="0" borderId="1" xfId="0" applyFont="1" applyBorder="1" applyAlignment="1">
      <alignment wrapText="1"/>
    </xf>
    <xf numFmtId="0" fontId="12" fillId="0" borderId="1" xfId="0" quotePrefix="1" applyFont="1" applyBorder="1" applyAlignment="1" applyProtection="1">
      <alignment horizontal="center" vertical="center" wrapText="1"/>
      <protection locked="0"/>
    </xf>
    <xf numFmtId="0" fontId="12" fillId="0" borderId="1" xfId="2" quotePrefix="1" applyFont="1" applyFill="1" applyBorder="1" applyAlignment="1" applyProtection="1">
      <alignment horizontal="center" vertical="center" wrapText="1"/>
      <protection locked="0"/>
    </xf>
    <xf numFmtId="0" fontId="12" fillId="13" borderId="1" xfId="0" applyFont="1" applyFill="1" applyBorder="1" applyAlignment="1">
      <alignment horizontal="center" vertical="center" wrapText="1"/>
    </xf>
    <xf numFmtId="0" fontId="12" fillId="0" borderId="1" xfId="0" applyFont="1" applyBorder="1" applyAlignment="1" applyProtection="1">
      <alignment horizontal="center" vertical="center" wrapText="1"/>
      <protection locked="0"/>
    </xf>
    <xf numFmtId="16" fontId="12" fillId="0" borderId="5" xfId="0" quotePrefix="1" applyNumberFormat="1" applyFont="1" applyBorder="1" applyAlignment="1">
      <alignment horizontal="center" vertical="center" wrapText="1"/>
    </xf>
    <xf numFmtId="0" fontId="12" fillId="15" borderId="1" xfId="0" quotePrefix="1" applyFont="1" applyFill="1" applyBorder="1" applyAlignment="1" applyProtection="1">
      <alignment horizontal="center" vertical="center" wrapText="1"/>
      <protection locked="0"/>
    </xf>
    <xf numFmtId="0" fontId="12" fillId="15" borderId="1" xfId="0" applyFont="1" applyFill="1" applyBorder="1" applyAlignment="1" applyProtection="1">
      <alignment horizontal="center" vertical="center" wrapText="1"/>
      <protection locked="0"/>
    </xf>
    <xf numFmtId="165" fontId="12" fillId="0" borderId="1" xfId="0" quotePrefix="1" applyNumberFormat="1" applyFont="1" applyBorder="1" applyAlignment="1">
      <alignment horizontal="center"/>
    </xf>
    <xf numFmtId="164" fontId="12" fillId="0" borderId="1" xfId="0" applyNumberFormat="1" applyFont="1" applyBorder="1" applyAlignment="1">
      <alignment horizontal="center"/>
    </xf>
    <xf numFmtId="165" fontId="12" fillId="0" borderId="1" xfId="0" applyNumberFormat="1" applyFont="1" applyBorder="1" applyAlignment="1">
      <alignment horizontal="center"/>
    </xf>
    <xf numFmtId="165" fontId="12" fillId="5" borderId="1" xfId="0" applyNumberFormat="1" applyFont="1" applyFill="1" applyBorder="1" applyAlignment="1">
      <alignment horizontal="center"/>
    </xf>
    <xf numFmtId="164" fontId="12" fillId="5" borderId="1" xfId="0" applyNumberFormat="1" applyFont="1" applyFill="1" applyBorder="1" applyAlignment="1">
      <alignment horizontal="center"/>
    </xf>
    <xf numFmtId="49" fontId="12" fillId="8" borderId="5" xfId="11" quotePrefix="1" applyNumberFormat="1" applyFont="1" applyFill="1" applyBorder="1" applyProtection="1">
      <protection locked="0"/>
    </xf>
    <xf numFmtId="0" fontId="37" fillId="0" borderId="1" xfId="0" quotePrefix="1" applyFont="1" applyBorder="1" applyAlignment="1">
      <alignment horizontal="center" vertical="center" wrapText="1"/>
    </xf>
    <xf numFmtId="0" fontId="58" fillId="0" borderId="1" xfId="2" quotePrefix="1" applyFont="1" applyFill="1" applyBorder="1" applyAlignment="1">
      <alignment horizontal="center" vertical="center" wrapText="1"/>
    </xf>
    <xf numFmtId="0" fontId="70" fillId="0" borderId="1" xfId="2" quotePrefix="1" applyFont="1" applyFill="1" applyBorder="1" applyAlignment="1">
      <alignment horizontal="center" vertical="center" wrapText="1"/>
    </xf>
    <xf numFmtId="0" fontId="68" fillId="0" borderId="1" xfId="2" applyFont="1" applyFill="1" applyBorder="1" applyAlignment="1">
      <alignment horizontal="center" vertical="center" wrapText="1"/>
    </xf>
    <xf numFmtId="0" fontId="68" fillId="0" borderId="1" xfId="2" quotePrefix="1" applyFont="1" applyFill="1" applyBorder="1" applyAlignment="1">
      <alignment horizontal="center" vertical="center" wrapText="1"/>
    </xf>
    <xf numFmtId="16" fontId="70" fillId="0" borderId="1" xfId="2" quotePrefix="1" applyNumberFormat="1" applyFont="1" applyFill="1" applyBorder="1" applyAlignment="1">
      <alignment horizontal="center" vertical="center" wrapText="1"/>
    </xf>
    <xf numFmtId="0" fontId="11" fillId="0" borderId="1" xfId="2" applyFont="1" applyFill="1" applyBorder="1" applyAlignment="1">
      <alignment horizontal="center" vertical="center" wrapText="1"/>
    </xf>
    <xf numFmtId="0" fontId="27" fillId="0" borderId="1" xfId="2" applyFont="1" applyFill="1" applyBorder="1" applyAlignment="1">
      <alignment horizontal="left" vertical="center" wrapText="1"/>
    </xf>
    <xf numFmtId="0" fontId="68" fillId="0" borderId="1" xfId="9" applyFont="1" applyBorder="1" applyAlignment="1">
      <alignment horizontal="center" vertical="center" wrapText="1"/>
    </xf>
    <xf numFmtId="0" fontId="37" fillId="0" borderId="1" xfId="2" applyFont="1" applyFill="1" applyBorder="1" applyAlignment="1">
      <alignment horizontal="center" vertical="center" wrapText="1"/>
    </xf>
    <xf numFmtId="0" fontId="79" fillId="0" borderId="1" xfId="0" quotePrefix="1" applyFont="1" applyBorder="1" applyAlignment="1">
      <alignment horizontal="center" textRotation="90" wrapText="1"/>
    </xf>
    <xf numFmtId="0" fontId="77" fillId="0" borderId="5" xfId="0" quotePrefix="1" applyFont="1" applyBorder="1" applyAlignment="1">
      <alignment horizontal="center" textRotation="90" wrapText="1"/>
    </xf>
    <xf numFmtId="0" fontId="67" fillId="0" borderId="34" xfId="0" applyFont="1" applyBorder="1" applyAlignment="1">
      <alignment horizontal="center" vertical="center" textRotation="90" wrapText="1"/>
    </xf>
    <xf numFmtId="0" fontId="9" fillId="0" borderId="1" xfId="0" applyFont="1" applyBorder="1" applyAlignment="1">
      <alignment horizontal="center" vertical="center" wrapText="1"/>
    </xf>
    <xf numFmtId="16" fontId="9" fillId="0" borderId="1" xfId="0" quotePrefix="1" applyNumberFormat="1" applyFont="1" applyBorder="1" applyAlignment="1">
      <alignment horizontal="center" vertical="center" wrapText="1"/>
    </xf>
    <xf numFmtId="0" fontId="67" fillId="0" borderId="1" xfId="1" applyFont="1" applyFill="1" applyBorder="1" applyAlignment="1">
      <alignment horizontal="center" vertical="center" wrapText="1"/>
    </xf>
    <xf numFmtId="0" fontId="58" fillId="0" borderId="1" xfId="7" applyFont="1" applyBorder="1" applyAlignment="1">
      <alignment horizontal="center" vertical="center" wrapText="1"/>
    </xf>
    <xf numFmtId="0" fontId="67" fillId="0" borderId="1" xfId="0" applyFont="1" applyBorder="1" applyAlignment="1">
      <alignment horizontal="center" vertical="center" textRotation="90" wrapText="1"/>
    </xf>
    <xf numFmtId="0" fontId="67" fillId="0" borderId="3" xfId="0" applyFont="1" applyBorder="1" applyAlignment="1">
      <alignment horizontal="center" vertical="center" textRotation="90" wrapText="1"/>
    </xf>
    <xf numFmtId="2" fontId="66" fillId="0" borderId="1" xfId="0" quotePrefix="1" applyNumberFormat="1" applyFont="1" applyBorder="1" applyAlignment="1">
      <alignment horizontal="center" textRotation="90"/>
    </xf>
    <xf numFmtId="0" fontId="9" fillId="0" borderId="1" xfId="0" applyFont="1" applyBorder="1" applyAlignment="1">
      <alignment horizontal="center" vertical="center"/>
    </xf>
    <xf numFmtId="0" fontId="40" fillId="0" borderId="1" xfId="0" applyFont="1" applyBorder="1" applyAlignment="1">
      <alignment horizontal="center" vertical="center" textRotation="90"/>
    </xf>
    <xf numFmtId="0" fontId="40" fillId="0" borderId="3" xfId="0" applyFont="1" applyBorder="1" applyAlignment="1">
      <alignment horizontal="center" vertical="center" textRotation="90"/>
    </xf>
    <xf numFmtId="0" fontId="9" fillId="0" borderId="2" xfId="0" applyFont="1" applyBorder="1" applyAlignment="1">
      <alignment horizontal="center" vertical="center" wrapText="1"/>
    </xf>
    <xf numFmtId="0" fontId="12" fillId="0" borderId="99" xfId="0" applyFont="1" applyBorder="1" applyAlignment="1">
      <alignment horizontal="center" vertical="center"/>
    </xf>
    <xf numFmtId="0" fontId="9" fillId="0" borderId="1" xfId="1" applyFont="1" applyFill="1" applyBorder="1" applyAlignment="1">
      <alignment horizontal="center" vertical="center" wrapText="1"/>
    </xf>
    <xf numFmtId="0" fontId="77" fillId="4" borderId="1" xfId="6" applyFont="1" applyFill="1" applyBorder="1" applyAlignment="1">
      <alignment vertical="center"/>
    </xf>
    <xf numFmtId="0" fontId="8" fillId="0" borderId="1" xfId="0" applyFont="1" applyBorder="1" applyAlignment="1">
      <alignment horizontal="center" vertical="center" wrapText="1"/>
    </xf>
    <xf numFmtId="14" fontId="27" fillId="17" borderId="89" xfId="0" quotePrefix="1" applyNumberFormat="1" applyFont="1" applyFill="1" applyBorder="1" applyAlignment="1">
      <alignment horizontal="center" vertical="center" wrapText="1"/>
    </xf>
    <xf numFmtId="0" fontId="27" fillId="17" borderId="76" xfId="0" quotePrefix="1"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1" applyFont="1" applyFill="1" applyBorder="1" applyAlignment="1">
      <alignment horizontal="center" vertical="center"/>
    </xf>
    <xf numFmtId="0" fontId="77" fillId="0" borderId="1" xfId="0" applyFont="1" applyBorder="1" applyAlignment="1">
      <alignment horizontal="center" vertical="center"/>
    </xf>
    <xf numFmtId="0" fontId="77" fillId="10" borderId="1" xfId="1" applyFont="1" applyFill="1" applyBorder="1" applyAlignment="1">
      <alignment horizontal="center" vertical="center"/>
    </xf>
    <xf numFmtId="0" fontId="77" fillId="0" borderId="21" xfId="0" applyFont="1" applyBorder="1" applyAlignment="1">
      <alignment textRotation="90" wrapText="1"/>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8" fillId="0" borderId="5" xfId="0" quotePrefix="1" applyFont="1" applyBorder="1" applyAlignment="1">
      <alignment horizontal="center" vertical="center" wrapText="1"/>
    </xf>
    <xf numFmtId="0" fontId="78" fillId="0" borderId="40" xfId="2" applyFont="1" applyFill="1" applyBorder="1" applyAlignment="1">
      <alignment horizontal="center" textRotation="90"/>
    </xf>
    <xf numFmtId="0" fontId="78" fillId="0" borderId="57" xfId="2" applyFont="1" applyFill="1" applyBorder="1" applyAlignment="1">
      <alignment horizontal="center" textRotation="90"/>
    </xf>
    <xf numFmtId="0" fontId="77" fillId="15" borderId="41" xfId="0" applyFont="1" applyFill="1" applyBorder="1" applyAlignment="1">
      <alignment horizontal="center" textRotation="90"/>
    </xf>
    <xf numFmtId="0" fontId="5" fillId="15" borderId="2" xfId="0" applyFont="1" applyFill="1" applyBorder="1" applyAlignment="1">
      <alignment vertical="center"/>
    </xf>
    <xf numFmtId="0" fontId="76" fillId="0" borderId="1" xfId="0" quotePrefix="1" applyFont="1" applyBorder="1" applyAlignment="1" applyProtection="1">
      <alignment horizontal="center" vertical="center" wrapText="1"/>
      <protection locked="0"/>
    </xf>
    <xf numFmtId="0" fontId="27" fillId="0" borderId="2" xfId="0" applyFont="1" applyBorder="1" applyAlignment="1">
      <alignment horizontal="center" vertical="center"/>
    </xf>
    <xf numFmtId="0" fontId="27" fillId="0" borderId="13" xfId="0" applyFont="1" applyBorder="1" applyAlignment="1">
      <alignment horizontal="center" vertical="center"/>
    </xf>
    <xf numFmtId="0" fontId="0" fillId="0" borderId="13" xfId="0" applyBorder="1" applyAlignment="1">
      <alignment horizontal="center" vertical="center"/>
    </xf>
    <xf numFmtId="0" fontId="19" fillId="0" borderId="13" xfId="0" applyFont="1" applyBorder="1" applyAlignment="1">
      <alignment horizontal="center" vertical="center"/>
    </xf>
    <xf numFmtId="0" fontId="40" fillId="0" borderId="2" xfId="0" applyFont="1" applyBorder="1" applyAlignment="1">
      <alignment horizontal="center" vertical="center" textRotation="90" wrapText="1"/>
    </xf>
    <xf numFmtId="0" fontId="58" fillId="0" borderId="2" xfId="2" applyFont="1" applyFill="1" applyBorder="1" applyAlignment="1">
      <alignment horizontal="center" vertical="center" wrapText="1"/>
    </xf>
    <xf numFmtId="0" fontId="27" fillId="0" borderId="1" xfId="0" applyFont="1" applyBorder="1" applyAlignment="1">
      <alignment vertical="center" wrapText="1"/>
    </xf>
    <xf numFmtId="0" fontId="27" fillId="0" borderId="1" xfId="2" applyFont="1" applyFill="1" applyBorder="1" applyAlignment="1">
      <alignment horizontal="center" vertical="center" wrapText="1"/>
    </xf>
    <xf numFmtId="0" fontId="82" fillId="0" borderId="13" xfId="0" applyFont="1" applyBorder="1" applyAlignment="1">
      <alignment horizontal="center" vertical="center"/>
    </xf>
    <xf numFmtId="0" fontId="27" fillId="0" borderId="2" xfId="2" applyFont="1" applyFill="1" applyBorder="1" applyAlignment="1">
      <alignment horizontal="center" vertical="center" wrapText="1"/>
    </xf>
    <xf numFmtId="0" fontId="81" fillId="0" borderId="6" xfId="0" applyFont="1" applyBorder="1" applyAlignment="1">
      <alignment horizontal="center" vertical="center" wrapText="1"/>
    </xf>
    <xf numFmtId="0" fontId="81" fillId="0" borderId="1" xfId="0" applyFont="1" applyBorder="1" applyAlignment="1">
      <alignment horizontal="center" vertical="center"/>
    </xf>
    <xf numFmtId="0" fontId="81" fillId="0" borderId="1" xfId="0" applyFont="1" applyBorder="1" applyAlignment="1">
      <alignment horizontal="center" vertical="center" wrapText="1"/>
    </xf>
    <xf numFmtId="0" fontId="81" fillId="0" borderId="1" xfId="2" applyFont="1" applyFill="1" applyBorder="1" applyAlignment="1">
      <alignment horizontal="center" vertical="center" wrapText="1"/>
    </xf>
    <xf numFmtId="0" fontId="81" fillId="0" borderId="1" xfId="0" quotePrefix="1" applyFont="1" applyBorder="1" applyAlignment="1">
      <alignment horizontal="center" vertical="center" wrapText="1"/>
    </xf>
    <xf numFmtId="0" fontId="81" fillId="0" borderId="1" xfId="0" applyFont="1" applyBorder="1" applyAlignment="1">
      <alignment vertical="center" wrapText="1"/>
    </xf>
    <xf numFmtId="0" fontId="81" fillId="0" borderId="1" xfId="0" applyFont="1" applyBorder="1"/>
    <xf numFmtId="0" fontId="3" fillId="0" borderId="1" xfId="1" applyFont="1" applyFill="1" applyBorder="1" applyAlignment="1">
      <alignment horizontal="left" vertical="center" wrapText="1"/>
    </xf>
    <xf numFmtId="0" fontId="58" fillId="0" borderId="1" xfId="0" applyFont="1" applyBorder="1" applyAlignment="1">
      <alignment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27" fillId="15" borderId="2" xfId="0" applyFont="1" applyFill="1" applyBorder="1" applyAlignment="1">
      <alignment horizontal="center" vertical="center" wrapText="1"/>
    </xf>
    <xf numFmtId="0" fontId="27" fillId="15" borderId="13" xfId="0" applyFont="1" applyFill="1" applyBorder="1" applyAlignment="1">
      <alignment horizontal="center" vertical="center" wrapText="1"/>
    </xf>
    <xf numFmtId="0" fontId="27" fillId="15" borderId="3" xfId="0" applyFont="1" applyFill="1" applyBorder="1" applyAlignment="1">
      <alignment horizontal="center" vertical="center" wrapText="1"/>
    </xf>
    <xf numFmtId="0" fontId="12" fillId="0" borderId="2" xfId="1" applyFont="1" applyFill="1" applyBorder="1" applyAlignment="1">
      <alignment horizontal="center" vertical="center" wrapText="1"/>
    </xf>
    <xf numFmtId="0" fontId="12" fillId="0" borderId="3" xfId="1" applyFont="1" applyFill="1" applyBorder="1" applyAlignment="1">
      <alignment horizontal="center" vertical="center" wrapText="1"/>
    </xf>
    <xf numFmtId="0" fontId="12" fillId="0" borderId="13" xfId="0" applyFont="1" applyBorder="1" applyAlignment="1">
      <alignment horizontal="center" vertical="center" wrapText="1"/>
    </xf>
    <xf numFmtId="0" fontId="27" fillId="15" borderId="1" xfId="0" applyFont="1" applyFill="1" applyBorder="1" applyAlignment="1">
      <alignment horizontal="center" vertical="center" wrapText="1"/>
    </xf>
    <xf numFmtId="0" fontId="27" fillId="15" borderId="67" xfId="0" applyFont="1" applyFill="1" applyBorder="1" applyAlignment="1">
      <alignment horizontal="center" vertical="center" wrapText="1"/>
    </xf>
    <xf numFmtId="0" fontId="27" fillId="15" borderId="68" xfId="0" applyFont="1" applyFill="1" applyBorder="1" applyAlignment="1">
      <alignment horizontal="center" vertical="center" wrapText="1"/>
    </xf>
    <xf numFmtId="0" fontId="27" fillId="15" borderId="69" xfId="0" applyFont="1" applyFill="1" applyBorder="1" applyAlignment="1">
      <alignment horizontal="center" vertical="center" wrapText="1"/>
    </xf>
    <xf numFmtId="0" fontId="27" fillId="0" borderId="2" xfId="0" applyFont="1" applyBorder="1" applyAlignment="1">
      <alignment horizontal="center" vertical="center"/>
    </xf>
    <xf numFmtId="0" fontId="27" fillId="0" borderId="13" xfId="0" applyFont="1" applyBorder="1" applyAlignment="1">
      <alignment horizontal="center" vertical="center"/>
    </xf>
    <xf numFmtId="0" fontId="19" fillId="0" borderId="13" xfId="0" applyFont="1" applyBorder="1" applyAlignment="1">
      <alignment horizontal="center" vertical="center"/>
    </xf>
    <xf numFmtId="0" fontId="0" fillId="0" borderId="13" xfId="0" applyBorder="1" applyAlignment="1">
      <alignment horizontal="center" vertical="center"/>
    </xf>
    <xf numFmtId="0" fontId="12" fillId="0" borderId="13" xfId="0" applyFont="1" applyBorder="1" applyAlignment="1">
      <alignment horizontal="center" vertical="center"/>
    </xf>
    <xf numFmtId="0" fontId="16" fillId="0" borderId="3"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2" xfId="7" applyFont="1" applyBorder="1" applyAlignment="1">
      <alignment horizontal="center" vertical="center"/>
    </xf>
    <xf numFmtId="0" fontId="12" fillId="0" borderId="13" xfId="7" applyFont="1" applyBorder="1" applyAlignment="1">
      <alignment horizontal="center" vertical="center"/>
    </xf>
    <xf numFmtId="0" fontId="12" fillId="0" borderId="3" xfId="7" applyFont="1" applyBorder="1" applyAlignment="1">
      <alignment horizontal="center" vertical="center"/>
    </xf>
    <xf numFmtId="0" fontId="27" fillId="0" borderId="2" xfId="1" applyFont="1" applyFill="1" applyBorder="1" applyAlignment="1">
      <alignment horizontal="center" vertical="center" wrapText="1"/>
    </xf>
    <xf numFmtId="0" fontId="27" fillId="0" borderId="3" xfId="1" applyFont="1" applyFill="1" applyBorder="1" applyAlignment="1">
      <alignment horizontal="center" vertical="center" wrapText="1"/>
    </xf>
    <xf numFmtId="0" fontId="27" fillId="0" borderId="7" xfId="0" applyFont="1" applyBorder="1" applyAlignment="1">
      <alignment horizontal="center" vertical="center" wrapText="1"/>
    </xf>
    <xf numFmtId="0" fontId="27" fillId="0" borderId="18" xfId="0" applyFont="1" applyBorder="1" applyAlignment="1">
      <alignment horizontal="center" vertical="center" wrapText="1"/>
    </xf>
    <xf numFmtId="0" fontId="12" fillId="15" borderId="2" xfId="1" applyFont="1" applyFill="1" applyBorder="1" applyAlignment="1">
      <alignment horizontal="center" vertical="center" wrapText="1"/>
    </xf>
    <xf numFmtId="0" fontId="12" fillId="15" borderId="13" xfId="1" applyFont="1" applyFill="1" applyBorder="1" applyAlignment="1">
      <alignment horizontal="center" vertical="center" wrapText="1"/>
    </xf>
    <xf numFmtId="0" fontId="12" fillId="15" borderId="1" xfId="0" applyFont="1" applyFill="1" applyBorder="1" applyAlignment="1">
      <alignment horizontal="center" vertical="center"/>
    </xf>
    <xf numFmtId="0" fontId="16" fillId="0" borderId="2" xfId="0" applyFont="1" applyBorder="1" applyAlignment="1" applyProtection="1">
      <alignment horizontal="center" vertical="center" wrapText="1"/>
      <protection locked="0"/>
    </xf>
    <xf numFmtId="0" fontId="16" fillId="0" borderId="3" xfId="0" applyFont="1" applyBorder="1" applyAlignment="1" applyProtection="1">
      <alignment horizontal="center" vertical="center" wrapText="1"/>
      <protection locked="0"/>
    </xf>
    <xf numFmtId="0" fontId="12" fillId="0" borderId="13" xfId="1" applyFont="1" applyFill="1" applyBorder="1" applyAlignment="1">
      <alignment horizontal="center" vertical="center" wrapText="1"/>
    </xf>
    <xf numFmtId="0" fontId="12" fillId="15" borderId="2" xfId="7" applyFont="1" applyFill="1" applyBorder="1" applyAlignment="1">
      <alignment horizontal="center" vertical="center"/>
    </xf>
    <xf numFmtId="0" fontId="12" fillId="15" borderId="13" xfId="7" applyFont="1" applyFill="1" applyBorder="1" applyAlignment="1">
      <alignment horizontal="center" vertical="center"/>
    </xf>
    <xf numFmtId="0" fontId="12" fillId="15" borderId="3" xfId="7" applyFont="1" applyFill="1" applyBorder="1" applyAlignment="1">
      <alignment horizontal="center" vertical="center"/>
    </xf>
    <xf numFmtId="0" fontId="12" fillId="15" borderId="3" xfId="1" applyFont="1" applyFill="1" applyBorder="1" applyAlignment="1">
      <alignment horizontal="center" vertical="center" wrapText="1"/>
    </xf>
    <xf numFmtId="0" fontId="12" fillId="4" borderId="2" xfId="7" applyFont="1" applyFill="1" applyBorder="1" applyAlignment="1">
      <alignment horizontal="center" vertical="center"/>
    </xf>
    <xf numFmtId="0" fontId="12" fillId="4" borderId="13" xfId="7" applyFont="1" applyFill="1" applyBorder="1" applyAlignment="1">
      <alignment horizontal="center" vertical="center"/>
    </xf>
    <xf numFmtId="0" fontId="12" fillId="4" borderId="1" xfId="0" applyFont="1" applyFill="1" applyBorder="1" applyAlignment="1">
      <alignment horizontal="center" vertical="center"/>
    </xf>
    <xf numFmtId="0" fontId="12" fillId="15" borderId="2" xfId="0" applyFont="1" applyFill="1" applyBorder="1" applyAlignment="1">
      <alignment horizontal="center" vertical="center"/>
    </xf>
    <xf numFmtId="0" fontId="12" fillId="15" borderId="3" xfId="0" applyFont="1" applyFill="1" applyBorder="1" applyAlignment="1">
      <alignment horizontal="center" vertical="center"/>
    </xf>
    <xf numFmtId="0" fontId="12" fillId="4" borderId="3" xfId="0" applyFont="1" applyFill="1" applyBorder="1" applyAlignment="1">
      <alignment horizontal="center" vertical="center"/>
    </xf>
    <xf numFmtId="0" fontId="27" fillId="0" borderId="7" xfId="7" applyFont="1" applyBorder="1" applyAlignment="1">
      <alignment horizontal="left" vertical="center" wrapText="1"/>
    </xf>
    <xf numFmtId="0" fontId="27" fillId="0" borderId="15" xfId="7" applyFont="1" applyBorder="1" applyAlignment="1">
      <alignment horizontal="left" vertical="center"/>
    </xf>
    <xf numFmtId="0" fontId="27" fillId="0" borderId="18" xfId="7" applyFont="1" applyBorder="1" applyAlignment="1">
      <alignment horizontal="left" vertical="center"/>
    </xf>
    <xf numFmtId="0" fontId="12" fillId="4" borderId="3" xfId="7" applyFont="1" applyFill="1" applyBorder="1" applyAlignment="1">
      <alignment horizontal="center" vertical="center"/>
    </xf>
    <xf numFmtId="0" fontId="27" fillId="0" borderId="2" xfId="7" applyFont="1" applyBorder="1" applyAlignment="1">
      <alignment horizontal="center" vertical="center"/>
    </xf>
    <xf numFmtId="0" fontId="27" fillId="0" borderId="13" xfId="7" applyFont="1" applyBorder="1" applyAlignment="1">
      <alignment horizontal="center" vertical="center"/>
    </xf>
    <xf numFmtId="0" fontId="27" fillId="0" borderId="3" xfId="7" applyFont="1" applyBorder="1" applyAlignment="1">
      <alignment horizontal="center" vertical="center"/>
    </xf>
    <xf numFmtId="0" fontId="27" fillId="0" borderId="7" xfId="1" applyFont="1" applyFill="1" applyBorder="1" applyAlignment="1">
      <alignment horizontal="center" vertical="center" wrapText="1"/>
    </xf>
    <xf numFmtId="0" fontId="27" fillId="0" borderId="18" xfId="1" applyFont="1" applyFill="1" applyBorder="1" applyAlignment="1">
      <alignment horizontal="center" vertical="center" wrapText="1"/>
    </xf>
    <xf numFmtId="0" fontId="27" fillId="0" borderId="7" xfId="0" applyFont="1" applyBorder="1" applyAlignment="1">
      <alignment horizontal="left" wrapText="1"/>
    </xf>
    <xf numFmtId="0" fontId="27" fillId="0" borderId="15" xfId="0" applyFont="1" applyBorder="1" applyAlignment="1">
      <alignment horizontal="left" wrapText="1"/>
    </xf>
    <xf numFmtId="0" fontId="27" fillId="15" borderId="5" xfId="0" applyFont="1" applyFill="1" applyBorder="1" applyAlignment="1">
      <alignment horizontal="center" vertical="center" wrapText="1"/>
    </xf>
    <xf numFmtId="0" fontId="27" fillId="15" borderId="20" xfId="1" quotePrefix="1" applyFont="1" applyFill="1" applyBorder="1" applyAlignment="1">
      <alignment horizontal="left" vertical="center" wrapText="1"/>
    </xf>
    <xf numFmtId="0" fontId="27" fillId="15" borderId="42" xfId="1" applyFont="1" applyFill="1" applyBorder="1" applyAlignment="1">
      <alignment horizontal="left" vertical="center" wrapText="1"/>
    </xf>
    <xf numFmtId="0" fontId="27" fillId="15" borderId="1" xfId="0" applyFont="1" applyFill="1" applyBorder="1" applyAlignment="1">
      <alignment horizontal="center" vertical="center"/>
    </xf>
    <xf numFmtId="0" fontId="27" fillId="15" borderId="20" xfId="0" quotePrefix="1" applyFont="1" applyFill="1" applyBorder="1" applyAlignment="1">
      <alignment horizontal="left" vertical="center" wrapText="1"/>
    </xf>
    <xf numFmtId="0" fontId="27" fillId="15" borderId="42" xfId="0" applyFont="1" applyFill="1" applyBorder="1" applyAlignment="1">
      <alignment horizontal="left" vertical="center" wrapText="1"/>
    </xf>
    <xf numFmtId="0" fontId="27" fillId="0" borderId="7" xfId="0" applyFont="1" applyBorder="1" applyAlignment="1">
      <alignment horizontal="left" vertical="center" wrapText="1"/>
    </xf>
    <xf numFmtId="0" fontId="27" fillId="0" borderId="15" xfId="0" applyFont="1" applyBorder="1" applyAlignment="1">
      <alignment horizontal="left" vertical="center" wrapText="1"/>
    </xf>
    <xf numFmtId="0" fontId="12" fillId="0" borderId="2" xfId="0" applyFont="1" applyBorder="1" applyAlignment="1">
      <alignment horizontal="left" vertical="center" wrapText="1"/>
    </xf>
    <xf numFmtId="0" fontId="12" fillId="0" borderId="13" xfId="0" applyFont="1" applyBorder="1" applyAlignment="1">
      <alignment horizontal="left" vertical="center" wrapText="1"/>
    </xf>
    <xf numFmtId="0" fontId="12" fillId="0" borderId="79" xfId="0" applyFont="1" applyBorder="1" applyAlignment="1">
      <alignment horizontal="left" vertical="center" wrapText="1"/>
    </xf>
    <xf numFmtId="0" fontId="27" fillId="0" borderId="15" xfId="1" applyFont="1" applyFill="1" applyBorder="1" applyAlignment="1">
      <alignment horizontal="center" vertical="center" wrapText="1"/>
    </xf>
    <xf numFmtId="0" fontId="27" fillId="0" borderId="13" xfId="1" applyFont="1" applyFill="1" applyBorder="1" applyAlignment="1">
      <alignment horizontal="center" vertical="center" wrapText="1"/>
    </xf>
    <xf numFmtId="0" fontId="12" fillId="15" borderId="2" xfId="0" applyFont="1" applyFill="1" applyBorder="1" applyAlignment="1">
      <alignment horizontal="center" vertical="center" wrapText="1"/>
    </xf>
    <xf numFmtId="0" fontId="12" fillId="15" borderId="13" xfId="0" applyFont="1" applyFill="1" applyBorder="1" applyAlignment="1">
      <alignment horizontal="center" vertical="center" wrapText="1"/>
    </xf>
    <xf numFmtId="0" fontId="12" fillId="15" borderId="3" xfId="0" applyFont="1" applyFill="1" applyBorder="1" applyAlignment="1">
      <alignment horizontal="center" vertical="center" wrapText="1"/>
    </xf>
    <xf numFmtId="0" fontId="27" fillId="0" borderId="15" xfId="0" applyFont="1" applyBorder="1" applyAlignment="1">
      <alignment horizontal="left" vertical="top" wrapText="1"/>
    </xf>
    <xf numFmtId="0" fontId="27" fillId="0" borderId="7" xfId="0" applyFont="1" applyBorder="1" applyAlignment="1">
      <alignment horizontal="left" vertical="top" wrapText="1"/>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12" fillId="4" borderId="2" xfId="0" applyFont="1" applyFill="1" applyBorder="1" applyAlignment="1">
      <alignment horizontal="center" vertical="center" wrapText="1"/>
    </xf>
    <xf numFmtId="0" fontId="12" fillId="4" borderId="13"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6" fillId="15" borderId="2" xfId="0" applyFont="1" applyFill="1" applyBorder="1" applyAlignment="1" applyProtection="1">
      <alignment horizontal="center" vertical="center" wrapText="1"/>
      <protection locked="0"/>
    </xf>
    <xf numFmtId="0" fontId="16" fillId="15" borderId="3" xfId="0" applyFont="1" applyFill="1" applyBorder="1" applyAlignment="1" applyProtection="1">
      <alignment horizontal="center" vertical="center" wrapText="1"/>
      <protection locked="0"/>
    </xf>
    <xf numFmtId="0" fontId="12" fillId="0" borderId="3" xfId="0" applyFont="1" applyBorder="1" applyAlignment="1">
      <alignment horizontal="left" vertical="center" wrapText="1"/>
    </xf>
    <xf numFmtId="0" fontId="12" fillId="0" borderId="2" xfId="1" applyFont="1" applyFill="1" applyBorder="1" applyAlignment="1">
      <alignment horizontal="left" vertical="center" wrapText="1"/>
    </xf>
    <xf numFmtId="0" fontId="12" fillId="0" borderId="13" xfId="1" applyFont="1" applyFill="1" applyBorder="1" applyAlignment="1">
      <alignment horizontal="left" vertical="center" wrapText="1"/>
    </xf>
    <xf numFmtId="0" fontId="27" fillId="0" borderId="18" xfId="0" applyFont="1" applyBorder="1" applyAlignment="1">
      <alignment horizontal="left" wrapText="1"/>
    </xf>
    <xf numFmtId="0" fontId="27" fillId="15" borderId="16" xfId="1" applyFont="1" applyFill="1" applyBorder="1" applyAlignment="1">
      <alignment horizontal="left" vertical="center" wrapText="1"/>
    </xf>
    <xf numFmtId="0" fontId="27" fillId="0" borderId="2" xfId="0" applyFont="1" applyBorder="1" applyAlignment="1">
      <alignment horizontal="left" vertical="top" wrapText="1"/>
    </xf>
    <xf numFmtId="0" fontId="27" fillId="0" borderId="13" xfId="0" applyFont="1" applyBorder="1" applyAlignment="1">
      <alignment horizontal="left" vertical="top" wrapText="1"/>
    </xf>
    <xf numFmtId="0" fontId="27" fillId="15" borderId="1" xfId="1" applyFont="1" applyFill="1" applyBorder="1" applyAlignment="1">
      <alignment horizontal="center" vertical="center" wrapText="1"/>
    </xf>
    <xf numFmtId="0" fontId="27" fillId="15" borderId="2" xfId="1" applyFont="1" applyFill="1" applyBorder="1" applyAlignment="1">
      <alignment horizontal="center" vertical="center" wrapText="1"/>
    </xf>
    <xf numFmtId="0" fontId="27" fillId="15" borderId="13" xfId="1" applyFont="1" applyFill="1" applyBorder="1" applyAlignment="1">
      <alignment horizontal="center" vertical="center" wrapText="1"/>
    </xf>
    <xf numFmtId="0" fontId="27" fillId="15" borderId="20" xfId="0" applyFont="1" applyFill="1" applyBorder="1" applyAlignment="1">
      <alignment horizontal="left" vertical="center" wrapText="1"/>
    </xf>
    <xf numFmtId="0" fontId="27" fillId="15" borderId="20" xfId="0" applyFont="1" applyFill="1" applyBorder="1" applyAlignment="1">
      <alignment horizontal="center" vertical="center" wrapText="1"/>
    </xf>
    <xf numFmtId="0" fontId="27" fillId="15" borderId="16" xfId="0" applyFont="1" applyFill="1" applyBorder="1" applyAlignment="1">
      <alignment horizontal="center" vertical="center" wrapText="1"/>
    </xf>
    <xf numFmtId="0" fontId="27" fillId="0" borderId="6" xfId="0" applyFont="1" applyBorder="1" applyAlignment="1">
      <alignment horizontal="left" vertical="center" wrapText="1"/>
    </xf>
    <xf numFmtId="0" fontId="12" fillId="0" borderId="6" xfId="0" applyFont="1" applyBorder="1" applyAlignment="1">
      <alignment horizontal="center" vertical="center" wrapText="1"/>
    </xf>
    <xf numFmtId="0" fontId="12" fillId="0" borderId="2" xfId="1" quotePrefix="1" applyFont="1" applyFill="1" applyBorder="1" applyAlignment="1">
      <alignment horizontal="center" vertical="center" wrapText="1"/>
    </xf>
    <xf numFmtId="0" fontId="12" fillId="0" borderId="13" xfId="1" quotePrefix="1" applyFont="1" applyFill="1" applyBorder="1" applyAlignment="1">
      <alignment horizontal="center" vertical="center" wrapText="1"/>
    </xf>
    <xf numFmtId="0" fontId="68" fillId="0" borderId="2" xfId="0" applyFont="1" applyBorder="1" applyAlignment="1">
      <alignment horizontal="center" vertical="center"/>
    </xf>
    <xf numFmtId="0" fontId="68" fillId="0" borderId="13" xfId="0" applyFont="1" applyBorder="1" applyAlignment="1">
      <alignment horizontal="center" vertical="center"/>
    </xf>
    <xf numFmtId="0" fontId="68" fillId="0" borderId="3" xfId="0" applyFont="1" applyBorder="1" applyAlignment="1">
      <alignment horizontal="center" vertical="center"/>
    </xf>
    <xf numFmtId="0" fontId="27" fillId="0" borderId="18" xfId="0" applyFont="1" applyBorder="1" applyAlignment="1">
      <alignment horizontal="left" vertical="center" wrapText="1"/>
    </xf>
    <xf numFmtId="0" fontId="27" fillId="15" borderId="20" xfId="1" quotePrefix="1" applyFont="1" applyFill="1" applyBorder="1" applyAlignment="1">
      <alignment horizontal="center" vertical="center" wrapText="1"/>
    </xf>
    <xf numFmtId="0" fontId="27" fillId="15" borderId="42" xfId="1" applyFont="1" applyFill="1" applyBorder="1" applyAlignment="1">
      <alignment horizontal="center" vertical="center" wrapText="1"/>
    </xf>
    <xf numFmtId="0" fontId="27" fillId="15" borderId="16" xfId="1" applyFont="1" applyFill="1" applyBorder="1" applyAlignment="1">
      <alignment horizontal="center" vertical="center" wrapText="1"/>
    </xf>
    <xf numFmtId="0" fontId="12" fillId="0" borderId="1" xfId="1" applyFont="1" applyFill="1" applyBorder="1" applyAlignment="1">
      <alignment horizontal="center" vertical="center" wrapText="1"/>
    </xf>
    <xf numFmtId="0" fontId="12" fillId="0" borderId="79" xfId="0" applyFont="1" applyBorder="1" applyAlignment="1">
      <alignment horizontal="center" vertical="center"/>
    </xf>
    <xf numFmtId="0" fontId="12" fillId="0" borderId="3" xfId="1" quotePrefix="1" applyFont="1" applyFill="1" applyBorder="1" applyAlignment="1">
      <alignment horizontal="center" vertical="center" wrapText="1"/>
    </xf>
    <xf numFmtId="0" fontId="27" fillId="15" borderId="7" xfId="0" applyFont="1" applyFill="1" applyBorder="1" applyAlignment="1">
      <alignment horizontal="center" vertical="center" wrapText="1"/>
    </xf>
    <xf numFmtId="0" fontId="27" fillId="15" borderId="15" xfId="0" applyFont="1" applyFill="1" applyBorder="1" applyAlignment="1">
      <alignment horizontal="center" vertical="center" wrapText="1"/>
    </xf>
    <xf numFmtId="0" fontId="3" fillId="0" borderId="2" xfId="0" applyFont="1" applyBorder="1" applyAlignment="1">
      <alignment horizontal="center" vertical="center"/>
    </xf>
    <xf numFmtId="16" fontId="12" fillId="0" borderId="2" xfId="0" quotePrefix="1" applyNumberFormat="1" applyFont="1" applyBorder="1" applyAlignment="1">
      <alignment horizontal="center" vertical="center" wrapText="1"/>
    </xf>
    <xf numFmtId="16" fontId="12" fillId="0" borderId="3" xfId="0" quotePrefix="1" applyNumberFormat="1" applyFont="1" applyBorder="1" applyAlignment="1">
      <alignment horizontal="center" vertical="center" wrapText="1"/>
    </xf>
    <xf numFmtId="0" fontId="12" fillId="0" borderId="3" xfId="7" applyFont="1" applyBorder="1" applyAlignment="1">
      <alignment horizontal="center" vertical="center" wrapText="1"/>
    </xf>
    <xf numFmtId="0" fontId="12" fillId="0" borderId="1" xfId="7" applyFont="1" applyBorder="1" applyAlignment="1">
      <alignment horizontal="center" vertical="center" wrapText="1"/>
    </xf>
    <xf numFmtId="0" fontId="12" fillId="0" borderId="2" xfId="0" quotePrefix="1" applyFont="1" applyBorder="1" applyAlignment="1">
      <alignment horizontal="center" vertical="center" wrapText="1"/>
    </xf>
    <xf numFmtId="0" fontId="12" fillId="0" borderId="3" xfId="0" quotePrefix="1" applyFont="1" applyBorder="1" applyAlignment="1">
      <alignment horizontal="center" vertical="center" wrapText="1"/>
    </xf>
    <xf numFmtId="0" fontId="27" fillId="6" borderId="1" xfId="1" applyFont="1" applyFill="1" applyBorder="1" applyAlignment="1">
      <alignment horizontal="center" vertical="center" wrapText="1"/>
    </xf>
    <xf numFmtId="0" fontId="16" fillId="0" borderId="2" xfId="0" quotePrefix="1" applyFont="1" applyBorder="1" applyAlignment="1" applyProtection="1">
      <alignment horizontal="center" vertical="center" wrapText="1"/>
      <protection locked="0"/>
    </xf>
    <xf numFmtId="0" fontId="16" fillId="0" borderId="3" xfId="0" quotePrefix="1" applyFont="1" applyBorder="1" applyAlignment="1" applyProtection="1">
      <alignment horizontal="center" vertical="center" wrapText="1"/>
      <protection locked="0"/>
    </xf>
    <xf numFmtId="0" fontId="12" fillId="0" borderId="13" xfId="0" quotePrefix="1" applyFont="1" applyBorder="1" applyAlignment="1">
      <alignment horizontal="center" vertical="center" wrapText="1"/>
    </xf>
    <xf numFmtId="0" fontId="12" fillId="0" borderId="79" xfId="0" quotePrefix="1" applyFont="1" applyBorder="1" applyAlignment="1">
      <alignment horizontal="center" vertical="center" wrapText="1"/>
    </xf>
    <xf numFmtId="0" fontId="27" fillId="15" borderId="52" xfId="1" applyFont="1" applyFill="1" applyBorder="1" applyAlignment="1">
      <alignment horizontal="center" vertical="center" wrapText="1"/>
    </xf>
    <xf numFmtId="0" fontId="27" fillId="15" borderId="55" xfId="1" applyFont="1" applyFill="1" applyBorder="1" applyAlignment="1">
      <alignment horizontal="center" vertical="center" wrapText="1"/>
    </xf>
    <xf numFmtId="0" fontId="12" fillId="0" borderId="1" xfId="2" applyFont="1" applyFill="1" applyBorder="1" applyAlignment="1">
      <alignment horizontal="center" vertical="center" wrapText="1"/>
    </xf>
    <xf numFmtId="0" fontId="12" fillId="0" borderId="55" xfId="0" applyFont="1" applyBorder="1" applyAlignment="1">
      <alignment horizontal="center" vertical="center" wrapText="1"/>
    </xf>
    <xf numFmtId="0" fontId="12" fillId="0" borderId="53" xfId="0" applyFont="1" applyBorder="1" applyAlignment="1">
      <alignment horizontal="center" vertical="center" wrapText="1"/>
    </xf>
    <xf numFmtId="0" fontId="12" fillId="0" borderId="52" xfId="0" applyFont="1" applyBorder="1" applyAlignment="1">
      <alignment horizontal="center" vertical="center" wrapText="1"/>
    </xf>
    <xf numFmtId="0" fontId="27" fillId="15" borderId="11" xfId="1" applyFont="1" applyFill="1" applyBorder="1" applyAlignment="1">
      <alignment horizontal="center" vertical="center" wrapText="1"/>
    </xf>
    <xf numFmtId="0" fontId="27" fillId="15" borderId="63" xfId="1" applyFont="1" applyFill="1" applyBorder="1" applyAlignment="1">
      <alignment horizontal="center" vertical="center" wrapText="1"/>
    </xf>
    <xf numFmtId="0" fontId="19" fillId="15" borderId="2" xfId="0" quotePrefix="1" applyFont="1" applyFill="1" applyBorder="1" applyAlignment="1" applyProtection="1">
      <alignment horizontal="center" vertical="center" wrapText="1"/>
      <protection locked="0"/>
    </xf>
    <xf numFmtId="0" fontId="19" fillId="15" borderId="3" xfId="0" quotePrefix="1" applyFont="1" applyFill="1" applyBorder="1" applyAlignment="1" applyProtection="1">
      <alignment horizontal="center" vertical="center" wrapText="1"/>
      <protection locked="0"/>
    </xf>
    <xf numFmtId="0" fontId="12" fillId="0" borderId="52" xfId="7" applyFont="1" applyBorder="1" applyAlignment="1">
      <alignment horizontal="center" vertical="center"/>
    </xf>
    <xf numFmtId="0" fontId="12" fillId="0" borderId="55" xfId="7" applyFont="1" applyBorder="1" applyAlignment="1">
      <alignment horizontal="center" vertical="center"/>
    </xf>
    <xf numFmtId="0" fontId="12" fillId="0" borderId="53" xfId="7" applyFont="1" applyBorder="1" applyAlignment="1">
      <alignment horizontal="center" vertical="center"/>
    </xf>
    <xf numFmtId="0" fontId="27" fillId="15" borderId="66" xfId="1" applyFont="1" applyFill="1" applyBorder="1" applyAlignment="1">
      <alignment horizontal="center" vertical="center" wrapText="1"/>
    </xf>
    <xf numFmtId="0" fontId="16" fillId="0" borderId="2" xfId="7" quotePrefix="1" applyFont="1" applyBorder="1" applyAlignment="1" applyProtection="1">
      <alignment horizontal="center" vertical="center" wrapText="1"/>
      <protection locked="0"/>
    </xf>
    <xf numFmtId="0" fontId="16" fillId="0" borderId="3" xfId="7" quotePrefix="1" applyFont="1" applyBorder="1" applyAlignment="1" applyProtection="1">
      <alignment horizontal="center" vertical="center" wrapText="1"/>
      <protection locked="0"/>
    </xf>
    <xf numFmtId="0" fontId="12" fillId="0" borderId="52" xfId="0" applyFont="1" applyBorder="1" applyAlignment="1">
      <alignment horizontal="center" vertical="center"/>
    </xf>
    <xf numFmtId="0" fontId="12" fillId="0" borderId="53" xfId="0" applyFont="1" applyBorder="1" applyAlignment="1">
      <alignment horizontal="center" vertical="center"/>
    </xf>
    <xf numFmtId="0" fontId="12" fillId="0" borderId="52" xfId="1" applyFont="1" applyFill="1" applyBorder="1" applyAlignment="1">
      <alignment horizontal="center" vertical="center" wrapText="1"/>
    </xf>
    <xf numFmtId="0" fontId="12" fillId="0" borderId="55" xfId="1" applyFont="1" applyFill="1" applyBorder="1" applyAlignment="1">
      <alignment horizontal="center" vertical="center" wrapText="1"/>
    </xf>
    <xf numFmtId="0" fontId="12" fillId="0" borderId="53" xfId="1" applyFont="1" applyFill="1" applyBorder="1" applyAlignment="1">
      <alignment horizontal="center" vertical="center" wrapText="1"/>
    </xf>
    <xf numFmtId="0" fontId="12" fillId="0" borderId="1" xfId="0" quotePrefix="1" applyFont="1" applyBorder="1" applyAlignment="1">
      <alignment horizontal="center" vertical="center" wrapText="1"/>
    </xf>
    <xf numFmtId="0" fontId="12" fillId="0" borderId="52" xfId="5" applyFont="1" applyBorder="1" applyAlignment="1">
      <alignment horizontal="center" vertical="center" wrapText="1"/>
    </xf>
    <xf numFmtId="0" fontId="12" fillId="0" borderId="53" xfId="5" applyFont="1" applyBorder="1" applyAlignment="1">
      <alignment horizontal="center" vertical="center" wrapText="1"/>
    </xf>
    <xf numFmtId="0" fontId="28" fillId="15" borderId="52" xfId="0" applyFont="1" applyFill="1" applyBorder="1" applyAlignment="1">
      <alignment horizontal="center" vertical="center"/>
    </xf>
    <xf numFmtId="0" fontId="28" fillId="15" borderId="55" xfId="0" applyFont="1" applyFill="1" applyBorder="1" applyAlignment="1">
      <alignment horizontal="center" vertical="center"/>
    </xf>
    <xf numFmtId="0" fontId="28" fillId="15" borderId="53" xfId="0" applyFont="1" applyFill="1" applyBorder="1" applyAlignment="1">
      <alignment horizontal="center" vertical="center"/>
    </xf>
    <xf numFmtId="0" fontId="27" fillId="15" borderId="3" xfId="1" applyFont="1" applyFill="1" applyBorder="1" applyAlignment="1">
      <alignment horizontal="center" vertical="center" wrapText="1"/>
    </xf>
    <xf numFmtId="0" fontId="27" fillId="15" borderId="53" xfId="1" applyFont="1" applyFill="1" applyBorder="1" applyAlignment="1">
      <alignment horizontal="center" vertical="center" wrapText="1"/>
    </xf>
    <xf numFmtId="0" fontId="58" fillId="0" borderId="2" xfId="1" applyFont="1" applyFill="1" applyBorder="1" applyAlignment="1">
      <alignment horizontal="center" vertical="center" wrapText="1"/>
    </xf>
    <xf numFmtId="0" fontId="58" fillId="0" borderId="3" xfId="1" applyFont="1" applyFill="1" applyBorder="1" applyAlignment="1">
      <alignment horizontal="center" vertical="center" wrapText="1"/>
    </xf>
    <xf numFmtId="0" fontId="12" fillId="0" borderId="2" xfId="9" quotePrefix="1" applyFont="1" applyBorder="1" applyAlignment="1">
      <alignment horizontal="center" vertical="center" wrapText="1"/>
    </xf>
    <xf numFmtId="0" fontId="12" fillId="0" borderId="13" xfId="9" quotePrefix="1" applyFont="1" applyBorder="1" applyAlignment="1">
      <alignment horizontal="center" vertical="center" wrapText="1"/>
    </xf>
    <xf numFmtId="16" fontId="3" fillId="0" borderId="2" xfId="9" quotePrefix="1" applyNumberFormat="1" applyFont="1" applyBorder="1" applyAlignment="1">
      <alignment horizontal="center" vertical="center" wrapText="1"/>
    </xf>
    <xf numFmtId="0" fontId="12" fillId="0" borderId="3" xfId="9" quotePrefix="1" applyFont="1" applyBorder="1" applyAlignment="1">
      <alignment horizontal="center" vertical="center" wrapText="1"/>
    </xf>
    <xf numFmtId="16" fontId="12" fillId="0" borderId="1" xfId="9" quotePrefix="1" applyNumberFormat="1" applyFont="1" applyBorder="1" applyAlignment="1">
      <alignment horizontal="center" vertical="center" wrapText="1"/>
    </xf>
    <xf numFmtId="0" fontId="12" fillId="0" borderId="1" xfId="9" quotePrefix="1" applyFont="1" applyBorder="1" applyAlignment="1">
      <alignment horizontal="center" vertical="center" wrapText="1"/>
    </xf>
    <xf numFmtId="0" fontId="12" fillId="0" borderId="1" xfId="9" applyFont="1" applyBorder="1" applyAlignment="1">
      <alignment horizontal="center" vertical="center" wrapText="1"/>
    </xf>
    <xf numFmtId="0" fontId="12" fillId="0" borderId="39" xfId="0" applyFont="1" applyBorder="1" applyAlignment="1">
      <alignment horizontal="center" vertical="center"/>
    </xf>
    <xf numFmtId="0" fontId="12" fillId="0" borderId="51" xfId="0" applyFont="1" applyBorder="1" applyAlignment="1">
      <alignment horizontal="center" vertical="center"/>
    </xf>
    <xf numFmtId="0" fontId="12" fillId="0" borderId="2" xfId="7" quotePrefix="1" applyFont="1" applyBorder="1" applyAlignment="1">
      <alignment horizontal="center" vertical="center" wrapText="1"/>
    </xf>
    <xf numFmtId="0" fontId="12" fillId="0" borderId="13" xfId="7" applyFont="1" applyBorder="1" applyAlignment="1">
      <alignment horizontal="center" vertical="center" wrapText="1"/>
    </xf>
    <xf numFmtId="0" fontId="12" fillId="0" borderId="2" xfId="9" applyFont="1" applyBorder="1" applyAlignment="1">
      <alignment horizontal="center" vertical="center" wrapText="1"/>
    </xf>
    <xf numFmtId="0" fontId="12" fillId="0" borderId="13" xfId="9" applyFont="1" applyBorder="1" applyAlignment="1">
      <alignment horizontal="center" vertical="center" wrapText="1"/>
    </xf>
    <xf numFmtId="0" fontId="12" fillId="0" borderId="2" xfId="7" applyFont="1" applyBorder="1" applyAlignment="1">
      <alignment horizontal="center" vertical="center" wrapText="1"/>
    </xf>
    <xf numFmtId="0" fontId="12" fillId="0" borderId="2" xfId="5" applyFont="1" applyBorder="1" applyAlignment="1">
      <alignment horizontal="center" vertical="center" wrapText="1"/>
    </xf>
    <xf numFmtId="0" fontId="12" fillId="0" borderId="3" xfId="5" applyFont="1" applyBorder="1" applyAlignment="1">
      <alignment horizontal="center" vertical="center" wrapText="1"/>
    </xf>
    <xf numFmtId="0" fontId="12" fillId="0" borderId="52" xfId="9" applyFont="1" applyBorder="1" applyAlignment="1">
      <alignment horizontal="center" vertical="center" wrapText="1"/>
    </xf>
    <xf numFmtId="0" fontId="12" fillId="0" borderId="55" xfId="9" applyFont="1" applyBorder="1" applyAlignment="1">
      <alignment horizontal="center" vertical="center" wrapText="1"/>
    </xf>
    <xf numFmtId="0" fontId="12" fillId="0" borderId="77" xfId="1" applyFont="1" applyFill="1" applyBorder="1" applyAlignment="1">
      <alignment horizontal="center" vertical="center" wrapText="1"/>
    </xf>
    <xf numFmtId="0" fontId="12" fillId="0" borderId="78" xfId="1" applyFont="1" applyFill="1" applyBorder="1" applyAlignment="1">
      <alignment horizontal="center" vertical="center" wrapText="1"/>
    </xf>
    <xf numFmtId="0" fontId="2" fillId="0" borderId="1" xfId="2" applyFont="1" applyFill="1" applyBorder="1" applyAlignment="1">
      <alignment horizontal="center" vertical="center" wrapText="1"/>
    </xf>
    <xf numFmtId="16" fontId="12" fillId="0" borderId="2" xfId="7" quotePrefix="1" applyNumberFormat="1" applyFont="1" applyBorder="1" applyAlignment="1">
      <alignment horizontal="center" vertical="center" wrapText="1"/>
    </xf>
    <xf numFmtId="0" fontId="16" fillId="12" borderId="3" xfId="0" applyFont="1" applyFill="1" applyBorder="1" applyAlignment="1">
      <alignment horizontal="center" vertical="center" wrapText="1"/>
    </xf>
    <xf numFmtId="0" fontId="27" fillId="0" borderId="7" xfId="0" quotePrefix="1" applyFont="1" applyBorder="1" applyAlignment="1">
      <alignment horizontal="left" vertical="center" wrapText="1"/>
    </xf>
    <xf numFmtId="0" fontId="27" fillId="0" borderId="2" xfId="0" quotePrefix="1" applyFont="1" applyBorder="1" applyAlignment="1">
      <alignment horizontal="center" vertical="center" wrapText="1"/>
    </xf>
    <xf numFmtId="0" fontId="27" fillId="0" borderId="3" xfId="0" quotePrefix="1" applyFont="1" applyBorder="1" applyAlignment="1">
      <alignment horizontal="center" vertical="center" wrapText="1"/>
    </xf>
    <xf numFmtId="0" fontId="12" fillId="15" borderId="1" xfId="0" applyFont="1" applyFill="1" applyBorder="1" applyAlignment="1">
      <alignment horizontal="center" vertical="center" wrapText="1"/>
    </xf>
    <xf numFmtId="0" fontId="27" fillId="0" borderId="7" xfId="0" quotePrefix="1" applyFont="1" applyBorder="1" applyAlignment="1">
      <alignment horizontal="left" wrapText="1"/>
    </xf>
    <xf numFmtId="0" fontId="27" fillId="0" borderId="18" xfId="0" quotePrefix="1" applyFont="1" applyBorder="1" applyAlignment="1">
      <alignment horizontal="left" wrapText="1"/>
    </xf>
    <xf numFmtId="14" fontId="27" fillId="0" borderId="7" xfId="0" applyNumberFormat="1" applyFont="1" applyBorder="1" applyAlignment="1">
      <alignment horizontal="center" vertical="center" wrapText="1"/>
    </xf>
    <xf numFmtId="14" fontId="27" fillId="0" borderId="18" xfId="0" applyNumberFormat="1" applyFont="1" applyBorder="1" applyAlignment="1">
      <alignment horizontal="center" vertical="center" wrapText="1"/>
    </xf>
    <xf numFmtId="0" fontId="12" fillId="0" borderId="1" xfId="0" applyFont="1" applyBorder="1" applyAlignment="1">
      <alignment horizontal="left" vertical="center" wrapText="1"/>
    </xf>
    <xf numFmtId="0" fontId="12" fillId="0" borderId="2" xfId="0" applyFont="1" applyBorder="1" applyAlignment="1">
      <alignment horizontal="left" vertical="top" wrapText="1"/>
    </xf>
    <xf numFmtId="0" fontId="12" fillId="0" borderId="3" xfId="0" applyFont="1" applyBorder="1" applyAlignment="1">
      <alignment horizontal="left" vertical="top" wrapText="1"/>
    </xf>
    <xf numFmtId="0" fontId="27" fillId="0" borderId="3" xfId="0" applyFont="1" applyBorder="1" applyAlignment="1">
      <alignment horizontal="center" vertical="center"/>
    </xf>
    <xf numFmtId="0" fontId="12" fillId="15" borderId="13" xfId="0" applyFont="1" applyFill="1" applyBorder="1" applyAlignment="1">
      <alignment horizontal="center" vertical="center"/>
    </xf>
    <xf numFmtId="0" fontId="16" fillId="15" borderId="3" xfId="0" applyFont="1" applyFill="1" applyBorder="1" applyAlignment="1">
      <alignment horizontal="center" vertical="center"/>
    </xf>
    <xf numFmtId="0" fontId="12" fillId="0" borderId="2" xfId="0" quotePrefix="1" applyFont="1" applyBorder="1" applyAlignment="1">
      <alignment horizontal="left" vertical="center" wrapText="1"/>
    </xf>
    <xf numFmtId="0" fontId="12" fillId="0" borderId="13" xfId="0" quotePrefix="1" applyFont="1" applyBorder="1" applyAlignment="1">
      <alignment horizontal="left" vertical="center" wrapText="1"/>
    </xf>
    <xf numFmtId="0" fontId="12" fillId="0" borderId="3" xfId="0" quotePrefix="1" applyFont="1" applyBorder="1" applyAlignment="1">
      <alignment horizontal="left" vertical="center" wrapText="1"/>
    </xf>
    <xf numFmtId="0" fontId="3" fillId="6" borderId="2" xfId="0" applyFont="1" applyFill="1" applyBorder="1" applyAlignment="1">
      <alignment horizontal="center" vertical="center"/>
    </xf>
    <xf numFmtId="0" fontId="12" fillId="6" borderId="13" xfId="0" applyFont="1" applyFill="1" applyBorder="1" applyAlignment="1">
      <alignment horizontal="center" vertical="center"/>
    </xf>
    <xf numFmtId="0" fontId="16" fillId="6" borderId="3" xfId="0" applyFont="1" applyFill="1" applyBorder="1" applyAlignment="1">
      <alignment horizontal="center" vertical="center"/>
    </xf>
    <xf numFmtId="0" fontId="12" fillId="4" borderId="2" xfId="0" applyFont="1" applyFill="1" applyBorder="1" applyAlignment="1">
      <alignment horizontal="center" vertical="center"/>
    </xf>
    <xf numFmtId="0" fontId="12" fillId="4" borderId="13" xfId="0" applyFont="1" applyFill="1" applyBorder="1" applyAlignment="1">
      <alignment horizontal="center" vertical="center"/>
    </xf>
    <xf numFmtId="0" fontId="77" fillId="0" borderId="2" xfId="0" applyFont="1" applyBorder="1" applyAlignment="1">
      <alignment horizontal="center" vertical="center"/>
    </xf>
    <xf numFmtId="0" fontId="77" fillId="0" borderId="13" xfId="0" applyFont="1" applyBorder="1" applyAlignment="1">
      <alignment horizontal="center" vertical="center"/>
    </xf>
    <xf numFmtId="0" fontId="78" fillId="0" borderId="13" xfId="0" applyFont="1" applyBorder="1" applyAlignment="1">
      <alignment horizontal="center" vertical="center"/>
    </xf>
    <xf numFmtId="0" fontId="83" fillId="0" borderId="2" xfId="0" applyFont="1" applyBorder="1" applyAlignment="1">
      <alignment horizontal="center" vertical="center"/>
    </xf>
    <xf numFmtId="0" fontId="83" fillId="0" borderId="13" xfId="0" applyFont="1" applyBorder="1" applyAlignment="1">
      <alignment horizontal="center" vertical="center"/>
    </xf>
    <xf numFmtId="0" fontId="84" fillId="0" borderId="13" xfId="0" applyFont="1" applyBorder="1" applyAlignment="1">
      <alignment horizontal="center" vertical="center"/>
    </xf>
    <xf numFmtId="0" fontId="27" fillId="0" borderId="1" xfId="0" quotePrefix="1" applyFont="1" applyBorder="1" applyAlignment="1">
      <alignment horizontal="center" vertical="center" wrapText="1"/>
    </xf>
    <xf numFmtId="0" fontId="27" fillId="0" borderId="15" xfId="0" quotePrefix="1" applyFont="1" applyBorder="1" applyAlignment="1">
      <alignment horizontal="left" vertical="center" wrapText="1"/>
    </xf>
    <xf numFmtId="0" fontId="27" fillId="0" borderId="13" xfId="0" applyFont="1" applyBorder="1" applyAlignment="1">
      <alignment horizontal="center" vertical="center" wrapText="1"/>
    </xf>
    <xf numFmtId="0" fontId="27" fillId="0" borderId="15" xfId="0" applyFont="1" applyBorder="1" applyAlignment="1">
      <alignment horizontal="center" vertical="center" wrapText="1"/>
    </xf>
    <xf numFmtId="0" fontId="27" fillId="0" borderId="15" xfId="0" applyFont="1" applyBorder="1" applyAlignment="1">
      <alignment horizontal="left" vertical="center"/>
    </xf>
    <xf numFmtId="0" fontId="19" fillId="0" borderId="18" xfId="0" applyFont="1" applyBorder="1" applyAlignment="1">
      <alignment horizontal="left" vertical="center"/>
    </xf>
    <xf numFmtId="0" fontId="81" fillId="0" borderId="2" xfId="0" applyFont="1" applyBorder="1" applyAlignment="1">
      <alignment horizontal="center" vertical="center"/>
    </xf>
    <xf numFmtId="0" fontId="81" fillId="0" borderId="13" xfId="0" applyFont="1" applyBorder="1" applyAlignment="1">
      <alignment horizontal="center" vertical="center"/>
    </xf>
    <xf numFmtId="0" fontId="82" fillId="0" borderId="13" xfId="0" applyFont="1" applyBorder="1" applyAlignment="1">
      <alignment horizontal="center" vertical="center"/>
    </xf>
    <xf numFmtId="0" fontId="16" fillId="0" borderId="3" xfId="0" applyFont="1" applyBorder="1" applyAlignment="1">
      <alignment horizontal="left" vertical="center" wrapText="1"/>
    </xf>
    <xf numFmtId="0" fontId="27" fillId="0" borderId="2" xfId="0" quotePrefix="1" applyFont="1" applyBorder="1" applyAlignment="1">
      <alignment horizontal="left" vertical="center" wrapText="1"/>
    </xf>
    <xf numFmtId="0" fontId="27" fillId="0" borderId="13" xfId="0" quotePrefix="1" applyFont="1" applyBorder="1" applyAlignment="1">
      <alignment horizontal="left" vertical="center" wrapText="1"/>
    </xf>
    <xf numFmtId="0" fontId="19" fillId="0" borderId="13" xfId="0" applyFont="1" applyBorder="1" applyAlignment="1">
      <alignment horizontal="left" vertical="center" wrapText="1"/>
    </xf>
    <xf numFmtId="0" fontId="4" fillId="0" borderId="7" xfId="0" applyFont="1" applyBorder="1" applyAlignment="1">
      <alignment horizontal="left" vertical="center" wrapText="1"/>
    </xf>
    <xf numFmtId="0" fontId="6" fillId="0" borderId="15" xfId="0" applyFont="1" applyBorder="1" applyAlignment="1">
      <alignment horizontal="left" vertical="center" wrapText="1"/>
    </xf>
    <xf numFmtId="0" fontId="16" fillId="0" borderId="15" xfId="0" applyFont="1" applyBorder="1" applyAlignment="1">
      <alignment horizontal="left" vertical="center"/>
    </xf>
    <xf numFmtId="0" fontId="0" fillId="0" borderId="13" xfId="0" applyBorder="1" applyAlignment="1">
      <alignment horizontal="left" vertical="center" wrapText="1"/>
    </xf>
    <xf numFmtId="0" fontId="19" fillId="0" borderId="15" xfId="0" applyFont="1" applyBorder="1" applyAlignment="1">
      <alignment horizontal="left" vertical="center"/>
    </xf>
    <xf numFmtId="0" fontId="16" fillId="4" borderId="3" xfId="0" applyFont="1" applyFill="1" applyBorder="1" applyAlignment="1">
      <alignment horizontal="center" vertical="center"/>
    </xf>
    <xf numFmtId="0" fontId="27" fillId="0" borderId="6" xfId="0" quotePrefix="1" applyFont="1" applyBorder="1" applyAlignment="1">
      <alignment horizontal="center" vertical="center" wrapText="1"/>
    </xf>
    <xf numFmtId="0" fontId="27" fillId="15" borderId="18"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12" fillId="0" borderId="90" xfId="0" applyFont="1" applyBorder="1" applyAlignment="1">
      <alignment horizontal="center" vertical="center"/>
    </xf>
    <xf numFmtId="0" fontId="27" fillId="15" borderId="81" xfId="0" applyFont="1" applyFill="1" applyBorder="1" applyAlignment="1">
      <alignment horizontal="center" vertical="center" wrapText="1"/>
    </xf>
    <xf numFmtId="0" fontId="27" fillId="15" borderId="82" xfId="0" applyFont="1" applyFill="1" applyBorder="1" applyAlignment="1">
      <alignment horizontal="center" vertical="center" wrapText="1"/>
    </xf>
    <xf numFmtId="0" fontId="27" fillId="15" borderId="83" xfId="0" applyFont="1" applyFill="1" applyBorder="1" applyAlignment="1">
      <alignment horizontal="center" vertical="center" wrapText="1"/>
    </xf>
    <xf numFmtId="0" fontId="7" fillId="0" borderId="1" xfId="0" applyFont="1" applyBorder="1" applyAlignment="1">
      <alignment horizontal="center" vertical="center" wrapText="1"/>
    </xf>
    <xf numFmtId="0" fontId="2" fillId="0" borderId="1" xfId="1" applyFont="1" applyFill="1" applyBorder="1" applyAlignment="1">
      <alignment horizontal="center" vertical="center" wrapText="1"/>
    </xf>
    <xf numFmtId="0" fontId="0" fillId="0" borderId="1" xfId="0" applyBorder="1" applyAlignment="1">
      <alignment horizontal="center" vertical="center" wrapText="1"/>
    </xf>
    <xf numFmtId="0" fontId="19" fillId="0" borderId="6" xfId="0" applyFont="1" applyBorder="1" applyAlignment="1">
      <alignment horizontal="center" vertical="center" wrapText="1"/>
    </xf>
    <xf numFmtId="0" fontId="0" fillId="0" borderId="1" xfId="0" applyBorder="1" applyAlignment="1">
      <alignment horizontal="center"/>
    </xf>
    <xf numFmtId="0" fontId="19" fillId="0" borderId="92" xfId="0" applyFont="1" applyBorder="1" applyAlignment="1">
      <alignment vertical="center" wrapText="1"/>
    </xf>
    <xf numFmtId="0" fontId="19" fillId="0" borderId="3" xfId="0" applyFont="1" applyBorder="1" applyAlignment="1">
      <alignment horizontal="center" vertical="center" wrapText="1"/>
    </xf>
    <xf numFmtId="0" fontId="19" fillId="0" borderId="18" xfId="0" applyFont="1" applyBorder="1" applyAlignment="1">
      <alignment horizontal="center" vertical="center" wrapText="1"/>
    </xf>
    <xf numFmtId="0" fontId="0" fillId="0" borderId="3" xfId="0" applyBorder="1" applyAlignment="1">
      <alignment horizontal="center"/>
    </xf>
    <xf numFmtId="0" fontId="19" fillId="0" borderId="60" xfId="0" applyFont="1" applyBorder="1" applyAlignment="1">
      <alignment vertical="center" wrapText="1"/>
    </xf>
    <xf numFmtId="0" fontId="0" fillId="0" borderId="6" xfId="0" applyBorder="1" applyAlignment="1">
      <alignment horizontal="center"/>
    </xf>
    <xf numFmtId="0" fontId="0" fillId="0" borderId="41" xfId="0" applyBorder="1" applyAlignment="1">
      <alignment horizontal="center"/>
    </xf>
    <xf numFmtId="0" fontId="0" fillId="0" borderId="57" xfId="0" applyBorder="1" applyAlignment="1">
      <alignment horizontal="center"/>
    </xf>
    <xf numFmtId="0" fontId="19" fillId="0" borderId="62" xfId="0" applyFont="1" applyBorder="1" applyAlignment="1">
      <alignment vertical="center" wrapText="1"/>
    </xf>
    <xf numFmtId="16" fontId="27" fillId="0" borderId="76" xfId="0" quotePrefix="1" applyNumberFormat="1" applyFont="1" applyBorder="1" applyAlignment="1">
      <alignment horizontal="center" vertical="center"/>
    </xf>
    <xf numFmtId="0" fontId="19" fillId="0" borderId="76" xfId="0" applyFont="1" applyBorder="1" applyAlignment="1">
      <alignment horizontal="center" vertical="center"/>
    </xf>
    <xf numFmtId="0" fontId="0" fillId="0" borderId="76" xfId="0" applyBorder="1" applyAlignment="1">
      <alignment horizontal="center" vertical="center"/>
    </xf>
    <xf numFmtId="0" fontId="27" fillId="0" borderId="77" xfId="0" applyFont="1" applyBorder="1" applyAlignment="1">
      <alignment horizontal="center" vertical="center"/>
    </xf>
    <xf numFmtId="0" fontId="27" fillId="0" borderId="56" xfId="0" applyFont="1" applyBorder="1" applyAlignment="1">
      <alignment horizontal="center" vertical="center"/>
    </xf>
    <xf numFmtId="0" fontId="19" fillId="0" borderId="56" xfId="0" applyFont="1" applyBorder="1" applyAlignment="1">
      <alignment horizontal="center" vertical="center"/>
    </xf>
    <xf numFmtId="0" fontId="0" fillId="0" borderId="56" xfId="0" applyBorder="1" applyAlignment="1">
      <alignment horizontal="center" vertical="center"/>
    </xf>
    <xf numFmtId="0" fontId="12" fillId="0" borderId="55" xfId="0" applyFont="1" applyBorder="1" applyAlignment="1">
      <alignment horizontal="center" vertical="center"/>
    </xf>
    <xf numFmtId="0" fontId="16" fillId="0" borderId="53" xfId="0" applyFont="1" applyBorder="1" applyAlignment="1">
      <alignment horizontal="center" vertical="center"/>
    </xf>
    <xf numFmtId="0" fontId="12" fillId="0" borderId="77" xfId="0" applyFont="1" applyBorder="1" applyAlignment="1">
      <alignment horizontal="center" vertical="center"/>
    </xf>
    <xf numFmtId="0" fontId="12" fillId="0" borderId="56" xfId="0" applyFont="1" applyBorder="1" applyAlignment="1">
      <alignment horizontal="center" vertical="center"/>
    </xf>
    <xf numFmtId="16" fontId="12" fillId="0" borderId="76" xfId="0" quotePrefix="1" applyNumberFormat="1" applyFont="1" applyBorder="1" applyAlignment="1">
      <alignment horizontal="center" vertical="center"/>
    </xf>
    <xf numFmtId="16" fontId="3" fillId="0" borderId="13" xfId="0" quotePrefix="1" applyNumberFormat="1" applyFont="1" applyBorder="1" applyAlignment="1">
      <alignment horizontal="center" vertical="center"/>
    </xf>
    <xf numFmtId="0" fontId="16" fillId="0" borderId="13" xfId="0" applyFont="1" applyBorder="1" applyAlignment="1">
      <alignment horizontal="center" vertical="center"/>
    </xf>
    <xf numFmtId="16" fontId="12" fillId="0" borderId="2" xfId="0" quotePrefix="1" applyNumberFormat="1" applyFont="1" applyBorder="1" applyAlignment="1">
      <alignment horizontal="center" vertical="center"/>
    </xf>
    <xf numFmtId="16" fontId="12" fillId="0" borderId="13" xfId="0" quotePrefix="1" applyNumberFormat="1" applyFont="1" applyBorder="1" applyAlignment="1">
      <alignment horizontal="center" vertical="center"/>
    </xf>
    <xf numFmtId="16" fontId="12" fillId="0" borderId="3" xfId="0" quotePrefix="1" applyNumberFormat="1" applyFont="1" applyBorder="1" applyAlignment="1">
      <alignment horizontal="center" vertical="center"/>
    </xf>
    <xf numFmtId="0" fontId="19" fillId="0" borderId="13" xfId="0" applyFont="1" applyBorder="1" applyAlignment="1">
      <alignment horizontal="center" vertical="center" wrapText="1"/>
    </xf>
    <xf numFmtId="0" fontId="0" fillId="0" borderId="13" xfId="0" applyBorder="1" applyAlignment="1">
      <alignment horizontal="center" vertical="center" wrapText="1"/>
    </xf>
    <xf numFmtId="0" fontId="58" fillId="0" borderId="2" xfId="0" applyFont="1" applyBorder="1" applyAlignment="1">
      <alignment horizontal="center" vertical="center" wrapText="1"/>
    </xf>
    <xf numFmtId="0" fontId="58" fillId="0" borderId="13" xfId="0" applyFont="1" applyBorder="1" applyAlignment="1">
      <alignment horizontal="center" vertical="center" wrapText="1"/>
    </xf>
    <xf numFmtId="0" fontId="85" fillId="0" borderId="13" xfId="0" applyFont="1" applyBorder="1" applyAlignment="1">
      <alignment horizontal="center" vertical="center" wrapText="1"/>
    </xf>
    <xf numFmtId="0" fontId="16" fillId="0" borderId="13" xfId="0" applyFont="1" applyBorder="1" applyAlignment="1">
      <alignment horizontal="center" vertical="center" wrapText="1"/>
    </xf>
    <xf numFmtId="0" fontId="27" fillId="0" borderId="21" xfId="7" applyFont="1" applyBorder="1" applyAlignment="1">
      <alignment horizontal="left" vertical="center" wrapText="1"/>
    </xf>
    <xf numFmtId="0" fontId="27" fillId="0" borderId="0" xfId="7" applyFont="1" applyAlignment="1">
      <alignment horizontal="left" vertical="center" wrapText="1"/>
    </xf>
    <xf numFmtId="16" fontId="12" fillId="0" borderId="2" xfId="1" quotePrefix="1" applyNumberFormat="1" applyFont="1" applyFill="1" applyBorder="1" applyAlignment="1">
      <alignment horizontal="center" vertical="center" wrapText="1"/>
    </xf>
    <xf numFmtId="16" fontId="12" fillId="0" borderId="3" xfId="1" quotePrefix="1" applyNumberFormat="1" applyFont="1" applyFill="1" applyBorder="1" applyAlignment="1">
      <alignment horizontal="center" vertical="center" wrapText="1"/>
    </xf>
    <xf numFmtId="0" fontId="12" fillId="0" borderId="1" xfId="1" quotePrefix="1" applyFont="1" applyFill="1" applyBorder="1" applyAlignment="1">
      <alignment horizontal="center" vertical="center" wrapText="1"/>
    </xf>
    <xf numFmtId="0" fontId="27" fillId="0" borderId="21" xfId="0" applyFont="1" applyBorder="1" applyAlignment="1">
      <alignment horizontal="left" vertical="center" wrapText="1"/>
    </xf>
    <xf numFmtId="0" fontId="27" fillId="0" borderId="0" xfId="0" applyFont="1" applyAlignment="1">
      <alignment horizontal="left" vertical="center" wrapText="1"/>
    </xf>
    <xf numFmtId="0" fontId="27" fillId="0" borderId="18" xfId="0" applyFont="1" applyBorder="1" applyAlignment="1">
      <alignment horizontal="left" vertical="top" wrapText="1"/>
    </xf>
    <xf numFmtId="0" fontId="40" fillId="15" borderId="5" xfId="0" applyFont="1" applyFill="1" applyBorder="1" applyAlignment="1">
      <alignment horizontal="center" vertical="center" textRotation="90" wrapText="1"/>
    </xf>
    <xf numFmtId="0" fontId="40" fillId="15" borderId="12" xfId="0" applyFont="1" applyFill="1" applyBorder="1" applyAlignment="1">
      <alignment horizontal="center" vertical="center" textRotation="90"/>
    </xf>
    <xf numFmtId="0" fontId="40" fillId="15" borderId="6" xfId="0" applyFont="1" applyFill="1" applyBorder="1" applyAlignment="1">
      <alignment horizontal="center" vertical="center" textRotation="90"/>
    </xf>
    <xf numFmtId="0" fontId="21" fillId="4" borderId="2" xfId="0" applyFont="1" applyFill="1" applyBorder="1" applyAlignment="1">
      <alignment horizontal="center" textRotation="90"/>
    </xf>
    <xf numFmtId="0" fontId="21" fillId="4" borderId="13" xfId="0" applyFont="1" applyFill="1" applyBorder="1" applyAlignment="1">
      <alignment horizontal="center" textRotation="90"/>
    </xf>
    <xf numFmtId="0" fontId="21" fillId="4" borderId="64" xfId="0" applyFont="1" applyFill="1" applyBorder="1" applyAlignment="1">
      <alignment horizontal="center" textRotation="90"/>
    </xf>
    <xf numFmtId="0" fontId="16" fillId="4" borderId="2" xfId="0" applyFont="1" applyFill="1" applyBorder="1" applyAlignment="1" applyProtection="1">
      <alignment horizontal="center" vertical="center" wrapText="1"/>
      <protection locked="0"/>
    </xf>
    <xf numFmtId="0" fontId="16" fillId="4" borderId="3" xfId="0" applyFont="1" applyFill="1" applyBorder="1" applyAlignment="1" applyProtection="1">
      <alignment horizontal="center" vertical="center" wrapText="1"/>
      <protection locked="0"/>
    </xf>
    <xf numFmtId="0" fontId="12" fillId="4" borderId="1" xfId="0" applyFont="1" applyFill="1" applyBorder="1" applyAlignment="1">
      <alignment horizontal="center" vertical="center" wrapText="1"/>
    </xf>
    <xf numFmtId="0" fontId="27" fillId="15" borderId="39" xfId="1" quotePrefix="1" applyFont="1" applyFill="1" applyBorder="1" applyAlignment="1">
      <alignment horizontal="left" vertical="center" wrapText="1"/>
    </xf>
    <xf numFmtId="0" fontId="27" fillId="15" borderId="90" xfId="1" applyFont="1" applyFill="1" applyBorder="1" applyAlignment="1">
      <alignment horizontal="left" vertical="center" wrapText="1"/>
    </xf>
    <xf numFmtId="0" fontId="27" fillId="15" borderId="51" xfId="1" applyFont="1" applyFill="1" applyBorder="1" applyAlignment="1">
      <alignment horizontal="left" vertical="center" wrapText="1"/>
    </xf>
    <xf numFmtId="0" fontId="27" fillId="0" borderId="7" xfId="7" applyFont="1" applyBorder="1" applyAlignment="1">
      <alignment horizontal="center" vertical="center" wrapText="1"/>
    </xf>
    <xf numFmtId="0" fontId="27" fillId="0" borderId="15" xfId="7" applyFont="1" applyBorder="1" applyAlignment="1">
      <alignment horizontal="center" vertical="center"/>
    </xf>
    <xf numFmtId="0" fontId="27" fillId="0" borderId="18" xfId="7" applyFont="1" applyBorder="1" applyAlignment="1">
      <alignment horizontal="center" vertical="center"/>
    </xf>
    <xf numFmtId="0" fontId="12" fillId="4" borderId="2" xfId="1" applyFont="1" applyFill="1" applyBorder="1" applyAlignment="1">
      <alignment horizontal="center" vertical="center" wrapText="1"/>
    </xf>
    <xf numFmtId="0" fontId="12" fillId="4" borderId="3" xfId="1" applyFont="1" applyFill="1" applyBorder="1" applyAlignment="1">
      <alignment horizontal="center" vertical="center" wrapText="1"/>
    </xf>
    <xf numFmtId="0" fontId="27" fillId="0" borderId="6"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7" xfId="0" quotePrefix="1" applyFont="1" applyBorder="1" applyAlignment="1">
      <alignment horizontal="center" vertical="center" wrapText="1"/>
    </xf>
    <xf numFmtId="0" fontId="27" fillId="0" borderId="18" xfId="0" quotePrefix="1" applyFont="1" applyBorder="1" applyAlignment="1">
      <alignment horizontal="center" vertical="center" wrapText="1"/>
    </xf>
    <xf numFmtId="0" fontId="27" fillId="0" borderId="2" xfId="0" applyFont="1" applyBorder="1" applyAlignment="1">
      <alignment horizontal="left" vertical="center" wrapText="1"/>
    </xf>
    <xf numFmtId="0" fontId="27" fillId="0" borderId="13" xfId="0" applyFont="1" applyBorder="1" applyAlignment="1">
      <alignment horizontal="left" vertical="center" wrapText="1"/>
    </xf>
    <xf numFmtId="0" fontId="12" fillId="0" borderId="1" xfId="1" applyFont="1" applyFill="1" applyBorder="1" applyAlignment="1">
      <alignment horizontal="left" vertical="center" wrapText="1"/>
    </xf>
    <xf numFmtId="0" fontId="27" fillId="0" borderId="2" xfId="0" applyFont="1" applyBorder="1" applyAlignment="1">
      <alignment horizontal="left" wrapText="1"/>
    </xf>
    <xf numFmtId="0" fontId="27" fillId="0" borderId="3" xfId="0" applyFont="1" applyBorder="1" applyAlignment="1">
      <alignment horizontal="left" wrapText="1"/>
    </xf>
    <xf numFmtId="0" fontId="27" fillId="0" borderId="15" xfId="0" applyFont="1" applyBorder="1" applyAlignment="1">
      <alignment horizontal="left"/>
    </xf>
    <xf numFmtId="0" fontId="27" fillId="0" borderId="18" xfId="0" applyFont="1" applyBorder="1" applyAlignment="1">
      <alignment horizontal="left"/>
    </xf>
    <xf numFmtId="0" fontId="27" fillId="0" borderId="2" xfId="0" applyFont="1" applyBorder="1" applyAlignment="1">
      <alignment horizontal="center"/>
    </xf>
    <xf numFmtId="0" fontId="27" fillId="0" borderId="3" xfId="0" applyFont="1" applyBorder="1" applyAlignment="1">
      <alignment horizontal="center"/>
    </xf>
    <xf numFmtId="0" fontId="27" fillId="0" borderId="2" xfId="0" applyFont="1" applyBorder="1" applyAlignment="1">
      <alignment horizontal="center" wrapText="1"/>
    </xf>
    <xf numFmtId="0" fontId="27" fillId="0" borderId="3" xfId="0" applyFont="1" applyBorder="1" applyAlignment="1">
      <alignment horizontal="center" wrapText="1"/>
    </xf>
    <xf numFmtId="0" fontId="12" fillId="0" borderId="2" xfId="0" applyFont="1" applyBorder="1" applyAlignment="1">
      <alignment horizontal="center" wrapText="1"/>
    </xf>
    <xf numFmtId="0" fontId="12" fillId="0" borderId="3" xfId="0" applyFont="1" applyBorder="1" applyAlignment="1">
      <alignment horizontal="center" wrapText="1"/>
    </xf>
    <xf numFmtId="0" fontId="27" fillId="0" borderId="13" xfId="0" applyFont="1" applyBorder="1" applyAlignment="1">
      <alignment horizontal="left" wrapText="1"/>
    </xf>
    <xf numFmtId="0" fontId="27" fillId="15" borderId="20" xfId="1" applyFont="1" applyFill="1" applyBorder="1" applyAlignment="1">
      <alignment horizontal="center" vertical="center" wrapText="1"/>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21" fillId="0" borderId="20" xfId="10" applyFont="1" applyBorder="1" applyAlignment="1">
      <alignment horizontal="left" vertical="top" wrapText="1"/>
    </xf>
    <xf numFmtId="0" fontId="21" fillId="0" borderId="21" xfId="10" applyFont="1" applyBorder="1" applyAlignment="1">
      <alignment horizontal="left" vertical="top" wrapText="1"/>
    </xf>
    <xf numFmtId="0" fontId="19" fillId="0" borderId="16" xfId="10" applyFont="1" applyBorder="1" applyAlignment="1">
      <alignment horizontal="left" vertical="center" wrapText="1"/>
    </xf>
    <xf numFmtId="0" fontId="19" fillId="0" borderId="17" xfId="10" applyFont="1" applyBorder="1" applyAlignment="1">
      <alignment horizontal="left" vertical="center" wrapText="1"/>
    </xf>
    <xf numFmtId="0" fontId="21" fillId="0" borderId="43" xfId="10" applyFont="1" applyBorder="1" applyAlignment="1">
      <alignment horizontal="left" vertical="center" wrapText="1"/>
    </xf>
    <xf numFmtId="0" fontId="21" fillId="0" borderId="26" xfId="10" applyFont="1" applyBorder="1" applyAlignment="1">
      <alignment horizontal="left" vertical="center" wrapText="1"/>
    </xf>
    <xf numFmtId="0" fontId="21" fillId="0" borderId="44" xfId="10" applyFont="1" applyBorder="1" applyAlignment="1">
      <alignment horizontal="left" vertical="center" wrapText="1"/>
    </xf>
    <xf numFmtId="0" fontId="19" fillId="0" borderId="45" xfId="10" applyFont="1" applyBorder="1" applyAlignment="1">
      <alignment horizontal="left" vertical="center" wrapText="1"/>
    </xf>
    <xf numFmtId="0" fontId="19" fillId="0" borderId="27" xfId="10" applyFont="1" applyBorder="1" applyAlignment="1">
      <alignment horizontal="left" vertical="center" wrapText="1"/>
    </xf>
    <xf numFmtId="0" fontId="19" fillId="0" borderId="27" xfId="10" applyFont="1" applyBorder="1" applyAlignment="1">
      <alignment horizontal="center" vertical="center" wrapText="1"/>
    </xf>
    <xf numFmtId="0" fontId="19" fillId="0" borderId="46" xfId="10" applyFont="1" applyBorder="1" applyAlignment="1">
      <alignment horizontal="center" vertical="center" wrapText="1"/>
    </xf>
    <xf numFmtId="0" fontId="19" fillId="0" borderId="16" xfId="10" applyFont="1" applyBorder="1" applyAlignment="1">
      <alignment horizontal="center" vertical="center" wrapText="1"/>
    </xf>
    <xf numFmtId="0" fontId="19" fillId="0" borderId="17" xfId="10" applyFont="1" applyBorder="1" applyAlignment="1">
      <alignment horizontal="center" vertical="center" wrapText="1"/>
    </xf>
    <xf numFmtId="0" fontId="32" fillId="0" borderId="0" xfId="10" applyFont="1" applyAlignment="1">
      <alignment horizontal="center" wrapText="1"/>
    </xf>
    <xf numFmtId="0" fontId="32" fillId="0" borderId="0" xfId="10" applyFont="1" applyAlignment="1">
      <alignment wrapText="1"/>
    </xf>
    <xf numFmtId="0" fontId="21" fillId="0" borderId="20" xfId="10" applyFont="1" applyBorder="1" applyAlignment="1">
      <alignment vertical="top" wrapText="1"/>
    </xf>
    <xf numFmtId="0" fontId="21" fillId="0" borderId="21" xfId="10" applyFont="1" applyBorder="1" applyAlignment="1">
      <alignment vertical="top" wrapText="1"/>
    </xf>
    <xf numFmtId="0" fontId="21" fillId="0" borderId="7" xfId="10" applyFont="1" applyBorder="1" applyAlignment="1">
      <alignment vertical="top" wrapText="1"/>
    </xf>
    <xf numFmtId="0" fontId="19" fillId="0" borderId="18" xfId="10" applyFont="1" applyBorder="1" applyAlignment="1">
      <alignment horizontal="left" vertical="center" wrapText="1"/>
    </xf>
    <xf numFmtId="0" fontId="21" fillId="0" borderId="22" xfId="10" applyFont="1" applyBorder="1" applyAlignment="1">
      <alignment horizontal="left" vertical="top" wrapText="1"/>
    </xf>
    <xf numFmtId="0" fontId="19" fillId="0" borderId="24" xfId="10" applyFont="1" applyBorder="1" applyAlignment="1">
      <alignment horizontal="left" vertical="center" wrapText="1"/>
    </xf>
    <xf numFmtId="0" fontId="20" fillId="0" borderId="28" xfId="10" applyFont="1" applyBorder="1" applyAlignment="1">
      <alignment horizontal="left" vertical="center" wrapText="1"/>
    </xf>
    <xf numFmtId="0" fontId="20" fillId="0" borderId="48" xfId="10" applyFont="1" applyBorder="1" applyAlignment="1">
      <alignment horizontal="left" vertical="center" wrapText="1"/>
    </xf>
    <xf numFmtId="0" fontId="21" fillId="0" borderId="49" xfId="10" applyFont="1" applyBorder="1" applyAlignment="1">
      <alignment horizontal="left" vertical="center" wrapText="1"/>
    </xf>
    <xf numFmtId="0" fontId="21" fillId="0" borderId="29" xfId="10" applyFont="1" applyBorder="1" applyAlignment="1">
      <alignment horizontal="left" vertical="center" wrapText="1"/>
    </xf>
    <xf numFmtId="0" fontId="21" fillId="0" borderId="50" xfId="10" applyFont="1" applyBorder="1" applyAlignment="1">
      <alignment horizontal="left" vertical="center" wrapText="1"/>
    </xf>
    <xf numFmtId="0" fontId="20" fillId="0" borderId="47" xfId="10" applyFont="1" applyBorder="1" applyAlignment="1">
      <alignment horizontal="left" vertical="center" wrapText="1"/>
    </xf>
    <xf numFmtId="0" fontId="33" fillId="0" borderId="42" xfId="10" applyFont="1" applyBorder="1" applyAlignment="1">
      <alignment horizontal="left" vertical="top" wrapText="1"/>
    </xf>
    <xf numFmtId="0" fontId="33" fillId="0" borderId="0" xfId="10" applyFont="1" applyAlignment="1">
      <alignment horizontal="left" vertical="top" wrapText="1"/>
    </xf>
    <xf numFmtId="0" fontId="33" fillId="0" borderId="15" xfId="10" applyFont="1" applyBorder="1" applyAlignment="1">
      <alignment horizontal="left" vertical="top" wrapText="1"/>
    </xf>
    <xf numFmtId="0" fontId="27" fillId="9" borderId="71" xfId="0" quotePrefix="1" applyFont="1" applyFill="1" applyBorder="1" applyAlignment="1">
      <alignment horizontal="center" vertical="center" wrapText="1"/>
    </xf>
    <xf numFmtId="0" fontId="27" fillId="9" borderId="75" xfId="0" quotePrefix="1" applyFont="1" applyFill="1" applyBorder="1" applyAlignment="1">
      <alignment horizontal="center" vertical="center" wrapText="1"/>
    </xf>
    <xf numFmtId="0" fontId="27" fillId="9" borderId="67" xfId="0" quotePrefix="1" applyFont="1" applyFill="1" applyBorder="1" applyAlignment="1">
      <alignment horizontal="center" vertical="center" wrapText="1"/>
    </xf>
    <xf numFmtId="0" fontId="27" fillId="9" borderId="69" xfId="0" quotePrefix="1" applyFont="1" applyFill="1" applyBorder="1" applyAlignment="1">
      <alignment horizontal="center" vertical="center" wrapText="1"/>
    </xf>
    <xf numFmtId="0" fontId="68" fillId="4" borderId="2" xfId="0" applyFont="1" applyFill="1" applyBorder="1" applyAlignment="1">
      <alignment horizontal="center" vertical="center"/>
    </xf>
    <xf numFmtId="0" fontId="68" fillId="4" borderId="3" xfId="0" applyFont="1" applyFill="1" applyBorder="1" applyAlignment="1">
      <alignment horizontal="center" vertical="center"/>
    </xf>
    <xf numFmtId="0" fontId="12" fillId="11" borderId="2" xfId="0" applyFont="1" applyFill="1" applyBorder="1" applyAlignment="1">
      <alignment horizontal="center" vertical="center"/>
    </xf>
    <xf numFmtId="0" fontId="12" fillId="11" borderId="3" xfId="0" applyFont="1" applyFill="1" applyBorder="1" applyAlignment="1">
      <alignment horizontal="center" vertical="center"/>
    </xf>
    <xf numFmtId="0" fontId="68" fillId="15" borderId="2" xfId="0" applyFont="1" applyFill="1" applyBorder="1" applyAlignment="1">
      <alignment horizontal="center" vertical="center"/>
    </xf>
    <xf numFmtId="0" fontId="68" fillId="15" borderId="3" xfId="0" applyFont="1" applyFill="1" applyBorder="1" applyAlignment="1">
      <alignment horizontal="center" vertical="center"/>
    </xf>
    <xf numFmtId="0" fontId="12" fillId="0" borderId="2" xfId="1" applyFont="1" applyFill="1" applyBorder="1" applyAlignment="1">
      <alignment horizontal="center" vertical="center"/>
    </xf>
    <xf numFmtId="0" fontId="12" fillId="0" borderId="3" xfId="1" applyFont="1" applyFill="1" applyBorder="1" applyAlignment="1">
      <alignment horizontal="center" vertical="center"/>
    </xf>
    <xf numFmtId="0" fontId="12" fillId="0" borderId="2" xfId="0" applyFont="1" applyBorder="1" applyAlignment="1">
      <alignment horizontal="center" vertical="center" textRotation="90"/>
    </xf>
    <xf numFmtId="0" fontId="12" fillId="0" borderId="3" xfId="0" applyFont="1" applyBorder="1" applyAlignment="1">
      <alignment horizontal="center" vertical="center" textRotation="90"/>
    </xf>
    <xf numFmtId="0" fontId="77" fillId="0" borderId="19" xfId="0" applyFont="1" applyBorder="1" applyAlignment="1">
      <alignment horizontal="center" textRotation="90" wrapText="1"/>
    </xf>
    <xf numFmtId="0" fontId="77" fillId="0" borderId="54" xfId="0" applyFont="1" applyBorder="1" applyAlignment="1">
      <alignment horizontal="center" textRotation="90" wrapText="1"/>
    </xf>
    <xf numFmtId="0" fontId="67" fillId="0" borderId="34" xfId="0" applyFont="1" applyBorder="1" applyAlignment="1">
      <alignment horizontal="center" vertical="center" textRotation="90" wrapText="1"/>
    </xf>
    <xf numFmtId="0" fontId="67" fillId="0" borderId="36" xfId="0" applyFont="1" applyBorder="1" applyAlignment="1">
      <alignment horizontal="center" vertical="center" textRotation="90" wrapText="1"/>
    </xf>
    <xf numFmtId="0" fontId="67" fillId="0" borderId="35" xfId="0" applyFont="1" applyBorder="1" applyAlignment="1">
      <alignment horizontal="center" vertical="center" textRotation="90" wrapText="1"/>
    </xf>
    <xf numFmtId="0" fontId="12" fillId="13" borderId="2" xfId="0" applyFont="1" applyFill="1" applyBorder="1" applyAlignment="1">
      <alignment horizontal="center" vertical="center"/>
    </xf>
    <xf numFmtId="0" fontId="12" fillId="13" borderId="3" xfId="0" applyFont="1" applyFill="1" applyBorder="1" applyAlignment="1">
      <alignment horizontal="center" vertical="center"/>
    </xf>
    <xf numFmtId="0" fontId="77" fillId="0" borderId="2" xfId="0" applyFont="1" applyBorder="1" applyAlignment="1">
      <alignment horizontal="left" vertical="center"/>
    </xf>
    <xf numFmtId="0" fontId="77" fillId="0" borderId="3" xfId="0" applyFont="1" applyBorder="1" applyAlignment="1">
      <alignment horizontal="left" vertical="center"/>
    </xf>
    <xf numFmtId="16" fontId="58" fillId="0" borderId="2" xfId="0" quotePrefix="1" applyNumberFormat="1" applyFont="1" applyBorder="1" applyAlignment="1">
      <alignment horizontal="center" vertical="center"/>
    </xf>
    <xf numFmtId="16" fontId="58" fillId="0" borderId="3" xfId="0" quotePrefix="1" applyNumberFormat="1" applyFont="1" applyBorder="1" applyAlignment="1">
      <alignment horizontal="center" vertical="center"/>
    </xf>
    <xf numFmtId="0" fontId="58" fillId="0" borderId="2" xfId="1" applyFont="1" applyFill="1" applyBorder="1" applyAlignment="1">
      <alignment horizontal="center" vertical="center"/>
    </xf>
    <xf numFmtId="0" fontId="58" fillId="0" borderId="3" xfId="1" applyFont="1" applyFill="1" applyBorder="1" applyAlignment="1">
      <alignment horizontal="center" vertical="center"/>
    </xf>
    <xf numFmtId="0" fontId="58" fillId="0" borderId="2" xfId="0" applyFont="1" applyBorder="1" applyAlignment="1">
      <alignment horizontal="center" vertical="center"/>
    </xf>
    <xf numFmtId="0" fontId="58" fillId="0" borderId="3" xfId="0" applyFont="1" applyBorder="1" applyAlignment="1">
      <alignment horizontal="center" vertical="center"/>
    </xf>
    <xf numFmtId="0" fontId="12" fillId="0" borderId="70" xfId="0" applyFont="1" applyBorder="1" applyAlignment="1">
      <alignment horizontal="center" vertical="center"/>
    </xf>
    <xf numFmtId="0" fontId="12" fillId="0" borderId="88" xfId="0" applyFont="1" applyBorder="1" applyAlignment="1">
      <alignment horizontal="center" vertical="center"/>
    </xf>
    <xf numFmtId="0" fontId="58" fillId="0" borderId="2" xfId="0" quotePrefix="1" applyFont="1" applyBorder="1" applyAlignment="1">
      <alignment horizontal="left" vertical="center" wrapText="1"/>
    </xf>
    <xf numFmtId="0" fontId="58" fillId="0" borderId="3" xfId="0" quotePrefix="1" applyFont="1" applyBorder="1" applyAlignment="1">
      <alignment horizontal="left" vertical="center" wrapText="1"/>
    </xf>
    <xf numFmtId="14" fontId="27" fillId="9" borderId="71" xfId="0" quotePrefix="1" applyNumberFormat="1" applyFont="1" applyFill="1" applyBorder="1" applyAlignment="1">
      <alignment horizontal="center" vertical="center" wrapText="1"/>
    </xf>
    <xf numFmtId="14" fontId="27" fillId="9" borderId="75" xfId="0" quotePrefix="1" applyNumberFormat="1" applyFont="1" applyFill="1" applyBorder="1" applyAlignment="1">
      <alignment horizontal="center" vertical="center" wrapText="1"/>
    </xf>
    <xf numFmtId="0" fontId="51" fillId="0" borderId="87" xfId="0" applyFont="1" applyBorder="1" applyAlignment="1">
      <alignment horizontal="left" wrapText="1"/>
    </xf>
    <xf numFmtId="0" fontId="51" fillId="0" borderId="88" xfId="0" applyFont="1" applyBorder="1" applyAlignment="1">
      <alignment horizontal="left" wrapText="1"/>
    </xf>
    <xf numFmtId="0" fontId="12" fillId="5" borderId="97" xfId="1" applyFont="1" applyFill="1" applyBorder="1" applyAlignment="1">
      <alignment horizontal="center" vertical="center"/>
    </xf>
    <xf numFmtId="0" fontId="12" fillId="5" borderId="98" xfId="1" applyFont="1" applyFill="1" applyBorder="1" applyAlignment="1">
      <alignment horizontal="center" vertical="center"/>
    </xf>
    <xf numFmtId="0" fontId="16" fillId="0" borderId="2" xfId="0" applyFont="1" applyBorder="1" applyAlignment="1">
      <alignment horizontal="center" vertical="center"/>
    </xf>
    <xf numFmtId="0" fontId="27" fillId="15" borderId="2" xfId="0" applyFont="1" applyFill="1" applyBorder="1" applyAlignment="1">
      <alignment horizontal="center" vertical="center"/>
    </xf>
    <xf numFmtId="0" fontId="27" fillId="15" borderId="13" xfId="0" applyFont="1" applyFill="1" applyBorder="1" applyAlignment="1">
      <alignment horizontal="center" vertical="center"/>
    </xf>
    <xf numFmtId="0" fontId="27" fillId="15" borderId="3" xfId="0" applyFont="1" applyFill="1" applyBorder="1" applyAlignment="1">
      <alignment horizontal="center" vertical="center"/>
    </xf>
    <xf numFmtId="0" fontId="77" fillId="0" borderId="2" xfId="0" applyFont="1" applyBorder="1" applyAlignment="1">
      <alignment horizontal="left" vertical="center" wrapText="1"/>
    </xf>
    <xf numFmtId="0" fontId="77" fillId="0" borderId="3" xfId="0" applyFont="1" applyBorder="1" applyAlignment="1">
      <alignment horizontal="left" vertical="center" wrapText="1"/>
    </xf>
    <xf numFmtId="0" fontId="58" fillId="0" borderId="2" xfId="0" quotePrefix="1" applyFont="1" applyBorder="1" applyAlignment="1">
      <alignment horizontal="center" vertical="center" wrapText="1"/>
    </xf>
    <xf numFmtId="0" fontId="58" fillId="0" borderId="3" xfId="0" quotePrefix="1" applyFont="1" applyBorder="1" applyAlignment="1">
      <alignment horizontal="center" vertical="center" wrapText="1"/>
    </xf>
    <xf numFmtId="0" fontId="58" fillId="0" borderId="96" xfId="0" applyFont="1" applyBorder="1" applyAlignment="1">
      <alignment horizontal="center" vertical="center" wrapText="1"/>
    </xf>
    <xf numFmtId="0" fontId="58" fillId="0" borderId="3" xfId="0" applyFont="1" applyBorder="1" applyAlignment="1">
      <alignment horizontal="center" vertical="center" wrapText="1"/>
    </xf>
    <xf numFmtId="0" fontId="12" fillId="0" borderId="79" xfId="1" applyFont="1" applyFill="1" applyBorder="1" applyAlignment="1">
      <alignment horizontal="center" vertical="center"/>
    </xf>
    <xf numFmtId="0" fontId="68" fillId="0" borderId="1" xfId="0" applyFont="1" applyBorder="1" applyAlignment="1">
      <alignment horizontal="center" vertical="center"/>
    </xf>
    <xf numFmtId="0" fontId="12" fillId="0" borderId="2" xfId="1" quotePrefix="1" applyFont="1" applyFill="1" applyBorder="1" applyAlignment="1">
      <alignment horizontal="center" vertical="center"/>
    </xf>
    <xf numFmtId="0" fontId="29" fillId="15" borderId="2" xfId="0" applyFont="1" applyFill="1" applyBorder="1" applyAlignment="1">
      <alignment horizontal="center" vertical="center"/>
    </xf>
    <xf numFmtId="0" fontId="29" fillId="15" borderId="13" xfId="0" applyFont="1" applyFill="1" applyBorder="1" applyAlignment="1">
      <alignment horizontal="center" vertical="center"/>
    </xf>
    <xf numFmtId="0" fontId="29" fillId="15" borderId="3" xfId="0" applyFont="1" applyFill="1" applyBorder="1" applyAlignment="1">
      <alignment horizontal="center" vertical="center"/>
    </xf>
    <xf numFmtId="0" fontId="27" fillId="15" borderId="70" xfId="0" applyFont="1" applyFill="1" applyBorder="1" applyAlignment="1">
      <alignment horizontal="center" vertical="center"/>
    </xf>
    <xf numFmtId="0" fontId="27" fillId="15" borderId="72" xfId="0" applyFont="1" applyFill="1" applyBorder="1" applyAlignment="1">
      <alignment horizontal="center" vertical="center"/>
    </xf>
    <xf numFmtId="0" fontId="27" fillId="15" borderId="74" xfId="0" applyFont="1" applyFill="1" applyBorder="1" applyAlignment="1">
      <alignment horizontal="center" vertical="center"/>
    </xf>
    <xf numFmtId="0" fontId="27" fillId="15" borderId="71" xfId="0" applyFont="1" applyFill="1" applyBorder="1" applyAlignment="1">
      <alignment horizontal="center" vertical="center"/>
    </xf>
    <xf numFmtId="0" fontId="27" fillId="15" borderId="73" xfId="0" applyFont="1" applyFill="1" applyBorder="1" applyAlignment="1">
      <alignment horizontal="center" vertical="center"/>
    </xf>
    <xf numFmtId="0" fontId="27" fillId="15" borderId="75" xfId="0" applyFont="1" applyFill="1" applyBorder="1" applyAlignment="1">
      <alignment horizontal="center" vertical="center"/>
    </xf>
    <xf numFmtId="0" fontId="68" fillId="15" borderId="13" xfId="0" applyFont="1" applyFill="1" applyBorder="1" applyAlignment="1">
      <alignment horizontal="center" vertical="center"/>
    </xf>
    <xf numFmtId="0" fontId="12" fillId="15" borderId="79" xfId="0" applyFont="1" applyFill="1" applyBorder="1" applyAlignment="1">
      <alignment horizontal="center" vertical="center"/>
    </xf>
    <xf numFmtId="0" fontId="12" fillId="11" borderId="1" xfId="0" applyFont="1" applyFill="1" applyBorder="1" applyAlignment="1">
      <alignment horizontal="center" vertical="center"/>
    </xf>
    <xf numFmtId="0" fontId="27" fillId="15" borderId="2" xfId="1" applyFont="1" applyFill="1" applyBorder="1" applyAlignment="1">
      <alignment horizontal="center" vertical="center"/>
    </xf>
    <xf numFmtId="0" fontId="27" fillId="15" borderId="3" xfId="1" applyFont="1" applyFill="1" applyBorder="1" applyAlignment="1">
      <alignment horizontal="center" vertical="center"/>
    </xf>
    <xf numFmtId="0" fontId="27" fillId="15" borderId="13" xfId="1" applyFont="1" applyFill="1" applyBorder="1" applyAlignment="1">
      <alignment horizontal="center" vertical="center"/>
    </xf>
    <xf numFmtId="0" fontId="12" fillId="0" borderId="2" xfId="0" quotePrefix="1" applyFont="1" applyBorder="1" applyAlignment="1">
      <alignment horizontal="center" vertical="center"/>
    </xf>
    <xf numFmtId="0" fontId="12" fillId="0" borderId="3" xfId="0" quotePrefix="1" applyFont="1" applyBorder="1" applyAlignment="1">
      <alignment horizontal="center" vertical="center"/>
    </xf>
    <xf numFmtId="0" fontId="45" fillId="0" borderId="2" xfId="0" applyFont="1" applyBorder="1" applyAlignment="1">
      <alignment horizontal="left" vertical="center"/>
    </xf>
    <xf numFmtId="0" fontId="45" fillId="0" borderId="3" xfId="0" applyFont="1" applyBorder="1" applyAlignment="1">
      <alignment horizontal="left" vertical="center"/>
    </xf>
    <xf numFmtId="0" fontId="27" fillId="0" borderId="15" xfId="0" applyFont="1" applyBorder="1" applyAlignment="1">
      <alignment horizontal="center" vertical="center"/>
    </xf>
    <xf numFmtId="0" fontId="27" fillId="0" borderId="18" xfId="0" applyFont="1" applyBorder="1" applyAlignment="1">
      <alignment horizontal="center" vertical="center"/>
    </xf>
    <xf numFmtId="0" fontId="27" fillId="15" borderId="2" xfId="1" quotePrefix="1" applyFont="1" applyFill="1" applyBorder="1" applyAlignment="1">
      <alignment horizontal="center" vertical="center"/>
    </xf>
    <xf numFmtId="0" fontId="27" fillId="15" borderId="3" xfId="1" quotePrefix="1" applyFont="1" applyFill="1" applyBorder="1" applyAlignment="1">
      <alignment horizontal="center" vertical="center"/>
    </xf>
    <xf numFmtId="0" fontId="28" fillId="15" borderId="52" xfId="6" applyFont="1" applyFill="1" applyBorder="1" applyAlignment="1">
      <alignment horizontal="left" vertical="center"/>
    </xf>
    <xf numFmtId="0" fontId="28" fillId="15" borderId="55" xfId="6" applyFont="1" applyFill="1" applyBorder="1" applyAlignment="1">
      <alignment horizontal="left" vertical="center"/>
    </xf>
    <xf numFmtId="0" fontId="28" fillId="15" borderId="53" xfId="6" applyFont="1" applyFill="1" applyBorder="1" applyAlignment="1">
      <alignment horizontal="left" vertical="center"/>
    </xf>
    <xf numFmtId="0" fontId="27" fillId="15" borderId="2" xfId="0" quotePrefix="1" applyFont="1" applyFill="1" applyBorder="1" applyAlignment="1">
      <alignment horizontal="center" vertical="center"/>
    </xf>
    <xf numFmtId="0" fontId="27" fillId="15" borderId="13" xfId="0" quotePrefix="1" applyFont="1" applyFill="1" applyBorder="1" applyAlignment="1">
      <alignment horizontal="center" vertical="center"/>
    </xf>
    <xf numFmtId="0" fontId="27" fillId="15" borderId="3" xfId="0" quotePrefix="1" applyFont="1" applyFill="1" applyBorder="1" applyAlignment="1">
      <alignment horizontal="center" vertical="center"/>
    </xf>
    <xf numFmtId="16" fontId="27" fillId="15" borderId="2" xfId="0" quotePrefix="1" applyNumberFormat="1" applyFont="1" applyFill="1" applyBorder="1" applyAlignment="1">
      <alignment horizontal="center" vertical="center"/>
    </xf>
    <xf numFmtId="16" fontId="27" fillId="15" borderId="13" xfId="0" quotePrefix="1" applyNumberFormat="1" applyFont="1" applyFill="1" applyBorder="1" applyAlignment="1">
      <alignment horizontal="center" vertical="center"/>
    </xf>
    <xf numFmtId="16" fontId="27" fillId="15" borderId="3" xfId="0" quotePrefix="1" applyNumberFormat="1" applyFont="1" applyFill="1" applyBorder="1" applyAlignment="1">
      <alignment horizontal="center" vertical="center"/>
    </xf>
    <xf numFmtId="0" fontId="27" fillId="15" borderId="42" xfId="0" applyFont="1" applyFill="1" applyBorder="1" applyAlignment="1">
      <alignment horizontal="center" vertical="center" wrapText="1"/>
    </xf>
    <xf numFmtId="0" fontId="0" fillId="15" borderId="20" xfId="0" quotePrefix="1" applyFill="1" applyBorder="1" applyAlignment="1" applyProtection="1">
      <alignment horizontal="center" vertical="center"/>
      <protection locked="0"/>
    </xf>
    <xf numFmtId="0" fontId="0" fillId="15" borderId="42" xfId="0" quotePrefix="1" applyFill="1" applyBorder="1" applyAlignment="1" applyProtection="1">
      <alignment horizontal="center" vertical="center"/>
      <protection locked="0"/>
    </xf>
    <xf numFmtId="0" fontId="0" fillId="15" borderId="16" xfId="0" quotePrefix="1" applyFill="1" applyBorder="1" applyAlignment="1" applyProtection="1">
      <alignment horizontal="center" vertical="center"/>
      <protection locked="0"/>
    </xf>
    <xf numFmtId="0" fontId="27" fillId="15" borderId="2" xfId="0" applyFont="1" applyFill="1" applyBorder="1" applyAlignment="1">
      <alignment horizontal="center" vertical="center" textRotation="90"/>
    </xf>
    <xf numFmtId="0" fontId="27" fillId="15" borderId="13" xfId="0" applyFont="1" applyFill="1" applyBorder="1" applyAlignment="1">
      <alignment horizontal="center" vertical="center" textRotation="90"/>
    </xf>
    <xf numFmtId="0" fontId="27" fillId="15" borderId="3" xfId="0" applyFont="1" applyFill="1" applyBorder="1" applyAlignment="1">
      <alignment horizontal="center" vertical="center" textRotation="90"/>
    </xf>
    <xf numFmtId="0" fontId="21" fillId="4" borderId="2" xfId="0" applyFont="1" applyFill="1" applyBorder="1" applyAlignment="1">
      <alignment horizontal="center" textRotation="90" wrapText="1"/>
    </xf>
    <xf numFmtId="0" fontId="21" fillId="4" borderId="13" xfId="0" applyFont="1" applyFill="1" applyBorder="1" applyAlignment="1">
      <alignment horizontal="center" textRotation="90" wrapText="1"/>
    </xf>
    <xf numFmtId="0" fontId="21" fillId="4" borderId="64" xfId="0" applyFont="1" applyFill="1" applyBorder="1" applyAlignment="1">
      <alignment horizontal="center" textRotation="90" wrapText="1"/>
    </xf>
    <xf numFmtId="0" fontId="68" fillId="4" borderId="13" xfId="0" applyFont="1" applyFill="1" applyBorder="1" applyAlignment="1">
      <alignment horizontal="center" vertical="center"/>
    </xf>
    <xf numFmtId="0" fontId="68" fillId="4" borderId="1" xfId="0" applyFont="1" applyFill="1" applyBorder="1" applyAlignment="1">
      <alignment horizontal="center" vertical="center"/>
    </xf>
    <xf numFmtId="0" fontId="70" fillId="4" borderId="13" xfId="0" applyFont="1" applyFill="1" applyBorder="1" applyAlignment="1">
      <alignment horizontal="center" vertical="center"/>
    </xf>
    <xf numFmtId="0" fontId="70" fillId="4" borderId="3" xfId="0" applyFont="1" applyFill="1" applyBorder="1" applyAlignment="1">
      <alignment horizontal="center" vertical="center"/>
    </xf>
    <xf numFmtId="0" fontId="12" fillId="4" borderId="79" xfId="0" applyFont="1" applyFill="1" applyBorder="1" applyAlignment="1">
      <alignment horizontal="center" vertical="center"/>
    </xf>
    <xf numFmtId="0" fontId="27" fillId="0" borderId="21" xfId="0" applyFont="1" applyBorder="1" applyAlignment="1">
      <alignment horizontal="center" vertical="center" wrapText="1"/>
    </xf>
    <xf numFmtId="0" fontId="27" fillId="0" borderId="0" xfId="0" applyFont="1" applyAlignment="1">
      <alignment horizontal="center" vertical="center"/>
    </xf>
    <xf numFmtId="0" fontId="0" fillId="0" borderId="0" xfId="0" applyAlignment="1">
      <alignment horizontal="center" vertical="center"/>
    </xf>
    <xf numFmtId="0" fontId="0" fillId="0" borderId="15" xfId="0" applyBorder="1" applyAlignment="1">
      <alignment horizontal="left" vertical="center"/>
    </xf>
    <xf numFmtId="0" fontId="0" fillId="0" borderId="18" xfId="0" applyBorder="1" applyAlignment="1">
      <alignment horizontal="left" vertical="center"/>
    </xf>
    <xf numFmtId="0" fontId="51" fillId="0" borderId="7" xfId="0" applyFont="1" applyBorder="1" applyAlignment="1">
      <alignment horizontal="center" vertical="center" wrapText="1"/>
    </xf>
    <xf numFmtId="0" fontId="0" fillId="0" borderId="15" xfId="0" applyBorder="1" applyAlignment="1">
      <alignment horizontal="center" vertical="center"/>
    </xf>
    <xf numFmtId="0" fontId="27" fillId="0" borderId="18" xfId="0" applyFont="1" applyBorder="1" applyAlignment="1">
      <alignment horizontal="left" vertical="center"/>
    </xf>
    <xf numFmtId="0" fontId="68" fillId="0" borderId="79" xfId="0" applyFont="1" applyBorder="1" applyAlignment="1">
      <alignment horizontal="center" vertical="center"/>
    </xf>
    <xf numFmtId="0" fontId="27" fillId="4" borderId="2" xfId="0" applyFont="1" applyFill="1" applyBorder="1" applyAlignment="1">
      <alignment horizontal="center" vertical="center"/>
    </xf>
    <xf numFmtId="0" fontId="27" fillId="4" borderId="13" xfId="0" applyFont="1" applyFill="1" applyBorder="1" applyAlignment="1">
      <alignment horizontal="center" vertical="center"/>
    </xf>
    <xf numFmtId="0" fontId="27" fillId="4" borderId="3" xfId="0" applyFont="1" applyFill="1" applyBorder="1" applyAlignment="1">
      <alignment horizontal="center" vertical="center"/>
    </xf>
    <xf numFmtId="0" fontId="68" fillId="0" borderId="2" xfId="1" quotePrefix="1" applyFont="1" applyFill="1" applyBorder="1" applyAlignment="1">
      <alignment horizontal="center" vertical="center"/>
    </xf>
    <xf numFmtId="0" fontId="70" fillId="0" borderId="13" xfId="0" applyFont="1" applyBorder="1" applyAlignment="1">
      <alignment horizontal="center" vertical="center"/>
    </xf>
    <xf numFmtId="0" fontId="70" fillId="0" borderId="3" xfId="0" applyFont="1" applyBorder="1" applyAlignment="1">
      <alignment horizontal="center" vertical="center"/>
    </xf>
    <xf numFmtId="0" fontId="68" fillId="0" borderId="2" xfId="1" applyFont="1" applyFill="1" applyBorder="1" applyAlignment="1">
      <alignment horizontal="center" vertical="center"/>
    </xf>
    <xf numFmtId="0" fontId="12" fillId="10" borderId="3" xfId="0" applyFont="1" applyFill="1" applyBorder="1" applyAlignment="1">
      <alignment horizontal="center" vertical="center"/>
    </xf>
    <xf numFmtId="0" fontId="12" fillId="10" borderId="1" xfId="0" applyFont="1" applyFill="1" applyBorder="1" applyAlignment="1">
      <alignment horizontal="center" vertical="center"/>
    </xf>
    <xf numFmtId="0" fontId="12" fillId="0" borderId="13" xfId="1" applyFont="1" applyFill="1" applyBorder="1" applyAlignment="1">
      <alignment horizontal="center" vertical="center"/>
    </xf>
    <xf numFmtId="0" fontId="68" fillId="0" borderId="1" xfId="1" applyFont="1" applyFill="1" applyBorder="1" applyAlignment="1">
      <alignment horizontal="center" vertical="center" wrapText="1"/>
    </xf>
    <xf numFmtId="0" fontId="12" fillId="0" borderId="1" xfId="1" applyFont="1" applyFill="1" applyBorder="1" applyAlignment="1">
      <alignment vertical="center" wrapText="1"/>
    </xf>
    <xf numFmtId="0" fontId="68" fillId="13" borderId="2" xfId="0" applyFont="1" applyFill="1" applyBorder="1" applyAlignment="1">
      <alignment horizontal="center" vertical="center"/>
    </xf>
    <xf numFmtId="0" fontId="68" fillId="13" borderId="13" xfId="0" applyFont="1" applyFill="1" applyBorder="1" applyAlignment="1">
      <alignment horizontal="center" vertical="center"/>
    </xf>
    <xf numFmtId="0" fontId="12" fillId="0" borderId="5" xfId="1" applyFont="1" applyFill="1" applyBorder="1" applyAlignment="1">
      <alignment vertical="center" wrapText="1"/>
    </xf>
    <xf numFmtId="0" fontId="76" fillId="0" borderId="13" xfId="0" applyFont="1" applyBorder="1" applyAlignment="1">
      <alignment horizontal="center" vertical="center"/>
    </xf>
    <xf numFmtId="0" fontId="76" fillId="0" borderId="3" xfId="0" applyFont="1" applyBorder="1" applyAlignment="1">
      <alignment horizontal="center" vertical="center"/>
    </xf>
    <xf numFmtId="0" fontId="40" fillId="0" borderId="34" xfId="0" applyFont="1" applyBorder="1" applyAlignment="1">
      <alignment horizontal="center" vertical="center" textRotation="90" wrapText="1"/>
    </xf>
    <xf numFmtId="0" fontId="40" fillId="0" borderId="36" xfId="0" applyFont="1" applyBorder="1" applyAlignment="1">
      <alignment horizontal="center" vertical="center" textRotation="90"/>
    </xf>
    <xf numFmtId="0" fontId="40" fillId="0" borderId="35" xfId="0" applyFont="1" applyBorder="1" applyAlignment="1">
      <alignment horizontal="center" vertical="center" textRotation="90"/>
    </xf>
    <xf numFmtId="0" fontId="27" fillId="0" borderId="18" xfId="0" quotePrefix="1" applyFont="1" applyBorder="1" applyAlignment="1">
      <alignment horizontal="left" vertical="center" wrapText="1"/>
    </xf>
    <xf numFmtId="0" fontId="68" fillId="15" borderId="1" xfId="0" applyFont="1" applyFill="1" applyBorder="1" applyAlignment="1">
      <alignment horizontal="center" vertical="center"/>
    </xf>
    <xf numFmtId="0" fontId="12" fillId="0" borderId="2" xfId="1" quotePrefix="1" applyFont="1" applyFill="1" applyBorder="1" applyAlignment="1">
      <alignment horizontal="left" vertical="center" wrapText="1"/>
    </xf>
    <xf numFmtId="0" fontId="12" fillId="0" borderId="3" xfId="1" applyFont="1" applyFill="1" applyBorder="1" applyAlignment="1">
      <alignment horizontal="left" vertical="center" wrapText="1"/>
    </xf>
    <xf numFmtId="0" fontId="10" fillId="0" borderId="2" xfId="0" applyFont="1" applyBorder="1" applyAlignment="1">
      <alignment horizontal="left" vertical="center" wrapText="1"/>
    </xf>
    <xf numFmtId="0" fontId="12" fillId="0" borderId="6" xfId="1" applyFont="1" applyFill="1" applyBorder="1" applyAlignment="1">
      <alignment horizontal="center" vertical="center" wrapText="1"/>
    </xf>
    <xf numFmtId="0" fontId="12" fillId="0" borderId="2" xfId="1" applyFont="1" applyFill="1" applyBorder="1" applyAlignment="1">
      <alignment vertical="center" wrapText="1"/>
    </xf>
    <xf numFmtId="0" fontId="12" fillId="0" borderId="3" xfId="1" applyFont="1" applyFill="1" applyBorder="1" applyAlignment="1">
      <alignment vertical="center" wrapText="1"/>
    </xf>
    <xf numFmtId="0" fontId="12" fillId="10" borderId="1" xfId="1" applyFont="1" applyFill="1" applyBorder="1" applyAlignment="1">
      <alignment horizontal="center" vertical="center" wrapText="1"/>
    </xf>
    <xf numFmtId="0" fontId="12" fillId="13" borderId="1" xfId="0" applyFont="1" applyFill="1" applyBorder="1" applyAlignment="1">
      <alignment horizontal="center" vertical="center"/>
    </xf>
    <xf numFmtId="0" fontId="16" fillId="13" borderId="13" xfId="0" applyFont="1" applyFill="1" applyBorder="1" applyAlignment="1">
      <alignment horizontal="center" vertical="center"/>
    </xf>
    <xf numFmtId="0" fontId="16" fillId="13" borderId="3" xfId="0" applyFont="1" applyFill="1" applyBorder="1" applyAlignment="1">
      <alignment horizontal="center" vertical="center"/>
    </xf>
    <xf numFmtId="0" fontId="12" fillId="0" borderId="79" xfId="1" applyFont="1" applyFill="1" applyBorder="1" applyAlignment="1">
      <alignment horizontal="center" vertical="center" wrapText="1"/>
    </xf>
    <xf numFmtId="0" fontId="7" fillId="0" borderId="1" xfId="0" applyFont="1" applyBorder="1" applyAlignment="1">
      <alignment horizontal="left" vertical="center" wrapText="1"/>
    </xf>
    <xf numFmtId="0" fontId="12" fillId="0" borderId="1" xfId="1" applyFont="1" applyFill="1" applyBorder="1" applyAlignment="1">
      <alignment horizontal="center" vertical="center"/>
    </xf>
    <xf numFmtId="0" fontId="5" fillId="0" borderId="2" xfId="0" quotePrefix="1" applyFont="1" applyBorder="1" applyAlignment="1">
      <alignment horizontal="center" vertical="center"/>
    </xf>
    <xf numFmtId="0" fontId="12" fillId="0" borderId="13" xfId="0" quotePrefix="1" applyFont="1" applyBorder="1" applyAlignment="1">
      <alignment horizontal="center" vertical="center"/>
    </xf>
    <xf numFmtId="0" fontId="16" fillId="0" borderId="1" xfId="0" applyFont="1" applyBorder="1" applyAlignment="1">
      <alignment horizontal="center" vertical="center" wrapText="1"/>
    </xf>
    <xf numFmtId="0" fontId="45" fillId="0" borderId="2" xfId="6" applyFont="1" applyBorder="1" applyAlignment="1">
      <alignment horizontal="left" vertical="center"/>
    </xf>
    <xf numFmtId="0" fontId="45" fillId="0" borderId="13" xfId="6" applyFont="1" applyBorder="1" applyAlignment="1">
      <alignment horizontal="left" vertical="center"/>
    </xf>
    <xf numFmtId="0" fontId="45" fillId="0" borderId="3" xfId="6" applyFont="1" applyBorder="1" applyAlignment="1">
      <alignment horizontal="left" vertical="center"/>
    </xf>
    <xf numFmtId="0" fontId="12" fillId="0" borderId="3" xfId="1" quotePrefix="1" applyFont="1" applyFill="1" applyBorder="1" applyAlignment="1">
      <alignment horizontal="center" vertical="center"/>
    </xf>
    <xf numFmtId="0" fontId="16" fillId="0" borderId="13" xfId="0" applyFont="1" applyBorder="1" applyAlignment="1">
      <alignment horizontal="left" vertical="center"/>
    </xf>
    <xf numFmtId="0" fontId="16" fillId="0" borderId="3" xfId="0" applyFont="1" applyBorder="1" applyAlignment="1">
      <alignment horizontal="left" vertical="center"/>
    </xf>
    <xf numFmtId="0" fontId="56" fillId="0" borderId="13" xfId="0" applyFont="1" applyBorder="1" applyAlignment="1">
      <alignment horizontal="left" vertical="center"/>
    </xf>
    <xf numFmtId="0" fontId="56" fillId="0" borderId="3" xfId="0" applyFont="1" applyBorder="1" applyAlignment="1">
      <alignment horizontal="left" vertical="center"/>
    </xf>
    <xf numFmtId="0" fontId="12" fillId="13" borderId="1" xfId="1" applyFont="1" applyFill="1" applyBorder="1" applyAlignment="1">
      <alignment horizontal="center" vertical="center"/>
    </xf>
    <xf numFmtId="0" fontId="12" fillId="13" borderId="2" xfId="1" applyFont="1" applyFill="1" applyBorder="1" applyAlignment="1">
      <alignment horizontal="center" vertical="center" wrapText="1"/>
    </xf>
    <xf numFmtId="0" fontId="12" fillId="13" borderId="13" xfId="1" applyFont="1" applyFill="1" applyBorder="1" applyAlignment="1">
      <alignment horizontal="center" vertical="center" wrapText="1"/>
    </xf>
    <xf numFmtId="0" fontId="12" fillId="13" borderId="3" xfId="1" applyFont="1" applyFill="1" applyBorder="1" applyAlignment="1">
      <alignment horizontal="center" vertical="center" wrapText="1"/>
    </xf>
    <xf numFmtId="0" fontId="68" fillId="13" borderId="76" xfId="0" applyFont="1" applyFill="1" applyBorder="1" applyAlignment="1">
      <alignment horizontal="center" vertical="center"/>
    </xf>
    <xf numFmtId="0" fontId="16" fillId="0" borderId="3" xfId="0" applyFont="1" applyBorder="1" applyAlignment="1">
      <alignment horizontal="center" vertical="center" wrapText="1"/>
    </xf>
    <xf numFmtId="0" fontId="12" fillId="13" borderId="1" xfId="1" applyFont="1" applyFill="1" applyBorder="1" applyAlignment="1">
      <alignment horizontal="center" vertical="center" wrapText="1"/>
    </xf>
    <xf numFmtId="0" fontId="58" fillId="0" borderId="1" xfId="1" applyFont="1" applyFill="1" applyBorder="1" applyAlignment="1">
      <alignment horizontal="center" vertical="center"/>
    </xf>
    <xf numFmtId="0" fontId="19" fillId="0" borderId="1" xfId="0" applyFont="1" applyBorder="1" applyAlignment="1">
      <alignment horizontal="center" vertical="center" wrapText="1"/>
    </xf>
    <xf numFmtId="0" fontId="0" fillId="0" borderId="1" xfId="0" applyBorder="1" applyAlignment="1">
      <alignment horizontal="center" vertical="center"/>
    </xf>
    <xf numFmtId="0" fontId="0" fillId="0" borderId="38" xfId="0" applyBorder="1" applyAlignment="1">
      <alignment horizontal="center"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51" xfId="0"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39" xfId="0" applyBorder="1" applyAlignment="1">
      <alignment horizontal="center" vertical="center" wrapText="1"/>
    </xf>
    <xf numFmtId="0" fontId="0" fillId="0" borderId="64" xfId="0" applyBorder="1" applyAlignment="1">
      <alignment horizontal="center" vertical="center"/>
    </xf>
    <xf numFmtId="0" fontId="0" fillId="0" borderId="64" xfId="0" applyBorder="1" applyAlignment="1">
      <alignment horizontal="center" vertical="center" wrapText="1"/>
    </xf>
    <xf numFmtId="0" fontId="0" fillId="0" borderId="65" xfId="0" applyBorder="1" applyAlignment="1">
      <alignment horizontal="center" vertical="center" wrapText="1"/>
    </xf>
    <xf numFmtId="0" fontId="28" fillId="0" borderId="19" xfId="0" applyFont="1" applyBorder="1" applyAlignment="1">
      <alignment horizontal="center" textRotation="90" wrapText="1"/>
    </xf>
    <xf numFmtId="0" fontId="0" fillId="0" borderId="57" xfId="0" applyBorder="1" applyAlignment="1">
      <alignment horizontal="center" textRotation="90"/>
    </xf>
    <xf numFmtId="0" fontId="68" fillId="13" borderId="20" xfId="0" applyFont="1" applyFill="1" applyBorder="1" applyAlignment="1">
      <alignment horizontal="center" vertical="center"/>
    </xf>
    <xf numFmtId="0" fontId="68" fillId="13" borderId="42" xfId="0" applyFont="1" applyFill="1" applyBorder="1" applyAlignment="1">
      <alignment horizontal="center" vertical="center"/>
    </xf>
    <xf numFmtId="0" fontId="62" fillId="0" borderId="34" xfId="0" applyFont="1" applyBorder="1" applyAlignment="1">
      <alignment horizontal="center" vertical="center" textRotation="90" wrapText="1"/>
    </xf>
    <xf numFmtId="0" fontId="70" fillId="15" borderId="13" xfId="0" applyFont="1" applyFill="1" applyBorder="1" applyAlignment="1">
      <alignment horizontal="center" vertical="center"/>
    </xf>
    <xf numFmtId="0" fontId="70" fillId="15" borderId="3" xfId="0" applyFont="1" applyFill="1" applyBorder="1" applyAlignment="1">
      <alignment horizontal="center" vertical="center"/>
    </xf>
    <xf numFmtId="0" fontId="12" fillId="0" borderId="97" xfId="0" applyFont="1" applyBorder="1" applyAlignment="1">
      <alignment horizontal="center" vertical="center"/>
    </xf>
    <xf numFmtId="0" fontId="12" fillId="0" borderId="98" xfId="0" applyFont="1" applyBorder="1" applyAlignment="1">
      <alignment horizontal="center" vertical="center"/>
    </xf>
    <xf numFmtId="0" fontId="68" fillId="13" borderId="7" xfId="0" applyFont="1" applyFill="1" applyBorder="1" applyAlignment="1">
      <alignment horizontal="center" vertical="center"/>
    </xf>
    <xf numFmtId="0" fontId="68" fillId="13" borderId="15"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13" xfId="0" applyFont="1" applyFill="1" applyBorder="1" applyAlignment="1">
      <alignment horizontal="center" vertical="center"/>
    </xf>
    <xf numFmtId="0" fontId="37" fillId="15" borderId="3" xfId="0" applyFont="1" applyFill="1" applyBorder="1" applyAlignment="1">
      <alignment horizontal="center" vertical="center"/>
    </xf>
    <xf numFmtId="0" fontId="7" fillId="0" borderId="2" xfId="0" applyFont="1" applyBorder="1" applyAlignment="1">
      <alignment horizontal="left" vertical="center" wrapText="1"/>
    </xf>
    <xf numFmtId="14" fontId="27" fillId="9" borderId="84" xfId="0" quotePrefix="1" applyNumberFormat="1" applyFont="1" applyFill="1" applyBorder="1" applyAlignment="1">
      <alignment horizontal="center" vertical="center" wrapText="1"/>
    </xf>
    <xf numFmtId="14" fontId="27" fillId="9" borderId="86" xfId="0" quotePrefix="1" applyNumberFormat="1" applyFont="1" applyFill="1" applyBorder="1" applyAlignment="1">
      <alignment horizontal="center" vertical="center" wrapText="1"/>
    </xf>
    <xf numFmtId="0" fontId="27" fillId="15" borderId="20" xfId="0" applyFont="1" applyFill="1" applyBorder="1" applyAlignment="1">
      <alignment horizontal="center" vertical="center"/>
    </xf>
    <xf numFmtId="0" fontId="27" fillId="15" borderId="42" xfId="0" applyFont="1" applyFill="1" applyBorder="1" applyAlignment="1">
      <alignment horizontal="center" vertical="center"/>
    </xf>
    <xf numFmtId="0" fontId="27" fillId="15" borderId="16" xfId="0" applyFont="1" applyFill="1" applyBorder="1" applyAlignment="1">
      <alignment horizontal="center" vertical="center"/>
    </xf>
    <xf numFmtId="0" fontId="27" fillId="15" borderId="67" xfId="0" applyFont="1" applyFill="1" applyBorder="1" applyAlignment="1">
      <alignment horizontal="center" vertical="center"/>
    </xf>
    <xf numFmtId="0" fontId="27" fillId="15" borderId="68" xfId="0" applyFont="1" applyFill="1" applyBorder="1" applyAlignment="1">
      <alignment horizontal="center" vertical="center"/>
    </xf>
    <xf numFmtId="0" fontId="27" fillId="15" borderId="69" xfId="0" applyFont="1" applyFill="1" applyBorder="1" applyAlignment="1">
      <alignment horizontal="center" vertical="center"/>
    </xf>
    <xf numFmtId="0" fontId="45" fillId="0" borderId="13" xfId="0" applyFont="1" applyBorder="1" applyAlignment="1">
      <alignment horizontal="left" vertical="center"/>
    </xf>
    <xf numFmtId="0" fontId="19" fillId="0" borderId="7" xfId="0" quotePrefix="1" applyFont="1" applyBorder="1" applyAlignment="1">
      <alignment horizontal="left" vertical="center" wrapText="1"/>
    </xf>
    <xf numFmtId="0" fontId="0" fillId="0" borderId="15" xfId="0" quotePrefix="1" applyBorder="1" applyAlignment="1">
      <alignment horizontal="left" vertical="center" wrapText="1"/>
    </xf>
    <xf numFmtId="0" fontId="19" fillId="0" borderId="7" xfId="0" quotePrefix="1" applyFont="1" applyBorder="1" applyAlignment="1">
      <alignment horizontal="center" wrapText="1"/>
    </xf>
    <xf numFmtId="0" fontId="0" fillId="0" borderId="15" xfId="0" applyBorder="1" applyAlignment="1">
      <alignment horizontal="center"/>
    </xf>
    <xf numFmtId="0" fontId="16" fillId="0" borderId="2" xfId="0" applyFont="1" applyBorder="1" applyAlignment="1">
      <alignment horizontal="left" vertical="center" wrapText="1"/>
    </xf>
    <xf numFmtId="0" fontId="16" fillId="0" borderId="13" xfId="0" applyFont="1" applyBorder="1" applyAlignment="1">
      <alignment horizontal="left" vertical="center" wrapText="1"/>
    </xf>
    <xf numFmtId="0" fontId="19" fillId="9" borderId="89" xfId="0" quotePrefix="1" applyFont="1" applyFill="1" applyBorder="1" applyAlignment="1">
      <alignment horizontal="center" vertical="center" wrapText="1"/>
    </xf>
    <xf numFmtId="0" fontId="0" fillId="9" borderId="89" xfId="0" applyFill="1" applyBorder="1" applyAlignment="1">
      <alignment horizontal="center" vertical="center" wrapText="1"/>
    </xf>
    <xf numFmtId="0" fontId="37" fillId="15" borderId="2" xfId="0" applyFont="1" applyFill="1" applyBorder="1" applyAlignment="1">
      <alignment horizontal="center" vertical="center" textRotation="90"/>
    </xf>
    <xf numFmtId="0" fontId="37" fillId="15" borderId="13" xfId="0" applyFont="1" applyFill="1" applyBorder="1" applyAlignment="1">
      <alignment horizontal="center" vertical="center" textRotation="90"/>
    </xf>
    <xf numFmtId="0" fontId="37" fillId="15" borderId="3" xfId="0" applyFont="1" applyFill="1" applyBorder="1" applyAlignment="1">
      <alignment horizontal="center" vertical="center" textRotation="90"/>
    </xf>
    <xf numFmtId="0" fontId="27" fillId="15" borderId="76" xfId="0" applyFont="1" applyFill="1" applyBorder="1" applyAlignment="1">
      <alignment horizontal="center" vertical="center" wrapText="1"/>
    </xf>
    <xf numFmtId="0" fontId="27" fillId="0" borderId="15" xfId="0" quotePrefix="1" applyFont="1" applyBorder="1" applyAlignment="1">
      <alignment horizontal="center" vertical="center" wrapText="1"/>
    </xf>
    <xf numFmtId="0" fontId="29" fillId="15" borderId="2" xfId="1" applyFont="1" applyFill="1" applyBorder="1" applyAlignment="1">
      <alignment horizontal="center" vertical="center" wrapText="1"/>
    </xf>
    <xf numFmtId="0" fontId="29" fillId="15" borderId="3" xfId="1" applyFont="1" applyFill="1" applyBorder="1" applyAlignment="1">
      <alignment horizontal="center" vertical="center" wrapText="1"/>
    </xf>
    <xf numFmtId="0" fontId="19" fillId="9" borderId="76" xfId="0" quotePrefix="1" applyFont="1" applyFill="1" applyBorder="1" applyAlignment="1">
      <alignment horizontal="center" vertical="center" wrapText="1"/>
    </xf>
    <xf numFmtId="0" fontId="0" fillId="9" borderId="76" xfId="0" applyFill="1" applyBorder="1" applyAlignment="1">
      <alignment horizontal="center" vertical="center" wrapText="1"/>
    </xf>
    <xf numFmtId="14" fontId="27" fillId="9" borderId="85" xfId="0" quotePrefix="1" applyNumberFormat="1" applyFont="1" applyFill="1" applyBorder="1" applyAlignment="1">
      <alignment horizontal="center" vertical="center" wrapText="1"/>
    </xf>
    <xf numFmtId="0" fontId="27" fillId="9" borderId="68" xfId="0" quotePrefix="1" applyFont="1" applyFill="1" applyBorder="1" applyAlignment="1">
      <alignment horizontal="center" vertical="center" wrapText="1"/>
    </xf>
    <xf numFmtId="0" fontId="27" fillId="15" borderId="39" xfId="0" quotePrefix="1" applyFont="1" applyFill="1" applyBorder="1" applyAlignment="1">
      <alignment horizontal="left" vertical="center" wrapText="1"/>
    </xf>
    <xf numFmtId="0" fontId="27" fillId="15" borderId="90" xfId="0" quotePrefix="1" applyFont="1" applyFill="1" applyBorder="1" applyAlignment="1">
      <alignment horizontal="left" vertical="center" wrapText="1"/>
    </xf>
    <xf numFmtId="0" fontId="27" fillId="15" borderId="51" xfId="0" quotePrefix="1" applyFont="1" applyFill="1" applyBorder="1" applyAlignment="1">
      <alignment horizontal="left" vertical="center" wrapText="1"/>
    </xf>
    <xf numFmtId="0" fontId="5" fillId="0" borderId="2" xfId="0" applyFont="1" applyBorder="1" applyAlignment="1">
      <alignment horizontal="left" vertical="center" wrapText="1"/>
    </xf>
    <xf numFmtId="0" fontId="27" fillId="9" borderId="84" xfId="0" quotePrefix="1" applyFont="1" applyFill="1" applyBorder="1" applyAlignment="1">
      <alignment horizontal="center" vertical="center" wrapText="1"/>
    </xf>
    <xf numFmtId="0" fontId="27" fillId="9" borderId="85" xfId="0" quotePrefix="1" applyFont="1" applyFill="1" applyBorder="1" applyAlignment="1">
      <alignment horizontal="center" vertical="center" wrapText="1"/>
    </xf>
    <xf numFmtId="0" fontId="27" fillId="9" borderId="86" xfId="0" quotePrefix="1" applyFont="1" applyFill="1" applyBorder="1" applyAlignment="1">
      <alignment horizontal="center" vertical="center" wrapText="1"/>
    </xf>
    <xf numFmtId="14" fontId="27" fillId="9" borderId="71" xfId="1" quotePrefix="1" applyNumberFormat="1" applyFont="1" applyFill="1" applyBorder="1" applyAlignment="1">
      <alignment horizontal="center" vertical="center" wrapText="1"/>
    </xf>
    <xf numFmtId="14" fontId="27" fillId="9" borderId="73" xfId="1" quotePrefix="1" applyNumberFormat="1" applyFont="1" applyFill="1" applyBorder="1" applyAlignment="1">
      <alignment horizontal="center" vertical="center" wrapText="1"/>
    </xf>
    <xf numFmtId="14" fontId="27" fillId="9" borderId="75" xfId="1" quotePrefix="1" applyNumberFormat="1" applyFont="1" applyFill="1" applyBorder="1" applyAlignment="1">
      <alignment horizontal="center" vertical="center" wrapText="1"/>
    </xf>
    <xf numFmtId="0" fontId="27" fillId="9" borderId="67" xfId="1" quotePrefix="1" applyFont="1" applyFill="1" applyBorder="1" applyAlignment="1">
      <alignment horizontal="center" vertical="center" wrapText="1"/>
    </xf>
    <xf numFmtId="0" fontId="27" fillId="9" borderId="68" xfId="1" quotePrefix="1" applyFont="1" applyFill="1" applyBorder="1" applyAlignment="1">
      <alignment horizontal="center" vertical="center" wrapText="1"/>
    </xf>
    <xf numFmtId="0" fontId="27" fillId="9" borderId="69" xfId="1" quotePrefix="1" applyFont="1" applyFill="1" applyBorder="1" applyAlignment="1">
      <alignment horizontal="center" vertical="center" wrapText="1"/>
    </xf>
    <xf numFmtId="0" fontId="51" fillId="0" borderId="21" xfId="0" applyFont="1" applyBorder="1" applyAlignment="1">
      <alignment horizontal="center" vertical="center" wrapText="1"/>
    </xf>
    <xf numFmtId="0" fontId="0" fillId="0" borderId="17" xfId="0" applyBorder="1" applyAlignment="1">
      <alignment horizontal="center" vertical="center"/>
    </xf>
    <xf numFmtId="0" fontId="58" fillId="0" borderId="13" xfId="1" applyFont="1" applyFill="1" applyBorder="1" applyAlignment="1">
      <alignment horizontal="center" vertical="center" wrapText="1"/>
    </xf>
    <xf numFmtId="0" fontId="28" fillId="15" borderId="52" xfId="0" applyFont="1" applyFill="1" applyBorder="1" applyAlignment="1">
      <alignment horizontal="left" vertical="center"/>
    </xf>
    <xf numFmtId="0" fontId="28" fillId="15" borderId="55" xfId="0" applyFont="1" applyFill="1" applyBorder="1" applyAlignment="1">
      <alignment horizontal="left" vertical="center"/>
    </xf>
    <xf numFmtId="0" fontId="28" fillId="15" borderId="53" xfId="0" applyFont="1" applyFill="1" applyBorder="1" applyAlignment="1">
      <alignment horizontal="left" vertical="center"/>
    </xf>
    <xf numFmtId="14" fontId="27" fillId="0" borderId="2" xfId="1" applyNumberFormat="1" applyFont="1" applyFill="1" applyBorder="1" applyAlignment="1">
      <alignment horizontal="center" vertical="center" wrapText="1"/>
    </xf>
    <xf numFmtId="16" fontId="9" fillId="0" borderId="2" xfId="0" quotePrefix="1" applyNumberFormat="1" applyFont="1" applyBorder="1" applyAlignment="1">
      <alignment horizontal="center" vertical="center" wrapText="1"/>
    </xf>
    <xf numFmtId="0" fontId="16" fillId="0" borderId="2" xfId="2" applyFont="1" applyFill="1" applyBorder="1" applyAlignment="1">
      <alignment horizontal="center" vertical="center" wrapText="1"/>
    </xf>
    <xf numFmtId="0" fontId="16" fillId="0" borderId="3" xfId="2" applyFont="1" applyFill="1" applyBorder="1" applyAlignment="1">
      <alignment horizontal="center" vertical="center" wrapText="1"/>
    </xf>
    <xf numFmtId="16" fontId="16" fillId="0" borderId="2" xfId="2" quotePrefix="1" applyNumberFormat="1" applyFont="1" applyFill="1" applyBorder="1" applyAlignment="1">
      <alignment horizontal="center" vertical="center" wrapText="1"/>
    </xf>
    <xf numFmtId="16" fontId="16" fillId="0" borderId="3" xfId="2" quotePrefix="1" applyNumberFormat="1" applyFont="1" applyFill="1" applyBorder="1" applyAlignment="1">
      <alignment horizontal="center" vertical="center" wrapText="1"/>
    </xf>
    <xf numFmtId="0" fontId="12" fillId="0" borderId="2" xfId="2" quotePrefix="1" applyFont="1" applyFill="1" applyBorder="1" applyAlignment="1">
      <alignment horizontal="center" vertical="center" wrapText="1"/>
    </xf>
    <xf numFmtId="0" fontId="12" fillId="0" borderId="3" xfId="2" quotePrefix="1" applyFont="1" applyFill="1" applyBorder="1" applyAlignment="1">
      <alignment horizontal="center" vertical="center" wrapText="1"/>
    </xf>
    <xf numFmtId="0" fontId="12" fillId="0" borderId="2" xfId="2" applyFont="1" applyFill="1" applyBorder="1" applyAlignment="1">
      <alignment horizontal="center" vertical="center" wrapText="1"/>
    </xf>
    <xf numFmtId="0" fontId="12" fillId="0" borderId="3" xfId="2" applyFont="1" applyFill="1" applyBorder="1" applyAlignment="1">
      <alignment horizontal="center" vertical="center" wrapText="1"/>
    </xf>
    <xf numFmtId="0" fontId="16" fillId="13" borderId="1" xfId="2" applyFont="1" applyFill="1" applyBorder="1" applyAlignment="1">
      <alignment horizontal="center" vertical="center" wrapText="1"/>
    </xf>
    <xf numFmtId="0" fontId="27" fillId="0" borderId="1" xfId="1" applyFont="1" applyFill="1" applyBorder="1" applyAlignment="1">
      <alignment horizontal="center" vertical="center" wrapText="1"/>
    </xf>
    <xf numFmtId="0" fontId="19" fillId="0" borderId="20" xfId="0" applyFont="1" applyBorder="1" applyAlignment="1">
      <alignment horizontal="center" vertical="center" wrapText="1"/>
    </xf>
    <xf numFmtId="0" fontId="0" fillId="0" borderId="21" xfId="0" applyBorder="1" applyAlignment="1">
      <alignment horizontal="center" vertical="center" wrapText="1"/>
    </xf>
    <xf numFmtId="0" fontId="0" fillId="0" borderId="7" xfId="0" applyBorder="1" applyAlignment="1">
      <alignment horizontal="center" vertical="center" wrapText="1"/>
    </xf>
    <xf numFmtId="0" fontId="9" fillId="0" borderId="2" xfId="1" applyFont="1" applyFill="1" applyBorder="1" applyAlignment="1">
      <alignment horizontal="center" vertical="center" wrapText="1"/>
    </xf>
    <xf numFmtId="0" fontId="27" fillId="13" borderId="1" xfId="1" applyFont="1" applyFill="1" applyBorder="1" applyAlignment="1">
      <alignment horizontal="center" vertical="center" wrapText="1"/>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0" fillId="0" borderId="0" xfId="0" applyAlignment="1">
      <alignment horizontal="left" wrapText="1"/>
    </xf>
    <xf numFmtId="0" fontId="0" fillId="0" borderId="0" xfId="0" applyAlignment="1">
      <alignment horizontal="center" wrapText="1"/>
    </xf>
    <xf numFmtId="0" fontId="19" fillId="0" borderId="0" xfId="0" applyFont="1" applyAlignment="1">
      <alignment horizontal="left" wrapText="1"/>
    </xf>
    <xf numFmtId="0" fontId="0" fillId="0" borderId="0" xfId="0" applyAlignment="1">
      <alignment horizontal="left" vertical="top" wrapText="1"/>
    </xf>
    <xf numFmtId="0" fontId="19" fillId="0" borderId="0" xfId="0" applyFont="1" applyAlignment="1">
      <alignment horizontal="left" vertical="top" wrapText="1"/>
    </xf>
    <xf numFmtId="0" fontId="27" fillId="17" borderId="1" xfId="0" applyFont="1" applyFill="1" applyBorder="1" applyAlignment="1">
      <alignment horizontal="center" vertical="center" wrapText="1"/>
    </xf>
    <xf numFmtId="14" fontId="27" fillId="17" borderId="7" xfId="0" applyNumberFormat="1" applyFont="1" applyFill="1" applyBorder="1" applyAlignment="1">
      <alignment horizontal="center" vertical="center" wrapText="1"/>
    </xf>
    <xf numFmtId="0" fontId="27" fillId="17" borderId="2" xfId="0" quotePrefix="1" applyFont="1" applyFill="1" applyBorder="1" applyAlignment="1">
      <alignment horizontal="center" vertical="center" wrapText="1"/>
    </xf>
    <xf numFmtId="14" fontId="27" fillId="17" borderId="18" xfId="0" applyNumberFormat="1" applyFont="1" applyFill="1" applyBorder="1" applyAlignment="1">
      <alignment horizontal="center" vertical="center" wrapText="1"/>
    </xf>
    <xf numFmtId="0" fontId="27" fillId="17" borderId="3" xfId="0" quotePrefix="1" applyFont="1" applyFill="1" applyBorder="1" applyAlignment="1">
      <alignment horizontal="center" vertical="center" wrapText="1"/>
    </xf>
    <xf numFmtId="0" fontId="27" fillId="17" borderId="6" xfId="0" quotePrefix="1" applyFont="1" applyFill="1" applyBorder="1" applyAlignment="1">
      <alignment horizontal="center" vertical="center" wrapText="1"/>
    </xf>
    <xf numFmtId="0" fontId="27" fillId="17" borderId="1" xfId="0" quotePrefix="1" applyFont="1" applyFill="1" applyBorder="1" applyAlignment="1">
      <alignment horizontal="center" vertical="center" wrapText="1"/>
    </xf>
  </cellXfs>
  <cellStyles count="14">
    <cellStyle name="Neutral" xfId="1" builtinId="28"/>
    <cellStyle name="Schlecht" xfId="2" builtinId="27"/>
    <cellStyle name="Standard" xfId="0" builtinId="0"/>
    <cellStyle name="Standard 2" xfId="3" xr:uid="{00000000-0005-0000-0000-000003000000}"/>
    <cellStyle name="Standard 2 2" xfId="7" xr:uid="{00000000-0005-0000-0000-000004000000}"/>
    <cellStyle name="Standard 2 2 2" xfId="10" xr:uid="{A7D78C13-3AEE-44A1-98A4-E60B8912CB2D}"/>
    <cellStyle name="Standard 3" xfId="4" xr:uid="{00000000-0005-0000-0000-000005000000}"/>
    <cellStyle name="Standard 3 2" xfId="8" xr:uid="{00000000-0005-0000-0000-000006000000}"/>
    <cellStyle name="Standard 4" xfId="5" xr:uid="{00000000-0005-0000-0000-000007000000}"/>
    <cellStyle name="Standard 4 2" xfId="9" xr:uid="{00000000-0005-0000-0000-000008000000}"/>
    <cellStyle name="Standard 5" xfId="6" xr:uid="{00000000-0005-0000-0000-000009000000}"/>
    <cellStyle name="Standard 6" xfId="11" xr:uid="{AD258D27-BCB3-436F-BFF9-6FA5D52D7052}"/>
    <cellStyle name="Standard 6 2" xfId="12" xr:uid="{B6D2E8F5-4723-4C4F-B34A-E8AF107B104A}"/>
    <cellStyle name="Standard 6 3" xfId="13" xr:uid="{C2D808C2-89A4-46F2-8F96-D93638D21BE2}"/>
  </cellStyles>
  <dxfs count="1203">
    <dxf>
      <font>
        <color rgb="FF9C0006"/>
      </font>
      <fill>
        <patternFill>
          <bgColor rgb="FFFFC7CE"/>
        </patternFill>
      </fill>
    </dxf>
    <dxf>
      <font>
        <color rgb="FF9C0006"/>
      </font>
      <fill>
        <patternFill>
          <bgColor rgb="FFFFC7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ont>
        <color auto="1"/>
      </font>
      <fill>
        <patternFill>
          <bgColor rgb="FFC6EF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FF0000"/>
        </patternFill>
      </fill>
    </dxf>
    <dxf>
      <font>
        <color rgb="FF006100"/>
      </font>
      <fill>
        <patternFill>
          <bgColor rgb="FFFF0000"/>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C6EFCE"/>
        </patternFill>
      </fill>
    </dxf>
    <dxf>
      <font>
        <color rgb="FF006100"/>
      </font>
      <fill>
        <patternFill>
          <bgColor rgb="FFFF0000"/>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rgb="FF006100"/>
      </font>
      <fill>
        <patternFill>
          <bgColor rgb="FFC6EFCE"/>
        </patternFill>
      </fill>
    </dxf>
    <dxf>
      <font>
        <color rgb="FF006100"/>
      </font>
      <fill>
        <patternFill>
          <bgColor rgb="FFFF0000"/>
        </patternFill>
      </fill>
    </dxf>
    <dxf>
      <font>
        <color rgb="FF006100"/>
      </font>
      <fill>
        <patternFill>
          <bgColor rgb="FFFF000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FF000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006100"/>
      </font>
      <fill>
        <patternFill>
          <bgColor rgb="FFC6EFCE"/>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ill>
        <patternFill>
          <bgColor rgb="FFFFFF99"/>
        </patternFill>
      </fill>
    </dxf>
    <dxf>
      <fill>
        <patternFill>
          <bgColor rgb="FFFFFF00"/>
        </patternFill>
      </fill>
    </dxf>
    <dxf>
      <fill>
        <patternFill>
          <bgColor rgb="FFFFFF00"/>
        </patternFill>
      </fill>
    </dxf>
    <dxf>
      <fill>
        <patternFill>
          <bgColor rgb="FFFFFF00"/>
        </patternFill>
      </fill>
    </dxf>
    <dxf>
      <font>
        <color theme="1"/>
      </font>
      <fill>
        <patternFill>
          <bgColor rgb="FFFF0000"/>
        </patternFill>
      </fill>
    </dxf>
    <dxf>
      <fill>
        <patternFill>
          <bgColor rgb="FFFFFF99"/>
        </patternFill>
      </fill>
    </dxf>
    <dxf>
      <fill>
        <patternFill>
          <bgColor rgb="FFFFFF99"/>
        </patternFill>
      </fill>
    </dxf>
    <dxf>
      <font>
        <color theme="1"/>
      </font>
      <fill>
        <patternFill>
          <bgColor rgb="FFFF0000"/>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FF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ont>
        <color rgb="FF9C0006"/>
      </font>
      <fill>
        <patternFill>
          <bgColor rgb="FFFFC7CE"/>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ont>
        <color theme="1"/>
      </font>
      <fill>
        <patternFill>
          <bgColor rgb="FFFF0000"/>
        </patternFill>
      </fill>
    </dxf>
    <dxf>
      <font>
        <color auto="1"/>
      </font>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99"/>
        </patternFill>
      </fill>
    </dxf>
    <dxf>
      <fill>
        <patternFill>
          <bgColor rgb="FFFFFF99"/>
        </patternFill>
      </fill>
    </dxf>
    <dxf>
      <font>
        <color auto="1"/>
      </font>
      <fill>
        <patternFill>
          <bgColor rgb="FFFFFF99"/>
        </patternFill>
      </fill>
    </dxf>
    <dxf>
      <fill>
        <patternFill>
          <bgColor rgb="FFFFFF00"/>
        </patternFill>
      </fill>
    </dxf>
    <dxf>
      <fill>
        <patternFill>
          <bgColor rgb="FFFFFF00"/>
        </patternFill>
      </fill>
    </dxf>
    <dxf>
      <fill>
        <patternFill>
          <bgColor rgb="FFFFFF00"/>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rgb="FF9C0006"/>
      </font>
      <fill>
        <patternFill>
          <bgColor rgb="FFFFC7CE"/>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ont>
        <color theme="1"/>
      </font>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99"/>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ont>
        <color auto="1"/>
      </font>
      <fill>
        <patternFill>
          <bgColor rgb="FFFFFF99"/>
        </patternFill>
      </fill>
    </dxf>
    <dxf>
      <font>
        <color theme="1"/>
      </font>
      <fill>
        <patternFill>
          <bgColor rgb="FFFF0000"/>
        </patternFill>
      </fill>
    </dxf>
    <dxf>
      <font>
        <color auto="1"/>
      </font>
      <fill>
        <patternFill>
          <bgColor rgb="FFFFFF99"/>
        </patternFill>
      </fill>
    </dxf>
    <dxf>
      <font>
        <color theme="1"/>
      </font>
      <fill>
        <patternFill>
          <bgColor rgb="FFFF0000"/>
        </patternFill>
      </fill>
    </dxf>
    <dxf>
      <font>
        <color auto="1"/>
      </font>
      <fill>
        <patternFill>
          <bgColor rgb="FFFFFF99"/>
        </patternFill>
      </fill>
    </dxf>
    <dxf>
      <font>
        <color theme="1"/>
      </font>
      <fill>
        <patternFill>
          <bgColor rgb="FFFF0000"/>
        </patternFill>
      </fill>
    </dxf>
    <dxf>
      <font>
        <color auto="1"/>
      </font>
      <fill>
        <patternFill>
          <bgColor rgb="FFFFFF99"/>
        </patternFill>
      </fill>
    </dxf>
    <dxf>
      <font>
        <color theme="1"/>
      </font>
      <fill>
        <patternFill>
          <bgColor rgb="FFFF0000"/>
        </patternFill>
      </fill>
    </dxf>
    <dxf>
      <font>
        <color auto="1"/>
      </font>
      <fill>
        <patternFill>
          <bgColor rgb="FFFFFF99"/>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ont>
        <color auto="1"/>
      </font>
      <fill>
        <patternFill>
          <bgColor rgb="FFFFFF99"/>
        </patternFill>
      </fill>
    </dxf>
    <dxf>
      <font>
        <color theme="1"/>
      </font>
      <fill>
        <patternFill>
          <bgColor rgb="FFFF0000"/>
        </patternFill>
      </fill>
    </dxf>
    <dxf>
      <fill>
        <patternFill>
          <bgColor rgb="FFFFFF99"/>
        </patternFill>
      </fill>
    </dxf>
    <dxf>
      <fill>
        <patternFill>
          <bgColor rgb="FFFFFF99"/>
        </patternFill>
      </fill>
    </dxf>
    <dxf>
      <font>
        <color auto="1"/>
      </font>
      <fill>
        <patternFill>
          <bgColor rgb="FFFFFF99"/>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FFFF00"/>
        </patternFill>
      </fill>
    </dxf>
    <dxf>
      <fill>
        <patternFill>
          <bgColor rgb="FFFFFF99"/>
        </patternFill>
      </fill>
    </dxf>
    <dxf>
      <fill>
        <patternFill>
          <bgColor rgb="FFFFFF00"/>
        </patternFill>
      </fill>
    </dxf>
    <dxf>
      <fill>
        <patternFill>
          <bgColor rgb="FFFFFF99"/>
        </patternFill>
      </fill>
    </dxf>
    <dxf>
      <font>
        <color auto="1"/>
      </font>
      <fill>
        <patternFill>
          <bgColor rgb="FFFFFF99"/>
        </patternFill>
      </fill>
    </dxf>
    <dxf>
      <font>
        <color theme="1"/>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FF9999"/>
      <color rgb="FFFF7C80"/>
      <color rgb="FF0080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variable warning &amp; trip levels (op. &amp; SIS)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scatterChart>
        <c:scatterStyle val="smoothMarker"/>
        <c:varyColors val="0"/>
        <c:ser>
          <c:idx val="0"/>
          <c:order val="0"/>
          <c:tx>
            <c:strRef>
              <c:f>'var. level limits (intern)'!$D$9</c:f>
              <c:strCache>
                <c:ptCount val="1"/>
                <c:pt idx="0">
                  <c:v>SIS trip*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xVal>
            <c:numRef>
              <c:f>'var. level limits (intern)'!$C$10:$C$16</c:f>
              <c:numCache>
                <c:formatCode>0\ "A"</c:formatCode>
                <c:ptCount val="7"/>
                <c:pt idx="0">
                  <c:v>0</c:v>
                </c:pt>
                <c:pt idx="1">
                  <c:v>6000</c:v>
                </c:pt>
                <c:pt idx="2">
                  <c:v>12000</c:v>
                </c:pt>
                <c:pt idx="3">
                  <c:v>20000</c:v>
                </c:pt>
                <c:pt idx="4">
                  <c:v>26000</c:v>
                </c:pt>
                <c:pt idx="5">
                  <c:v>30000</c:v>
                </c:pt>
                <c:pt idx="6">
                  <c:v>31200</c:v>
                </c:pt>
              </c:numCache>
            </c:numRef>
          </c:xVal>
          <c:yVal>
            <c:numRef>
              <c:f>'var. level limits (intern)'!$D$10:$D$16</c:f>
              <c:numCache>
                <c:formatCode>0.0\ "cm"</c:formatCode>
                <c:ptCount val="7"/>
                <c:pt idx="0">
                  <c:v>5</c:v>
                </c:pt>
                <c:pt idx="1">
                  <c:v>10.3</c:v>
                </c:pt>
                <c:pt idx="2">
                  <c:v>13.7</c:v>
                </c:pt>
                <c:pt idx="3">
                  <c:v>17.5</c:v>
                </c:pt>
                <c:pt idx="4">
                  <c:v>19.399999999999999</c:v>
                </c:pt>
                <c:pt idx="5">
                  <c:v>20.399999999999999</c:v>
                </c:pt>
                <c:pt idx="6">
                  <c:v>20.7</c:v>
                </c:pt>
              </c:numCache>
            </c:numRef>
          </c:yVal>
          <c:smooth val="1"/>
          <c:extLst>
            <c:ext xmlns:c16="http://schemas.microsoft.com/office/drawing/2014/chart" uri="{C3380CC4-5D6E-409C-BE32-E72D297353CC}">
              <c16:uniqueId val="{00000000-077C-424E-A389-6A5298C9B140}"/>
            </c:ext>
          </c:extLst>
        </c:ser>
        <c:ser>
          <c:idx val="1"/>
          <c:order val="1"/>
          <c:tx>
            <c:strRef>
              <c:f>'var. level limits (intern)'!$E$9</c:f>
              <c:strCache>
                <c:ptCount val="1"/>
                <c:pt idx="0">
                  <c:v>oper. Trip**</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xVal>
            <c:numRef>
              <c:f>'var. level limits (intern)'!$C$10:$C$15</c:f>
              <c:numCache>
                <c:formatCode>0\ "A"</c:formatCode>
                <c:ptCount val="6"/>
                <c:pt idx="0">
                  <c:v>0</c:v>
                </c:pt>
                <c:pt idx="1">
                  <c:v>6000</c:v>
                </c:pt>
                <c:pt idx="2">
                  <c:v>12000</c:v>
                </c:pt>
                <c:pt idx="3">
                  <c:v>20000</c:v>
                </c:pt>
                <c:pt idx="4">
                  <c:v>26000</c:v>
                </c:pt>
                <c:pt idx="5">
                  <c:v>30000</c:v>
                </c:pt>
              </c:numCache>
            </c:numRef>
          </c:xVal>
          <c:yVal>
            <c:numRef>
              <c:f>'var. level limits (intern)'!$E$10:$E$15</c:f>
              <c:numCache>
                <c:formatCode>0.0\ "cm"</c:formatCode>
                <c:ptCount val="6"/>
                <c:pt idx="0">
                  <c:v>12.2</c:v>
                </c:pt>
                <c:pt idx="1">
                  <c:v>12.3</c:v>
                </c:pt>
                <c:pt idx="2">
                  <c:v>15.7</c:v>
                </c:pt>
                <c:pt idx="3">
                  <c:v>19.5</c:v>
                </c:pt>
                <c:pt idx="4">
                  <c:v>21.4</c:v>
                </c:pt>
                <c:pt idx="5">
                  <c:v>22.4</c:v>
                </c:pt>
              </c:numCache>
            </c:numRef>
          </c:yVal>
          <c:smooth val="1"/>
          <c:extLst>
            <c:ext xmlns:c16="http://schemas.microsoft.com/office/drawing/2014/chart" uri="{C3380CC4-5D6E-409C-BE32-E72D297353CC}">
              <c16:uniqueId val="{00000001-077C-424E-A389-6A5298C9B140}"/>
            </c:ext>
          </c:extLst>
        </c:ser>
        <c:ser>
          <c:idx val="2"/>
          <c:order val="2"/>
          <c:tx>
            <c:strRef>
              <c:f>'var. level limits (intern)'!$F$9</c:f>
              <c:strCache>
                <c:ptCount val="1"/>
                <c:pt idx="0">
                  <c:v>warning**</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xVal>
            <c:numRef>
              <c:f>'var. level limits (intern)'!$C$10:$C$15</c:f>
              <c:numCache>
                <c:formatCode>0\ "A"</c:formatCode>
                <c:ptCount val="6"/>
                <c:pt idx="0">
                  <c:v>0</c:v>
                </c:pt>
                <c:pt idx="1">
                  <c:v>6000</c:v>
                </c:pt>
                <c:pt idx="2">
                  <c:v>12000</c:v>
                </c:pt>
                <c:pt idx="3">
                  <c:v>20000</c:v>
                </c:pt>
                <c:pt idx="4">
                  <c:v>26000</c:v>
                </c:pt>
                <c:pt idx="5">
                  <c:v>30000</c:v>
                </c:pt>
              </c:numCache>
            </c:numRef>
          </c:xVal>
          <c:yVal>
            <c:numRef>
              <c:f>'var. level limits (intern)'!$F$10:$F$15</c:f>
              <c:numCache>
                <c:formatCode>0.0\ "cm"</c:formatCode>
                <c:ptCount val="6"/>
                <c:pt idx="0">
                  <c:v>13.2</c:v>
                </c:pt>
                <c:pt idx="1">
                  <c:v>13.3</c:v>
                </c:pt>
                <c:pt idx="2">
                  <c:v>16.7</c:v>
                </c:pt>
                <c:pt idx="3">
                  <c:v>20.5</c:v>
                </c:pt>
                <c:pt idx="4">
                  <c:v>22.4</c:v>
                </c:pt>
                <c:pt idx="5">
                  <c:v>23.4</c:v>
                </c:pt>
              </c:numCache>
            </c:numRef>
          </c:yVal>
          <c:smooth val="1"/>
          <c:extLst>
            <c:ext xmlns:c16="http://schemas.microsoft.com/office/drawing/2014/chart" uri="{C3380CC4-5D6E-409C-BE32-E72D297353CC}">
              <c16:uniqueId val="{00000002-077C-424E-A389-6A5298C9B140}"/>
            </c:ext>
          </c:extLst>
        </c:ser>
        <c:ser>
          <c:idx val="3"/>
          <c:order val="3"/>
          <c:tx>
            <c:strRef>
              <c:f>'var. level limits (intern)'!$H$9</c:f>
              <c:strCache>
                <c:ptCount val="1"/>
                <c:pt idx="0">
                  <c:v>op. set point**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xVal>
            <c:numRef>
              <c:f>'var. level limits (intern)'!$C$10:$C$15</c:f>
              <c:numCache>
                <c:formatCode>0\ "A"</c:formatCode>
                <c:ptCount val="6"/>
                <c:pt idx="0">
                  <c:v>0</c:v>
                </c:pt>
                <c:pt idx="1">
                  <c:v>6000</c:v>
                </c:pt>
                <c:pt idx="2">
                  <c:v>12000</c:v>
                </c:pt>
                <c:pt idx="3">
                  <c:v>20000</c:v>
                </c:pt>
                <c:pt idx="4">
                  <c:v>26000</c:v>
                </c:pt>
                <c:pt idx="5">
                  <c:v>30000</c:v>
                </c:pt>
              </c:numCache>
            </c:numRef>
          </c:xVal>
          <c:yVal>
            <c:numRef>
              <c:f>'var. level limits (intern)'!$H$10:$H$15</c:f>
              <c:numCache>
                <c:formatCode>0.0\ "cm"</c:formatCode>
                <c:ptCount val="6"/>
                <c:pt idx="0">
                  <c:v>20</c:v>
                </c:pt>
                <c:pt idx="1">
                  <c:v>22</c:v>
                </c:pt>
                <c:pt idx="2">
                  <c:v>24</c:v>
                </c:pt>
                <c:pt idx="3">
                  <c:v>26.666666666666664</c:v>
                </c:pt>
                <c:pt idx="4">
                  <c:v>28.666666666666668</c:v>
                </c:pt>
                <c:pt idx="5">
                  <c:v>30</c:v>
                </c:pt>
              </c:numCache>
            </c:numRef>
          </c:yVal>
          <c:smooth val="1"/>
          <c:extLst>
            <c:ext xmlns:c16="http://schemas.microsoft.com/office/drawing/2014/chart" uri="{C3380CC4-5D6E-409C-BE32-E72D297353CC}">
              <c16:uniqueId val="{00000000-60E0-4D5B-98E0-8EE0C64BCC70}"/>
            </c:ext>
          </c:extLst>
        </c:ser>
        <c:dLbls>
          <c:showLegendKey val="0"/>
          <c:showVal val="0"/>
          <c:showCatName val="0"/>
          <c:showSerName val="0"/>
          <c:showPercent val="0"/>
          <c:showBubbleSize val="0"/>
        </c:dLbls>
        <c:axId val="665890335"/>
        <c:axId val="665888415"/>
      </c:scatterChart>
      <c:valAx>
        <c:axId val="665890335"/>
        <c:scaling>
          <c:orientation val="minMax"/>
          <c:max val="30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sum of rectifier current [A]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 &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65888415"/>
        <c:crosses val="autoZero"/>
        <c:crossBetween val="midCat"/>
      </c:valAx>
      <c:valAx>
        <c:axId val="665888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level of gas separator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 &quot;c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658903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067859FA-4244-4016-A92A-B2D0259808A3}">
    <Anchor>
      <Comment id="{8D2EABB8-9184-45A7-BA5F-2440C22705F7}"/>
    </Anchor>
    <History>
      <Event time="2025-11-28T14:36:28.04" id="{7673067C-B9BB-4A72-99C0-E0D50DB6D67B}">
        <Attribution userId="S::florian.kneppe@siemens-energy.com::f9531dc9-e743-421c-80bb-6f1dd59cb924" userName="Kneppe, Florian" userProvider="AD"/>
        <Anchor>
          <Comment id="{8D2EABB8-9184-45A7-BA5F-2440C22705F7}"/>
        </Anchor>
        <Create/>
      </Event>
      <Event time="2025-11-28T14:36:28.04" id="{D745116D-FB55-4BFF-A883-E16B968F1127}">
        <Attribution userId="S::florian.kneppe@siemens-energy.com::f9531dc9-e743-421c-80bb-6f1dd59cb924" userName="Kneppe, Florian" userProvider="AD"/>
        <Anchor>
          <Comment id="{8D2EABB8-9184-45A7-BA5F-2440C22705F7}"/>
        </Anchor>
        <Assign userId="S::julius.schwager@siemens-energy.com::5cda1653-e81d-4f34-be46-5c34ebcde08a" userName="Schwager, Julius" userProvider="AD"/>
      </Event>
      <Event time="2025-11-28T14:36:28.04" id="{0F60BABD-B685-41E4-AEE7-2B3A0A29FE28}">
        <Attribution userId="S::florian.kneppe@siemens-energy.com::f9531dc9-e743-421c-80bb-6f1dd59cb924" userName="Kneppe, Florian" userProvider="AD"/>
        <Anchor>
          <Comment id="{8D2EABB8-9184-45A7-BA5F-2440C22705F7}"/>
        </Anchor>
        <SetTitle title="@Schwager, Julius : Can this be removed? When we have a signal fault of the handwheel, we would shutdown the rectifiers and lock the disconnector. Shouldn‘t this be interlocked by hardware already?"/>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47625</xdr:colOff>
      <xdr:row>18</xdr:row>
      <xdr:rowOff>0</xdr:rowOff>
    </xdr:from>
    <xdr:to>
      <xdr:col>9</xdr:col>
      <xdr:colOff>752475</xdr:colOff>
      <xdr:row>41</xdr:row>
      <xdr:rowOff>138783</xdr:rowOff>
    </xdr:to>
    <xdr:graphicFrame macro="">
      <xdr:nvGraphicFramePr>
        <xdr:cNvPr id="3" name="Diagramm 2">
          <a:extLst>
            <a:ext uri="{FF2B5EF4-FFF2-40B4-BE49-F238E27FC236}">
              <a16:creationId xmlns:a16="http://schemas.microsoft.com/office/drawing/2014/main" id="{1B3A39D8-BD42-4658-A9A5-725B1758D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593863</xdr:colOff>
      <xdr:row>42</xdr:row>
      <xdr:rowOff>123411</xdr:rowOff>
    </xdr:from>
    <xdr:to>
      <xdr:col>9</xdr:col>
      <xdr:colOff>22363</xdr:colOff>
      <xdr:row>55</xdr:row>
      <xdr:rowOff>98563</xdr:rowOff>
    </xdr:to>
    <xdr:sp macro="" textlink="">
      <xdr:nvSpPr>
        <xdr:cNvPr id="2" name="Textfeld 1">
          <a:extLst>
            <a:ext uri="{FF2B5EF4-FFF2-40B4-BE49-F238E27FC236}">
              <a16:creationId xmlns:a16="http://schemas.microsoft.com/office/drawing/2014/main" id="{55824046-2508-9546-19A2-A034BC1511E8}"/>
            </a:ext>
            <a:ext uri="{147F2762-F138-4A5C-976F-8EAC2B608ADB}">
              <a16:predDERef xmlns:a16="http://schemas.microsoft.com/office/drawing/2014/main" pred="{1B3A39D8-BD42-4658-A9A5-725B1758DD95}"/>
            </a:ext>
          </a:extLst>
        </xdr:cNvPr>
        <xdr:cNvSpPr txBox="1"/>
      </xdr:nvSpPr>
      <xdr:spPr>
        <a:xfrm>
          <a:off x="593863" y="7181436"/>
          <a:ext cx="6372225" cy="2080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3200">
              <a:solidFill>
                <a:srgbClr val="FF0000"/>
              </a:solidFill>
            </a:rPr>
            <a:t>- INTERNAL -</a:t>
          </a:r>
          <a:endParaRPr lang="en-DE" sz="3200">
            <a:solidFill>
              <a:srgbClr val="FF0000"/>
            </a:solidFill>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Schwager, Julius" id="{BA6700B9-1CF7-462B-B6E2-B7161111B87F}" userId="julius.schwager@siemens-energy.com" providerId="PeoplePicker"/>
  <person displayName="Kneppe, Florian" id="{8701157F-BD43-48C3-8E8B-D38695CD7F99}" userId="S::florian.kneppe@siemens-energy.com::f9531dc9-e743-421c-80bb-6f1dd59cb924" providerId="AD"/>
  <person displayName="Schwager, Julius" id="{6D54B133-E22F-4583-9B6D-EF28AE1DF2DA}" userId="S::julius.schwager@siemens-energy.com::5cda1653-e81d-4f34-be46-5c34ebcde08a"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71" dT="2025-11-28T14:36:28.05" personId="{8701157F-BD43-48C3-8E8B-D38695CD7F99}" id="{8D2EABB8-9184-45A7-BA5F-2440C22705F7}">
    <text>@Schwager, Julius : Can this be removed? When we have a signal fault of the handwheel, we would shutdown the rectifiers and lock the disconnector. Shouldn‘t this be interlocked by hardware already?</text>
    <mentions>
      <mention mentionpersonId="{BA6700B9-1CF7-462B-B6E2-B7161111B87F}" mentionId="{B6897C4F-B376-4EF8-88C4-060A3CD0657B}" startIndex="0" length="17"/>
    </mentions>
  </threadedComment>
  <threadedComment ref="C171" dT="2025-12-01T08:14:06.57" personId="{6D54B133-E22F-4583-9B6D-EF28AE1DF2DA}" id="{73BF2075-CA55-4559-888B-D659DCEA4FD3}" parentId="{8D2EABB8-9184-45A7-BA5F-2440C22705F7}">
    <text>Ich verstehe diesen Punkt nicht. Wenn das Handrad auf dem DC Disconnector steckt, soll der Gleichrichter blockiert werden? Wofür wird das Handrad benötigt? Ich dachte immer, der DC Disconnector hat einen elektrischen Antrieb oder nicht? Das Handrad befindet sich im Gleichrichterraum, oder? Dieses darf ich eigentlich nicht betreten. Wovor soll hier geschützt werden. Ich kann mir hier nur eine Aktion vorstellen, wenn das Handrad steckt, darf ein Antrieb den DC Disconnector nicht in die ZU Position verfahren. Der Handbetrieb darf vom Autobetrieb nicht überschreiben werden.</text>
  </threadedComment>
</ThreadedComments>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7" Type="http://schemas.microsoft.com/office/2019/04/relationships/documenttask" Target="../documenttasks/documenttask1.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image" Target="../media/image4.png"/></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16184-47A8-45C9-AA36-A0D852FD152A}">
  <sheetPr codeName="Tabelle2">
    <pageSetUpPr fitToPage="1"/>
  </sheetPr>
  <dimension ref="A1:BE353"/>
  <sheetViews>
    <sheetView defaultGridColor="0" view="pageBreakPreview" colorId="8" zoomScale="115" zoomScaleNormal="90" zoomScaleSheetLayoutView="115" workbookViewId="0">
      <selection activeCell="F17" sqref="F17:G17"/>
    </sheetView>
  </sheetViews>
  <sheetFormatPr baseColWidth="10" defaultColWidth="11.44140625" defaultRowHeight="13.2" x14ac:dyDescent="0.25"/>
  <cols>
    <col min="3" max="3" width="13.5546875" bestFit="1" customWidth="1"/>
  </cols>
  <sheetData>
    <row r="1" spans="1:7" ht="5.25" customHeight="1" x14ac:dyDescent="0.25">
      <c r="A1" s="1038" t="s">
        <v>0</v>
      </c>
      <c r="B1" s="1038"/>
      <c r="C1" s="1038"/>
      <c r="D1" s="1038"/>
      <c r="E1" s="1038"/>
      <c r="F1" s="1038"/>
      <c r="G1" s="1038"/>
    </row>
    <row r="2" spans="1:7" ht="5.25" customHeight="1" x14ac:dyDescent="0.25">
      <c r="A2" s="1038"/>
      <c r="B2" s="1038"/>
      <c r="C2" s="1038"/>
      <c r="D2" s="1038"/>
      <c r="E2" s="1038"/>
      <c r="F2" s="1038"/>
      <c r="G2" s="1038"/>
    </row>
    <row r="3" spans="1:7" ht="5.25" customHeight="1" x14ac:dyDescent="0.25">
      <c r="A3" s="1038"/>
      <c r="B3" s="1038"/>
      <c r="C3" s="1038"/>
      <c r="D3" s="1038"/>
      <c r="E3" s="1038"/>
      <c r="F3" s="1038"/>
      <c r="G3" s="1038"/>
    </row>
    <row r="4" spans="1:7" ht="5.25" customHeight="1" x14ac:dyDescent="0.25">
      <c r="A4" s="1038"/>
      <c r="B4" s="1038"/>
      <c r="C4" s="1038"/>
      <c r="D4" s="1038"/>
      <c r="E4" s="1038"/>
      <c r="F4" s="1038"/>
      <c r="G4" s="1038"/>
    </row>
    <row r="5" spans="1:7" ht="5.25" customHeight="1" x14ac:dyDescent="0.25">
      <c r="A5" s="1038"/>
      <c r="B5" s="1038"/>
      <c r="C5" s="1038"/>
      <c r="D5" s="1038"/>
      <c r="E5" s="1038"/>
      <c r="F5" s="1038"/>
      <c r="G5" s="1038"/>
    </row>
    <row r="6" spans="1:7" ht="5.25" customHeight="1" x14ac:dyDescent="0.25">
      <c r="A6" s="1039"/>
      <c r="B6" s="1039"/>
      <c r="C6" s="1039"/>
      <c r="D6" s="1039"/>
      <c r="E6" s="1039"/>
      <c r="F6" s="1039"/>
      <c r="G6" s="1039"/>
    </row>
    <row r="7" spans="1:7" s="60" customFormat="1" ht="15.6" customHeight="1" x14ac:dyDescent="0.3">
      <c r="A7" s="1039"/>
      <c r="B7" s="1039"/>
      <c r="C7" s="1039"/>
      <c r="D7" s="1039"/>
      <c r="E7" s="1039"/>
      <c r="F7" s="1039"/>
      <c r="G7" s="1039"/>
    </row>
    <row r="8" spans="1:7" s="61" customFormat="1" ht="14.4" x14ac:dyDescent="0.3">
      <c r="A8" s="21"/>
      <c r="B8" s="21"/>
      <c r="C8" s="21"/>
      <c r="D8" s="21"/>
      <c r="E8" s="21"/>
      <c r="F8" s="21"/>
      <c r="G8" s="21"/>
    </row>
    <row r="9" spans="1:7" s="61" customFormat="1" ht="14.4" x14ac:dyDescent="0.3">
      <c r="A9" s="1040" t="s">
        <v>1</v>
      </c>
      <c r="B9" s="1041"/>
      <c r="C9" s="1041"/>
      <c r="D9" s="1041"/>
      <c r="E9" s="1041"/>
      <c r="F9" s="1041"/>
      <c r="G9" s="1042"/>
    </row>
    <row r="10" spans="1:7" x14ac:dyDescent="0.25">
      <c r="A10" s="1027" t="s">
        <v>2</v>
      </c>
      <c r="B10" s="1028"/>
      <c r="C10" s="1028"/>
      <c r="D10" s="1028"/>
      <c r="E10" s="1028"/>
      <c r="F10" s="1028"/>
      <c r="G10" s="1043"/>
    </row>
    <row r="11" spans="1:7" x14ac:dyDescent="0.25">
      <c r="A11" s="1025" t="s">
        <v>3</v>
      </c>
      <c r="B11" s="1026"/>
      <c r="C11" s="56" t="s">
        <v>4</v>
      </c>
      <c r="D11" s="56"/>
      <c r="E11" s="1026" t="s">
        <v>5</v>
      </c>
      <c r="F11" s="1044"/>
      <c r="G11" s="22" t="s">
        <v>6</v>
      </c>
    </row>
    <row r="12" spans="1:7" x14ac:dyDescent="0.25">
      <c r="A12" s="1036"/>
      <c r="B12" s="1037"/>
      <c r="C12" s="23" t="s">
        <v>7</v>
      </c>
      <c r="D12" s="23"/>
      <c r="E12" s="1028" t="s">
        <v>8</v>
      </c>
      <c r="F12" s="1045"/>
      <c r="G12" s="98" t="s">
        <v>9</v>
      </c>
    </row>
    <row r="13" spans="1:7" x14ac:dyDescent="0.25">
      <c r="A13" s="1025" t="s">
        <v>10</v>
      </c>
      <c r="B13" s="1026"/>
      <c r="C13" s="1026"/>
      <c r="D13" s="1026"/>
      <c r="E13" s="1026"/>
      <c r="F13" s="1026"/>
      <c r="G13" s="22"/>
    </row>
    <row r="14" spans="1:7" s="61" customFormat="1" ht="14.4" x14ac:dyDescent="0.3">
      <c r="A14" s="1027" t="s">
        <v>11</v>
      </c>
      <c r="B14" s="1028"/>
      <c r="C14" s="1028"/>
      <c r="D14" s="1028"/>
      <c r="E14" s="1028"/>
      <c r="F14" s="1028"/>
      <c r="G14" s="24"/>
    </row>
    <row r="15" spans="1:7" s="60" customFormat="1" ht="14.4" x14ac:dyDescent="0.3">
      <c r="A15" s="90" t="s">
        <v>12</v>
      </c>
      <c r="B15" s="21"/>
      <c r="C15" s="89" t="s">
        <v>13</v>
      </c>
      <c r="D15" s="21" t="s">
        <v>14</v>
      </c>
      <c r="E15" s="89" t="s">
        <v>15</v>
      </c>
      <c r="F15" s="21" t="s">
        <v>14</v>
      </c>
      <c r="G15" s="91"/>
    </row>
    <row r="16" spans="1:7" s="61" customFormat="1" ht="14.4" x14ac:dyDescent="0.3">
      <c r="A16" s="1029" t="s">
        <v>16</v>
      </c>
      <c r="B16" s="1030"/>
      <c r="C16" s="1030"/>
      <c r="D16" s="1030"/>
      <c r="E16" s="1030"/>
      <c r="F16" s="1030"/>
      <c r="G16" s="1031"/>
    </row>
    <row r="17" spans="1:57" s="61" customFormat="1" ht="55.2" customHeight="1" x14ac:dyDescent="0.3">
      <c r="A17" s="1032" t="s">
        <v>17</v>
      </c>
      <c r="B17" s="1033"/>
      <c r="C17" s="1033"/>
      <c r="D17" s="1034" t="s">
        <v>18</v>
      </c>
      <c r="E17" s="1034"/>
      <c r="F17" s="1034"/>
      <c r="G17" s="1035"/>
    </row>
    <row r="18" spans="1:57" s="62" customFormat="1" ht="14.4" x14ac:dyDescent="0.3">
      <c r="A18" s="1051" t="s">
        <v>19</v>
      </c>
      <c r="B18" s="1046"/>
      <c r="C18" s="1046"/>
      <c r="D18" s="1046" t="s">
        <v>20</v>
      </c>
      <c r="E18" s="1046"/>
      <c r="F18" s="1046" t="s">
        <v>21</v>
      </c>
      <c r="G18" s="1047"/>
    </row>
    <row r="19" spans="1:57" s="62" customFormat="1" ht="14.4" x14ac:dyDescent="0.3">
      <c r="A19" s="1048" t="s">
        <v>22</v>
      </c>
      <c r="B19" s="1049"/>
      <c r="C19" s="1049"/>
      <c r="D19" s="1049"/>
      <c r="E19" s="1049"/>
      <c r="F19" s="1049"/>
      <c r="G19" s="1050"/>
    </row>
    <row r="20" spans="1:57" s="61" customFormat="1" ht="40.950000000000003" customHeight="1" x14ac:dyDescent="0.3">
      <c r="A20" s="1032"/>
      <c r="B20" s="1033"/>
      <c r="C20" s="1033"/>
      <c r="D20" s="1034"/>
      <c r="E20" s="1034"/>
      <c r="F20" s="1034"/>
      <c r="G20" s="1035"/>
    </row>
    <row r="21" spans="1:57" s="61" customFormat="1" ht="43.95" customHeight="1" x14ac:dyDescent="0.3">
      <c r="A21" s="1051" t="s">
        <v>19</v>
      </c>
      <c r="B21" s="1046"/>
      <c r="C21" s="1046"/>
      <c r="D21" s="1046" t="s">
        <v>20</v>
      </c>
      <c r="E21" s="1046"/>
      <c r="F21" s="1046" t="s">
        <v>21</v>
      </c>
      <c r="G21" s="1047"/>
      <c r="BE21" s="63"/>
    </row>
    <row r="22" spans="1:57" s="61" customFormat="1" ht="14.4" x14ac:dyDescent="0.3">
      <c r="A22" s="1029" t="s">
        <v>23</v>
      </c>
      <c r="B22" s="1030"/>
      <c r="C22" s="1030"/>
      <c r="D22" s="1030"/>
      <c r="E22" s="1030"/>
      <c r="F22" s="1030"/>
      <c r="G22" s="1031"/>
    </row>
    <row r="23" spans="1:57" s="61" customFormat="1" ht="66.75" customHeight="1" x14ac:dyDescent="0.3">
      <c r="A23" s="1032" t="s">
        <v>24</v>
      </c>
      <c r="B23" s="1033"/>
      <c r="C23" s="1033"/>
      <c r="D23" s="1034" t="s">
        <v>25</v>
      </c>
      <c r="E23" s="1034"/>
      <c r="F23" s="1034"/>
      <c r="G23" s="1035"/>
    </row>
    <row r="24" spans="1:57" s="61" customFormat="1" ht="14.4" x14ac:dyDescent="0.3">
      <c r="A24" s="1051" t="s">
        <v>19</v>
      </c>
      <c r="B24" s="1046"/>
      <c r="C24" s="1046"/>
      <c r="D24" s="1046" t="s">
        <v>20</v>
      </c>
      <c r="E24" s="1046"/>
      <c r="F24" s="1046" t="s">
        <v>21</v>
      </c>
      <c r="G24" s="1047"/>
    </row>
    <row r="25" spans="1:57" s="61" customFormat="1" ht="14.4" x14ac:dyDescent="0.3">
      <c r="A25" s="1029" t="s">
        <v>26</v>
      </c>
      <c r="B25" s="1030"/>
      <c r="C25" s="1030"/>
      <c r="D25" s="1030"/>
      <c r="E25" s="1030"/>
      <c r="F25" s="1030"/>
      <c r="G25" s="1031"/>
    </row>
    <row r="26" spans="1:57" s="61" customFormat="1" ht="42" customHeight="1" x14ac:dyDescent="0.3">
      <c r="A26" s="1032" t="s">
        <v>27</v>
      </c>
      <c r="B26" s="1033"/>
      <c r="C26" s="1033"/>
      <c r="D26" s="1034" t="s">
        <v>28</v>
      </c>
      <c r="E26" s="1034"/>
      <c r="F26" s="1034"/>
      <c r="G26" s="1035"/>
    </row>
    <row r="27" spans="1:57" s="61" customFormat="1" ht="14.4" x14ac:dyDescent="0.3">
      <c r="A27" s="1051" t="s">
        <v>19</v>
      </c>
      <c r="B27" s="1046"/>
      <c r="C27" s="1046"/>
      <c r="D27" s="1046" t="s">
        <v>20</v>
      </c>
      <c r="E27" s="1046"/>
      <c r="F27" s="1046" t="s">
        <v>21</v>
      </c>
      <c r="G27" s="1047"/>
    </row>
    <row r="28" spans="1:57" s="61" customFormat="1" ht="14.4" x14ac:dyDescent="0.3">
      <c r="A28" s="90" t="s">
        <v>29</v>
      </c>
      <c r="B28" s="21"/>
      <c r="C28" s="21"/>
      <c r="D28" s="21"/>
      <c r="E28" s="21"/>
      <c r="F28" s="21"/>
      <c r="G28" s="91"/>
    </row>
    <row r="29" spans="1:57" s="61" customFormat="1" ht="43.2" customHeight="1" x14ac:dyDescent="0.3">
      <c r="A29" s="1052" t="s">
        <v>30</v>
      </c>
      <c r="B29" s="1053"/>
      <c r="C29" s="1053"/>
      <c r="D29" s="1053"/>
      <c r="E29" s="1053"/>
      <c r="F29" s="1053"/>
      <c r="G29" s="1054"/>
    </row>
    <row r="30" spans="1:57" s="61" customFormat="1" ht="33.6" customHeight="1" x14ac:dyDescent="0.3">
      <c r="A30" s="1052" t="s">
        <v>31</v>
      </c>
      <c r="B30" s="1053"/>
      <c r="C30" s="1053"/>
      <c r="D30" s="1053"/>
      <c r="E30" s="1053"/>
      <c r="F30" s="1053"/>
      <c r="G30" s="1054"/>
    </row>
    <row r="31" spans="1:57" s="61" customFormat="1" ht="14.4" x14ac:dyDescent="0.3"/>
    <row r="32" spans="1:57" s="60" customFormat="1" ht="14.4" x14ac:dyDescent="0.3"/>
    <row r="33" spans="1:7" s="61" customFormat="1" ht="14.4" x14ac:dyDescent="0.3">
      <c r="A33" s="60"/>
      <c r="B33" s="60"/>
      <c r="C33" s="60"/>
      <c r="D33" s="60"/>
      <c r="E33" s="60"/>
      <c r="F33" s="60"/>
      <c r="G33" s="60"/>
    </row>
    <row r="34" spans="1:7" s="61" customFormat="1" ht="14.4" x14ac:dyDescent="0.3"/>
    <row r="35" spans="1:7" s="62" customFormat="1" ht="14.4" x14ac:dyDescent="0.3">
      <c r="A35" s="61"/>
      <c r="B35" s="61"/>
      <c r="C35" s="61"/>
      <c r="D35" s="61"/>
      <c r="E35" s="61"/>
      <c r="F35" s="61"/>
      <c r="G35" s="61"/>
    </row>
    <row r="36" spans="1:7" s="62" customFormat="1" ht="14.4" x14ac:dyDescent="0.3"/>
    <row r="37" spans="1:7" s="61" customFormat="1" ht="14.4" x14ac:dyDescent="0.3">
      <c r="A37" s="62"/>
      <c r="B37" s="62"/>
      <c r="C37" s="62"/>
      <c r="D37" s="62"/>
      <c r="E37" s="62"/>
      <c r="F37" s="62"/>
      <c r="G37" s="62"/>
    </row>
    <row r="38" spans="1:7" s="61" customFormat="1" ht="14.4" x14ac:dyDescent="0.3"/>
    <row r="39" spans="1:7" s="62" customFormat="1" ht="14.4" x14ac:dyDescent="0.3">
      <c r="A39" s="61"/>
      <c r="B39" s="61"/>
      <c r="C39" s="61"/>
      <c r="D39" s="61"/>
      <c r="E39" s="61"/>
      <c r="F39" s="61"/>
      <c r="G39" s="61"/>
    </row>
    <row r="40" spans="1:7" s="62" customFormat="1" ht="14.4" x14ac:dyDescent="0.3"/>
    <row r="41" spans="1:7" s="61" customFormat="1" ht="14.4" x14ac:dyDescent="0.3">
      <c r="A41" s="62"/>
      <c r="B41" s="62"/>
      <c r="C41" s="62"/>
      <c r="D41" s="62"/>
      <c r="E41" s="62"/>
      <c r="F41" s="62"/>
      <c r="G41" s="62"/>
    </row>
    <row r="42" spans="1:7" s="61" customFormat="1" ht="14.4" x14ac:dyDescent="0.3"/>
    <row r="43" spans="1:7" s="61" customFormat="1" ht="14.4" x14ac:dyDescent="0.3"/>
    <row r="44" spans="1:7" s="61" customFormat="1" ht="14.4" x14ac:dyDescent="0.3"/>
    <row r="45" spans="1:7" s="61" customFormat="1" ht="14.4" x14ac:dyDescent="0.3"/>
    <row r="46" spans="1:7" s="61" customFormat="1" ht="14.4" x14ac:dyDescent="0.3"/>
    <row r="47" spans="1:7" s="61" customFormat="1" ht="14.4" x14ac:dyDescent="0.3"/>
    <row r="48" spans="1:7" s="61" customFormat="1" ht="14.4" x14ac:dyDescent="0.3"/>
    <row r="49" spans="1:7" s="61" customFormat="1" ht="14.4" x14ac:dyDescent="0.3"/>
    <row r="50" spans="1:7" s="61" customFormat="1" ht="14.4" x14ac:dyDescent="0.3"/>
    <row r="51" spans="1:7" s="61" customFormat="1" ht="14.4" x14ac:dyDescent="0.3"/>
    <row r="52" spans="1:7" s="61" customFormat="1" ht="14.4" x14ac:dyDescent="0.3"/>
    <row r="53" spans="1:7" s="61" customFormat="1" ht="14.4" x14ac:dyDescent="0.3"/>
    <row r="54" spans="1:7" s="61" customFormat="1" ht="14.4" x14ac:dyDescent="0.3"/>
    <row r="55" spans="1:7" s="61" customFormat="1" ht="14.4" x14ac:dyDescent="0.3"/>
    <row r="56" spans="1:7" s="61" customFormat="1" ht="14.4" x14ac:dyDescent="0.3"/>
    <row r="57" spans="1:7" s="61" customFormat="1" ht="14.4" x14ac:dyDescent="0.3"/>
    <row r="58" spans="1:7" s="61" customFormat="1" ht="14.4" x14ac:dyDescent="0.3"/>
    <row r="59" spans="1:7" s="61" customFormat="1" ht="14.4" x14ac:dyDescent="0.3"/>
    <row r="60" spans="1:7" s="61" customFormat="1" ht="14.4" x14ac:dyDescent="0.3"/>
    <row r="61" spans="1:7" s="60" customFormat="1" ht="14.4" x14ac:dyDescent="0.3">
      <c r="A61" s="61"/>
      <c r="B61" s="61"/>
      <c r="C61" s="61"/>
      <c r="D61" s="61"/>
      <c r="E61" s="61"/>
      <c r="F61" s="61"/>
      <c r="G61" s="61"/>
    </row>
    <row r="62" spans="1:7" s="61" customFormat="1" ht="14.4" x14ac:dyDescent="0.3">
      <c r="A62" s="60"/>
      <c r="B62" s="60"/>
      <c r="C62" s="60"/>
      <c r="D62" s="60"/>
      <c r="E62" s="60"/>
      <c r="F62" s="60"/>
      <c r="G62" s="60"/>
    </row>
    <row r="63" spans="1:7" s="61" customFormat="1" ht="14.4" x14ac:dyDescent="0.3"/>
    <row r="64" spans="1:7" s="61" customFormat="1" ht="14.4" x14ac:dyDescent="0.3"/>
    <row r="65" spans="1:7" s="61" customFormat="1" ht="14.4" x14ac:dyDescent="0.3"/>
    <row r="66" spans="1:7" s="61" customFormat="1" ht="14.4" x14ac:dyDescent="0.3"/>
    <row r="67" spans="1:7" s="61" customFormat="1" ht="14.4" x14ac:dyDescent="0.3"/>
    <row r="68" spans="1:7" s="61" customFormat="1" ht="14.4" x14ac:dyDescent="0.3"/>
    <row r="69" spans="1:7" s="61" customFormat="1" ht="14.4" x14ac:dyDescent="0.3"/>
    <row r="70" spans="1:7" s="61" customFormat="1" ht="14.4" x14ac:dyDescent="0.3"/>
    <row r="71" spans="1:7" s="61" customFormat="1" ht="14.4" x14ac:dyDescent="0.3"/>
    <row r="72" spans="1:7" s="61" customFormat="1" ht="14.4" x14ac:dyDescent="0.3"/>
    <row r="73" spans="1:7" s="61" customFormat="1" ht="14.4" x14ac:dyDescent="0.3"/>
    <row r="74" spans="1:7" s="61" customFormat="1" ht="14.4" x14ac:dyDescent="0.3"/>
    <row r="75" spans="1:7" s="61" customFormat="1" ht="14.4" x14ac:dyDescent="0.3"/>
    <row r="76" spans="1:7" s="61" customFormat="1" ht="14.4" x14ac:dyDescent="0.3"/>
    <row r="77" spans="1:7" s="61" customFormat="1" ht="14.4" x14ac:dyDescent="0.3"/>
    <row r="78" spans="1:7" s="61" customFormat="1" ht="14.4" x14ac:dyDescent="0.3"/>
    <row r="79" spans="1:7" s="63" customFormat="1" ht="14.4" x14ac:dyDescent="0.3">
      <c r="A79" s="61"/>
      <c r="B79" s="61"/>
      <c r="C79" s="61"/>
      <c r="D79" s="61"/>
      <c r="E79" s="61"/>
      <c r="F79" s="61"/>
      <c r="G79" s="61"/>
    </row>
    <row r="80" spans="1:7" s="60" customFormat="1" ht="14.4" x14ac:dyDescent="0.3">
      <c r="A80" s="63"/>
      <c r="B80" s="63"/>
      <c r="C80" s="63"/>
      <c r="D80" s="63"/>
      <c r="E80" s="63"/>
      <c r="F80" s="63"/>
      <c r="G80" s="63"/>
    </row>
    <row r="81" spans="1:7" s="61" customFormat="1" ht="14.4" x14ac:dyDescent="0.3">
      <c r="A81" s="60"/>
      <c r="B81" s="60"/>
      <c r="C81" s="60"/>
      <c r="D81" s="60"/>
      <c r="E81" s="60"/>
      <c r="F81" s="60"/>
      <c r="G81" s="60"/>
    </row>
    <row r="82" spans="1:7" s="61" customFormat="1" ht="14.4" x14ac:dyDescent="0.3"/>
    <row r="83" spans="1:7" s="61" customFormat="1" ht="14.4" x14ac:dyDescent="0.3"/>
    <row r="84" spans="1:7" s="61" customFormat="1" ht="14.4" x14ac:dyDescent="0.3"/>
    <row r="85" spans="1:7" s="61" customFormat="1" ht="14.4" x14ac:dyDescent="0.3"/>
    <row r="86" spans="1:7" s="61" customFormat="1" ht="14.4" x14ac:dyDescent="0.3"/>
    <row r="87" spans="1:7" s="61" customFormat="1" ht="14.4" x14ac:dyDescent="0.3"/>
    <row r="88" spans="1:7" s="61" customFormat="1" ht="14.4" x14ac:dyDescent="0.3"/>
    <row r="89" spans="1:7" s="61" customFormat="1" ht="14.4" x14ac:dyDescent="0.3"/>
    <row r="90" spans="1:7" s="61" customFormat="1" ht="14.4" x14ac:dyDescent="0.3"/>
    <row r="91" spans="1:7" s="61" customFormat="1" ht="14.4" x14ac:dyDescent="0.3"/>
    <row r="92" spans="1:7" s="61" customFormat="1" ht="14.4" x14ac:dyDescent="0.3"/>
    <row r="93" spans="1:7" s="61" customFormat="1" ht="14.4" x14ac:dyDescent="0.3"/>
    <row r="94" spans="1:7" s="61" customFormat="1" ht="14.4" x14ac:dyDescent="0.3"/>
    <row r="95" spans="1:7" s="61" customFormat="1" ht="14.4" x14ac:dyDescent="0.3"/>
    <row r="96" spans="1:7" s="61" customFormat="1" ht="14.4" x14ac:dyDescent="0.3"/>
    <row r="97" spans="1:7" s="61" customFormat="1" ht="14.4" x14ac:dyDescent="0.3"/>
    <row r="98" spans="1:7" s="61" customFormat="1" ht="14.4" x14ac:dyDescent="0.3"/>
    <row r="99" spans="1:7" s="61" customFormat="1" ht="14.4" x14ac:dyDescent="0.3"/>
    <row r="100" spans="1:7" s="61" customFormat="1" ht="14.4" x14ac:dyDescent="0.3"/>
    <row r="101" spans="1:7" s="60" customFormat="1" ht="14.4" x14ac:dyDescent="0.3">
      <c r="A101" s="61"/>
      <c r="B101" s="61"/>
      <c r="C101" s="61"/>
      <c r="D101" s="61"/>
      <c r="E101" s="61"/>
      <c r="F101" s="61"/>
      <c r="G101" s="61"/>
    </row>
    <row r="102" spans="1:7" s="61" customFormat="1" ht="14.4" x14ac:dyDescent="0.3">
      <c r="A102" s="60"/>
      <c r="B102" s="60"/>
      <c r="C102" s="60"/>
      <c r="D102" s="60"/>
      <c r="E102" s="60"/>
      <c r="F102" s="60"/>
      <c r="G102" s="60"/>
    </row>
    <row r="103" spans="1:7" s="61" customFormat="1" ht="14.4" x14ac:dyDescent="0.3"/>
    <row r="104" spans="1:7" s="61" customFormat="1" ht="14.4" x14ac:dyDescent="0.3"/>
    <row r="105" spans="1:7" s="61" customFormat="1" ht="14.4" x14ac:dyDescent="0.3"/>
    <row r="106" spans="1:7" s="61" customFormat="1" ht="14.4" x14ac:dyDescent="0.3"/>
    <row r="107" spans="1:7" s="61" customFormat="1" ht="14.4" x14ac:dyDescent="0.3"/>
    <row r="108" spans="1:7" s="61" customFormat="1" ht="14.4" x14ac:dyDescent="0.3"/>
    <row r="109" spans="1:7" s="61" customFormat="1" ht="14.4" x14ac:dyDescent="0.3"/>
    <row r="110" spans="1:7" s="61" customFormat="1" ht="14.4" x14ac:dyDescent="0.3"/>
    <row r="111" spans="1:7" s="61" customFormat="1" ht="14.4" x14ac:dyDescent="0.3"/>
    <row r="112" spans="1:7" s="61" customFormat="1" ht="14.4" x14ac:dyDescent="0.3"/>
    <row r="113" s="61" customFormat="1" ht="14.4" x14ac:dyDescent="0.3"/>
    <row r="114" s="61" customFormat="1" ht="14.4" x14ac:dyDescent="0.3"/>
    <row r="115" s="61" customFormat="1" ht="14.4" x14ac:dyDescent="0.3"/>
    <row r="116" s="61" customFormat="1" ht="14.4" x14ac:dyDescent="0.3"/>
    <row r="117" s="61" customFormat="1" ht="14.4" x14ac:dyDescent="0.3"/>
    <row r="118" s="61" customFormat="1" ht="14.4" x14ac:dyDescent="0.3"/>
    <row r="119" s="61" customFormat="1" ht="14.4" x14ac:dyDescent="0.3"/>
    <row r="120" s="61" customFormat="1" ht="14.4" x14ac:dyDescent="0.3"/>
    <row r="121" s="61" customFormat="1" ht="14.4" x14ac:dyDescent="0.3"/>
    <row r="122" s="61" customFormat="1" ht="14.4" x14ac:dyDescent="0.3"/>
    <row r="123" s="61" customFormat="1" ht="14.4" x14ac:dyDescent="0.3"/>
    <row r="124" s="61" customFormat="1" ht="14.4" x14ac:dyDescent="0.3"/>
    <row r="125" s="61" customFormat="1" ht="14.4" x14ac:dyDescent="0.3"/>
    <row r="126" s="61" customFormat="1" ht="14.4" x14ac:dyDescent="0.3"/>
    <row r="127" s="61" customFormat="1" ht="14.4" x14ac:dyDescent="0.3"/>
    <row r="128" s="61" customFormat="1" ht="14.4" x14ac:dyDescent="0.3"/>
    <row r="129" s="61" customFormat="1" ht="14.4" x14ac:dyDescent="0.3"/>
    <row r="130" s="61" customFormat="1" ht="14.4" x14ac:dyDescent="0.3"/>
    <row r="131" s="61" customFormat="1" ht="14.4" x14ac:dyDescent="0.3"/>
    <row r="132" s="61" customFormat="1" ht="14.4" x14ac:dyDescent="0.3"/>
    <row r="133" s="61" customFormat="1" ht="14.4" x14ac:dyDescent="0.3"/>
    <row r="134" s="61" customFormat="1" ht="14.4" x14ac:dyDescent="0.3"/>
    <row r="135" s="61" customFormat="1" ht="14.4" x14ac:dyDescent="0.3"/>
    <row r="136" s="61" customFormat="1" ht="14.4" x14ac:dyDescent="0.3"/>
    <row r="137" s="61" customFormat="1" ht="14.4" x14ac:dyDescent="0.3"/>
    <row r="138" s="61" customFormat="1" ht="14.4" x14ac:dyDescent="0.3"/>
    <row r="139" s="61" customFormat="1" ht="14.4" x14ac:dyDescent="0.3"/>
    <row r="140" s="61" customFormat="1" ht="14.4" x14ac:dyDescent="0.3"/>
    <row r="141" s="61" customFormat="1" ht="14.4" x14ac:dyDescent="0.3"/>
    <row r="142" s="61" customFormat="1" ht="14.4" x14ac:dyDescent="0.3"/>
    <row r="143" s="61" customFormat="1" ht="14.4" x14ac:dyDescent="0.3"/>
    <row r="144" s="61" customFormat="1" ht="14.4" x14ac:dyDescent="0.3"/>
    <row r="145" s="61" customFormat="1" ht="14.4" x14ac:dyDescent="0.3"/>
    <row r="146" s="61" customFormat="1" ht="14.4" x14ac:dyDescent="0.3"/>
    <row r="147" s="61" customFormat="1" ht="14.4" x14ac:dyDescent="0.3"/>
    <row r="148" s="61" customFormat="1" ht="14.4" x14ac:dyDescent="0.3"/>
    <row r="149" s="61" customFormat="1" ht="14.4" x14ac:dyDescent="0.3"/>
    <row r="150" s="61" customFormat="1" ht="14.4" x14ac:dyDescent="0.3"/>
    <row r="151" s="61" customFormat="1" ht="14.4" x14ac:dyDescent="0.3"/>
    <row r="152" s="61" customFormat="1" ht="14.4" x14ac:dyDescent="0.3"/>
    <row r="153" s="61" customFormat="1" ht="14.4" x14ac:dyDescent="0.3"/>
    <row r="154" s="61" customFormat="1" ht="14.4" x14ac:dyDescent="0.3"/>
    <row r="155" s="61" customFormat="1" ht="14.4" x14ac:dyDescent="0.3"/>
    <row r="156" s="61" customFormat="1" ht="14.4" x14ac:dyDescent="0.3"/>
    <row r="157" s="61" customFormat="1" ht="14.4" x14ac:dyDescent="0.3"/>
    <row r="158" s="61" customFormat="1" ht="14.4" x14ac:dyDescent="0.3"/>
    <row r="159" s="61" customFormat="1" ht="14.4" x14ac:dyDescent="0.3"/>
    <row r="160" s="61" customFormat="1" ht="14.4" x14ac:dyDescent="0.3"/>
    <row r="161" s="61" customFormat="1" ht="14.4" x14ac:dyDescent="0.3"/>
    <row r="162" s="61" customFormat="1" ht="14.4" x14ac:dyDescent="0.3"/>
    <row r="163" s="61" customFormat="1" ht="14.4" x14ac:dyDescent="0.3"/>
    <row r="164" s="61" customFormat="1" ht="14.4" x14ac:dyDescent="0.3"/>
    <row r="165" s="61" customFormat="1" ht="14.4" x14ac:dyDescent="0.3"/>
    <row r="166" s="61" customFormat="1" ht="14.4" x14ac:dyDescent="0.3"/>
    <row r="167" s="61" customFormat="1" ht="14.4" x14ac:dyDescent="0.3"/>
    <row r="168" s="61" customFormat="1" ht="14.4" x14ac:dyDescent="0.3"/>
    <row r="169" s="61" customFormat="1" ht="14.4" x14ac:dyDescent="0.3"/>
    <row r="170" s="61" customFormat="1" ht="14.4" x14ac:dyDescent="0.3"/>
    <row r="171" s="61" customFormat="1" ht="14.4" x14ac:dyDescent="0.3"/>
    <row r="172" s="61" customFormat="1" ht="14.4" x14ac:dyDescent="0.3"/>
    <row r="173" s="61" customFormat="1" ht="14.4" x14ac:dyDescent="0.3"/>
    <row r="174" s="61" customFormat="1" ht="14.4" x14ac:dyDescent="0.3"/>
    <row r="175" s="61" customFormat="1" ht="14.4" x14ac:dyDescent="0.3"/>
    <row r="176" s="61" customFormat="1" ht="14.4" x14ac:dyDescent="0.3"/>
    <row r="177" s="61" customFormat="1" ht="14.4" x14ac:dyDescent="0.3"/>
    <row r="178" s="61" customFormat="1" ht="14.4" x14ac:dyDescent="0.3"/>
    <row r="179" s="61" customFormat="1" ht="14.4" x14ac:dyDescent="0.3"/>
    <row r="180" s="61" customFormat="1" ht="14.4" x14ac:dyDescent="0.3"/>
    <row r="181" s="61" customFormat="1" ht="14.4" x14ac:dyDescent="0.3"/>
    <row r="182" s="61" customFormat="1" ht="14.4" x14ac:dyDescent="0.3"/>
    <row r="183" s="61" customFormat="1" ht="14.4" x14ac:dyDescent="0.3"/>
    <row r="184" s="61" customFormat="1" ht="14.4" x14ac:dyDescent="0.3"/>
    <row r="185" s="61" customFormat="1" ht="14.4" x14ac:dyDescent="0.3"/>
    <row r="186" s="61" customFormat="1" ht="14.4" x14ac:dyDescent="0.3"/>
    <row r="187" s="61" customFormat="1" ht="14.4" x14ac:dyDescent="0.3"/>
    <row r="188" s="61" customFormat="1" ht="14.4" x14ac:dyDescent="0.3"/>
    <row r="189" s="61" customFormat="1" ht="14.4" x14ac:dyDescent="0.3"/>
    <row r="190" s="61" customFormat="1" ht="14.4" x14ac:dyDescent="0.3"/>
    <row r="191" s="61" customFormat="1" ht="14.4" x14ac:dyDescent="0.3"/>
    <row r="192" s="61" customFormat="1" ht="14.4" x14ac:dyDescent="0.3"/>
    <row r="193" s="61" customFormat="1" ht="14.4" x14ac:dyDescent="0.3"/>
    <row r="194" s="61" customFormat="1" ht="14.4" x14ac:dyDescent="0.3"/>
    <row r="195" s="61" customFormat="1" ht="14.4" x14ac:dyDescent="0.3"/>
    <row r="196" s="61" customFormat="1" ht="14.4" x14ac:dyDescent="0.3"/>
    <row r="197" s="61" customFormat="1" ht="14.4" x14ac:dyDescent="0.3"/>
    <row r="198" s="61" customFormat="1" ht="14.4" x14ac:dyDescent="0.3"/>
    <row r="199" s="61" customFormat="1" ht="14.4" x14ac:dyDescent="0.3"/>
    <row r="200" s="61" customFormat="1" ht="14.4" x14ac:dyDescent="0.3"/>
    <row r="201" s="61" customFormat="1" ht="14.4" x14ac:dyDescent="0.3"/>
    <row r="202" s="61" customFormat="1" ht="14.4" x14ac:dyDescent="0.3"/>
    <row r="203" s="61" customFormat="1" ht="14.4" x14ac:dyDescent="0.3"/>
    <row r="204" s="61" customFormat="1" ht="14.4" x14ac:dyDescent="0.3"/>
    <row r="205" s="61" customFormat="1" ht="14.4" x14ac:dyDescent="0.3"/>
    <row r="206" s="61" customFormat="1" ht="14.4" x14ac:dyDescent="0.3"/>
    <row r="207" s="61" customFormat="1" ht="14.4" x14ac:dyDescent="0.3"/>
    <row r="208" s="61" customFormat="1" ht="14.4" x14ac:dyDescent="0.3"/>
    <row r="209" spans="1:7" s="61" customFormat="1" ht="14.4" x14ac:dyDescent="0.3"/>
    <row r="210" spans="1:7" s="60" customFormat="1" ht="14.4" x14ac:dyDescent="0.3">
      <c r="A210" s="61"/>
      <c r="B210" s="61"/>
      <c r="C210" s="61"/>
      <c r="D210" s="61"/>
      <c r="E210" s="61"/>
      <c r="F210" s="61"/>
      <c r="G210" s="61"/>
    </row>
    <row r="211" spans="1:7" s="61" customFormat="1" ht="14.4" x14ac:dyDescent="0.3">
      <c r="A211" s="60"/>
      <c r="B211" s="60"/>
      <c r="C211" s="60"/>
      <c r="D211" s="60"/>
      <c r="E211" s="60"/>
      <c r="F211" s="60"/>
      <c r="G211" s="60"/>
    </row>
    <row r="212" spans="1:7" s="61" customFormat="1" ht="14.4" x14ac:dyDescent="0.3"/>
    <row r="213" spans="1:7" s="61" customFormat="1" ht="14.4" x14ac:dyDescent="0.3"/>
    <row r="214" spans="1:7" s="61" customFormat="1" ht="14.4" x14ac:dyDescent="0.3"/>
    <row r="215" spans="1:7" s="61" customFormat="1" ht="14.4" x14ac:dyDescent="0.3"/>
    <row r="216" spans="1:7" s="61" customFormat="1" ht="14.4" x14ac:dyDescent="0.3"/>
    <row r="217" spans="1:7" s="61" customFormat="1" ht="14.4" x14ac:dyDescent="0.3"/>
    <row r="218" spans="1:7" s="61" customFormat="1" ht="14.4" x14ac:dyDescent="0.3"/>
    <row r="219" spans="1:7" s="61" customFormat="1" ht="14.4" x14ac:dyDescent="0.3"/>
    <row r="220" spans="1:7" s="61" customFormat="1" ht="14.4" x14ac:dyDescent="0.3"/>
    <row r="221" spans="1:7" s="61" customFormat="1" ht="14.4" x14ac:dyDescent="0.3"/>
    <row r="222" spans="1:7" s="61" customFormat="1" ht="14.4" x14ac:dyDescent="0.3"/>
    <row r="223" spans="1:7" s="60" customFormat="1" ht="14.4" x14ac:dyDescent="0.3">
      <c r="A223" s="61"/>
      <c r="B223" s="61"/>
      <c r="C223" s="61"/>
      <c r="D223" s="61"/>
      <c r="E223" s="61"/>
      <c r="F223" s="61"/>
      <c r="G223" s="61"/>
    </row>
    <row r="224" spans="1:7" s="61" customFormat="1" ht="14.4" x14ac:dyDescent="0.3">
      <c r="A224" s="60"/>
      <c r="B224" s="60"/>
      <c r="C224" s="60"/>
      <c r="D224" s="60"/>
      <c r="E224" s="60"/>
      <c r="F224" s="60"/>
      <c r="G224" s="60"/>
    </row>
    <row r="225" spans="1:7" s="61" customFormat="1" ht="14.4" x14ac:dyDescent="0.3"/>
    <row r="226" spans="1:7" s="61" customFormat="1" ht="14.4" x14ac:dyDescent="0.3"/>
    <row r="227" spans="1:7" s="61" customFormat="1" ht="14.4" x14ac:dyDescent="0.3"/>
    <row r="228" spans="1:7" s="60" customFormat="1" ht="14.4" x14ac:dyDescent="0.3">
      <c r="A228" s="61"/>
      <c r="B228" s="61"/>
      <c r="C228" s="61"/>
      <c r="D228" s="61"/>
      <c r="E228" s="61"/>
      <c r="F228" s="61"/>
      <c r="G228" s="61"/>
    </row>
    <row r="229" spans="1:7" s="61" customFormat="1" ht="14.4" x14ac:dyDescent="0.3">
      <c r="A229" s="60"/>
      <c r="B229" s="60"/>
      <c r="C229" s="60"/>
      <c r="D229" s="60"/>
      <c r="E229" s="60"/>
      <c r="F229" s="60"/>
      <c r="G229" s="60"/>
    </row>
    <row r="230" spans="1:7" s="61" customFormat="1" ht="14.4" x14ac:dyDescent="0.3"/>
    <row r="231" spans="1:7" s="61" customFormat="1" ht="14.4" x14ac:dyDescent="0.3"/>
    <row r="232" spans="1:7" s="61" customFormat="1" ht="14.4" x14ac:dyDescent="0.3"/>
    <row r="233" spans="1:7" s="61" customFormat="1" ht="14.4" x14ac:dyDescent="0.3"/>
    <row r="234" spans="1:7" s="60" customFormat="1" ht="14.4" x14ac:dyDescent="0.3">
      <c r="A234" s="61"/>
      <c r="B234" s="61"/>
      <c r="C234" s="61"/>
      <c r="D234" s="61"/>
      <c r="E234" s="61"/>
      <c r="F234" s="61"/>
      <c r="G234" s="61"/>
    </row>
    <row r="235" spans="1:7" s="61" customFormat="1" ht="14.4" x14ac:dyDescent="0.3">
      <c r="A235" s="60"/>
      <c r="B235" s="60"/>
      <c r="C235" s="60"/>
      <c r="D235" s="60"/>
      <c r="E235" s="60"/>
      <c r="F235" s="60"/>
      <c r="G235" s="60"/>
    </row>
    <row r="236" spans="1:7" s="61" customFormat="1" ht="14.4" x14ac:dyDescent="0.3"/>
    <row r="237" spans="1:7" s="61" customFormat="1" ht="14.4" x14ac:dyDescent="0.3"/>
    <row r="238" spans="1:7" s="61" customFormat="1" ht="14.4" x14ac:dyDescent="0.3"/>
    <row r="239" spans="1:7" s="61" customFormat="1" ht="14.4" x14ac:dyDescent="0.3"/>
    <row r="240" spans="1:7" s="61" customFormat="1" ht="14.4" x14ac:dyDescent="0.3"/>
    <row r="241" spans="1:7" s="61" customFormat="1" ht="14.4" x14ac:dyDescent="0.3"/>
    <row r="242" spans="1:7" s="61" customFormat="1" ht="14.4" x14ac:dyDescent="0.3"/>
    <row r="243" spans="1:7" s="61" customFormat="1" ht="14.4" x14ac:dyDescent="0.3"/>
    <row r="244" spans="1:7" s="61" customFormat="1" ht="14.4" x14ac:dyDescent="0.3"/>
    <row r="245" spans="1:7" s="61" customFormat="1" ht="14.4" x14ac:dyDescent="0.3"/>
    <row r="246" spans="1:7" s="61" customFormat="1" ht="14.4" x14ac:dyDescent="0.3"/>
    <row r="247" spans="1:7" s="61" customFormat="1" ht="14.4" x14ac:dyDescent="0.3"/>
    <row r="248" spans="1:7" s="61" customFormat="1" ht="14.4" x14ac:dyDescent="0.3"/>
    <row r="249" spans="1:7" s="61" customFormat="1" ht="14.4" x14ac:dyDescent="0.3"/>
    <row r="250" spans="1:7" s="61" customFormat="1" ht="14.4" x14ac:dyDescent="0.3"/>
    <row r="251" spans="1:7" s="61" customFormat="1" ht="14.4" x14ac:dyDescent="0.3"/>
    <row r="252" spans="1:7" s="61" customFormat="1" ht="14.4" x14ac:dyDescent="0.3"/>
    <row r="253" spans="1:7" s="61" customFormat="1" ht="14.4" x14ac:dyDescent="0.3"/>
    <row r="254" spans="1:7" s="61" customFormat="1" ht="14.4" x14ac:dyDescent="0.3"/>
    <row r="255" spans="1:7" s="60" customFormat="1" ht="14.4" x14ac:dyDescent="0.3">
      <c r="A255" s="61"/>
      <c r="B255" s="61"/>
      <c r="C255" s="61"/>
      <c r="D255" s="61"/>
      <c r="E255" s="61"/>
      <c r="F255" s="61"/>
      <c r="G255" s="61"/>
    </row>
    <row r="256" spans="1:7" s="61" customFormat="1" ht="14.4" x14ac:dyDescent="0.3">
      <c r="A256" s="60"/>
      <c r="B256" s="60"/>
      <c r="C256" s="60"/>
      <c r="D256" s="60"/>
      <c r="E256" s="60"/>
      <c r="F256" s="60"/>
      <c r="G256" s="60"/>
    </row>
    <row r="257" spans="1:7" s="60" customFormat="1" ht="14.4" x14ac:dyDescent="0.3">
      <c r="A257" s="61"/>
      <c r="B257" s="61"/>
      <c r="C257" s="61"/>
      <c r="D257" s="61"/>
      <c r="E257" s="61"/>
      <c r="F257" s="61"/>
      <c r="G257" s="61"/>
    </row>
    <row r="258" spans="1:7" s="63" customFormat="1" ht="14.4" x14ac:dyDescent="0.3">
      <c r="A258" s="60"/>
      <c r="B258" s="60"/>
      <c r="C258" s="60"/>
      <c r="D258" s="60"/>
      <c r="E258" s="60"/>
      <c r="F258" s="60"/>
      <c r="G258" s="60"/>
    </row>
    <row r="259" spans="1:7" s="63" customFormat="1" ht="14.4" x14ac:dyDescent="0.3"/>
    <row r="260" spans="1:7" s="63" customFormat="1" ht="14.4" x14ac:dyDescent="0.3"/>
    <row r="261" spans="1:7" s="63" customFormat="1" ht="14.4" x14ac:dyDescent="0.3"/>
    <row r="262" spans="1:7" s="63" customFormat="1" ht="14.4" x14ac:dyDescent="0.3"/>
    <row r="263" spans="1:7" s="63" customFormat="1" ht="14.4" x14ac:dyDescent="0.3"/>
    <row r="264" spans="1:7" s="63" customFormat="1" ht="14.4" x14ac:dyDescent="0.3"/>
    <row r="265" spans="1:7" s="63" customFormat="1" ht="14.4" x14ac:dyDescent="0.3"/>
    <row r="266" spans="1:7" s="63" customFormat="1" ht="14.4" x14ac:dyDescent="0.3"/>
    <row r="267" spans="1:7" s="63" customFormat="1" ht="14.4" x14ac:dyDescent="0.3"/>
    <row r="268" spans="1:7" s="63" customFormat="1" ht="14.4" x14ac:dyDescent="0.3"/>
    <row r="269" spans="1:7" s="63" customFormat="1" ht="14.4" x14ac:dyDescent="0.3"/>
    <row r="270" spans="1:7" s="63" customFormat="1" ht="14.4" x14ac:dyDescent="0.3"/>
    <row r="271" spans="1:7" s="63" customFormat="1" ht="14.4" x14ac:dyDescent="0.3"/>
    <row r="272" spans="1:7" s="63" customFormat="1" ht="14.4" x14ac:dyDescent="0.3"/>
    <row r="273" spans="1:7" s="63" customFormat="1" ht="14.4" x14ac:dyDescent="0.3"/>
    <row r="274" spans="1:7" s="63" customFormat="1" ht="14.4" x14ac:dyDescent="0.3"/>
    <row r="275" spans="1:7" s="63" customFormat="1" ht="14.4" x14ac:dyDescent="0.3"/>
    <row r="276" spans="1:7" s="63" customFormat="1" ht="14.4" x14ac:dyDescent="0.3"/>
    <row r="277" spans="1:7" s="63" customFormat="1" ht="14.4" x14ac:dyDescent="0.3"/>
    <row r="278" spans="1:7" s="63" customFormat="1" ht="14.4" x14ac:dyDescent="0.3"/>
    <row r="279" spans="1:7" s="63" customFormat="1" ht="14.4" x14ac:dyDescent="0.3"/>
    <row r="280" spans="1:7" s="63" customFormat="1" ht="14.4" x14ac:dyDescent="0.3"/>
    <row r="281" spans="1:7" s="63" customFormat="1" ht="14.4" x14ac:dyDescent="0.3"/>
    <row r="282" spans="1:7" s="60" customFormat="1" ht="14.4" x14ac:dyDescent="0.3">
      <c r="A282" s="63"/>
      <c r="B282" s="63"/>
      <c r="C282" s="63"/>
      <c r="D282" s="63"/>
      <c r="E282" s="63"/>
      <c r="F282" s="63"/>
      <c r="G282" s="63"/>
    </row>
    <row r="283" spans="1:7" s="63" customFormat="1" ht="14.4" x14ac:dyDescent="0.3">
      <c r="A283" s="60"/>
      <c r="B283" s="60"/>
      <c r="C283" s="60"/>
      <c r="D283" s="60"/>
      <c r="E283" s="60"/>
      <c r="F283" s="60"/>
      <c r="G283" s="60"/>
    </row>
    <row r="284" spans="1:7" s="63" customFormat="1" ht="14.4" x14ac:dyDescent="0.3"/>
    <row r="285" spans="1:7" s="63" customFormat="1" ht="14.4" x14ac:dyDescent="0.3"/>
    <row r="286" spans="1:7" s="63" customFormat="1" ht="14.4" x14ac:dyDescent="0.3"/>
    <row r="287" spans="1:7" s="63" customFormat="1" ht="14.4" x14ac:dyDescent="0.3"/>
    <row r="288" spans="1:7" s="63" customFormat="1" ht="14.4" x14ac:dyDescent="0.3"/>
    <row r="289" spans="1:7" s="60" customFormat="1" ht="14.4" x14ac:dyDescent="0.3">
      <c r="A289" s="63"/>
      <c r="B289" s="63"/>
      <c r="C289" s="63"/>
      <c r="D289" s="63"/>
      <c r="E289" s="63"/>
      <c r="F289" s="63"/>
      <c r="G289" s="63"/>
    </row>
    <row r="290" spans="1:7" s="61" customFormat="1" ht="14.4" x14ac:dyDescent="0.3">
      <c r="A290" s="60"/>
      <c r="B290" s="60"/>
      <c r="C290" s="60"/>
      <c r="D290" s="60"/>
      <c r="E290" s="60"/>
      <c r="F290" s="60"/>
      <c r="G290" s="60"/>
    </row>
    <row r="291" spans="1:7" s="61" customFormat="1" ht="14.4" x14ac:dyDescent="0.3"/>
    <row r="292" spans="1:7" s="60" customFormat="1" ht="14.4" x14ac:dyDescent="0.3">
      <c r="A292" s="61"/>
      <c r="B292" s="61"/>
      <c r="C292" s="61"/>
      <c r="D292" s="61"/>
      <c r="E292" s="61"/>
      <c r="F292" s="61"/>
      <c r="G292" s="61"/>
    </row>
    <row r="293" spans="1:7" s="61" customFormat="1" ht="14.4" x14ac:dyDescent="0.3">
      <c r="A293" s="60"/>
      <c r="B293" s="60"/>
      <c r="C293" s="60"/>
      <c r="D293" s="60"/>
      <c r="E293" s="60"/>
      <c r="F293" s="60"/>
      <c r="G293" s="60"/>
    </row>
    <row r="294" spans="1:7" s="61" customFormat="1" ht="14.4" x14ac:dyDescent="0.3"/>
    <row r="295" spans="1:7" s="61" customFormat="1" ht="14.4" x14ac:dyDescent="0.3"/>
    <row r="296" spans="1:7" s="61" customFormat="1" ht="14.4" x14ac:dyDescent="0.3"/>
    <row r="297" spans="1:7" s="61" customFormat="1" ht="14.4" x14ac:dyDescent="0.3"/>
    <row r="298" spans="1:7" s="61" customFormat="1" ht="14.4" x14ac:dyDescent="0.3"/>
    <row r="299" spans="1:7" s="61" customFormat="1" ht="14.4" x14ac:dyDescent="0.3"/>
    <row r="300" spans="1:7" s="61" customFormat="1" ht="14.4" x14ac:dyDescent="0.3"/>
    <row r="301" spans="1:7" s="61" customFormat="1" ht="14.4" x14ac:dyDescent="0.3"/>
    <row r="302" spans="1:7" s="61" customFormat="1" ht="14.4" x14ac:dyDescent="0.3"/>
    <row r="303" spans="1:7" s="61" customFormat="1" ht="14.4" x14ac:dyDescent="0.3"/>
    <row r="304" spans="1:7" s="61" customFormat="1" ht="14.4" x14ac:dyDescent="0.3"/>
    <row r="305" spans="1:7" s="60" customFormat="1" ht="14.4" x14ac:dyDescent="0.3">
      <c r="A305" s="61"/>
      <c r="B305" s="61"/>
      <c r="C305" s="61"/>
      <c r="D305" s="61"/>
      <c r="E305" s="61"/>
      <c r="F305" s="61"/>
      <c r="G305" s="61"/>
    </row>
    <row r="306" spans="1:7" s="61" customFormat="1" ht="14.4" x14ac:dyDescent="0.3">
      <c r="A306" s="60"/>
      <c r="B306" s="60"/>
      <c r="C306" s="60"/>
      <c r="D306" s="60"/>
      <c r="E306" s="60"/>
      <c r="F306" s="60"/>
      <c r="G306" s="60"/>
    </row>
    <row r="307" spans="1:7" s="61" customFormat="1" ht="14.4" x14ac:dyDescent="0.3"/>
    <row r="308" spans="1:7" s="61" customFormat="1" ht="14.4" x14ac:dyDescent="0.3"/>
    <row r="309" spans="1:7" s="60" customFormat="1" ht="14.4" x14ac:dyDescent="0.3">
      <c r="A309" s="61"/>
      <c r="B309" s="61"/>
      <c r="C309" s="61"/>
      <c r="D309" s="61"/>
      <c r="E309" s="61"/>
      <c r="F309" s="61"/>
      <c r="G309" s="61"/>
    </row>
    <row r="310" spans="1:7" s="61" customFormat="1" ht="14.4" x14ac:dyDescent="0.3">
      <c r="A310" s="60"/>
      <c r="B310" s="60"/>
      <c r="C310" s="60"/>
      <c r="D310" s="60"/>
      <c r="E310" s="60"/>
      <c r="F310" s="60"/>
      <c r="G310" s="60"/>
    </row>
    <row r="311" spans="1:7" s="60" customFormat="1" ht="14.4" x14ac:dyDescent="0.3">
      <c r="A311" s="61"/>
      <c r="B311" s="61"/>
      <c r="C311" s="61"/>
      <c r="D311" s="61"/>
      <c r="E311" s="61"/>
      <c r="F311" s="61"/>
      <c r="G311" s="61"/>
    </row>
    <row r="312" spans="1:7" s="63" customFormat="1" ht="14.4" x14ac:dyDescent="0.3">
      <c r="A312" s="60"/>
      <c r="B312" s="60"/>
      <c r="C312" s="60"/>
      <c r="D312" s="60"/>
      <c r="E312" s="60"/>
      <c r="F312" s="60"/>
      <c r="G312" s="60"/>
    </row>
    <row r="313" spans="1:7" s="61" customFormat="1" ht="14.4" x14ac:dyDescent="0.3">
      <c r="A313" s="63"/>
      <c r="B313" s="63"/>
      <c r="C313" s="63"/>
      <c r="D313" s="63"/>
      <c r="E313" s="63"/>
      <c r="F313" s="63"/>
      <c r="G313" s="63"/>
    </row>
    <row r="314" spans="1:7" s="61" customFormat="1" ht="14.4" x14ac:dyDescent="0.3"/>
    <row r="315" spans="1:7" s="61" customFormat="1" ht="14.4" x14ac:dyDescent="0.3"/>
    <row r="316" spans="1:7" s="61" customFormat="1" ht="14.4" x14ac:dyDescent="0.3"/>
    <row r="317" spans="1:7" s="60" customFormat="1" ht="14.4" x14ac:dyDescent="0.3">
      <c r="A317" s="61"/>
      <c r="B317" s="61"/>
      <c r="C317" s="61"/>
      <c r="D317" s="61"/>
      <c r="E317" s="61"/>
      <c r="F317" s="61"/>
      <c r="G317" s="61"/>
    </row>
    <row r="318" spans="1:7" s="63" customFormat="1" ht="14.4" x14ac:dyDescent="0.3">
      <c r="A318" s="60"/>
      <c r="B318" s="60"/>
      <c r="C318" s="60"/>
      <c r="D318" s="60"/>
      <c r="E318" s="60"/>
      <c r="F318" s="60"/>
      <c r="G318" s="60"/>
    </row>
    <row r="319" spans="1:7" s="61" customFormat="1" ht="14.4" x14ac:dyDescent="0.3">
      <c r="A319" s="63"/>
      <c r="B319" s="63"/>
      <c r="C319" s="63"/>
      <c r="D319" s="63"/>
      <c r="E319" s="63"/>
      <c r="F319" s="63"/>
      <c r="G319" s="63"/>
    </row>
    <row r="320" spans="1:7" s="61" customFormat="1" ht="14.4" x14ac:dyDescent="0.3"/>
    <row r="321" spans="1:7" s="61" customFormat="1" ht="14.4" x14ac:dyDescent="0.3"/>
    <row r="322" spans="1:7" s="61" customFormat="1" ht="14.4" x14ac:dyDescent="0.3"/>
    <row r="323" spans="1:7" s="61" customFormat="1" ht="14.4" x14ac:dyDescent="0.3"/>
    <row r="324" spans="1:7" s="61" customFormat="1" ht="14.4" x14ac:dyDescent="0.3"/>
    <row r="325" spans="1:7" s="61" customFormat="1" ht="14.4" x14ac:dyDescent="0.3"/>
    <row r="326" spans="1:7" s="61" customFormat="1" ht="14.4" x14ac:dyDescent="0.3"/>
    <row r="327" spans="1:7" s="60" customFormat="1" ht="14.4" x14ac:dyDescent="0.3">
      <c r="A327" s="61"/>
      <c r="B327" s="61"/>
      <c r="C327" s="61"/>
      <c r="D327" s="61"/>
      <c r="E327" s="61"/>
      <c r="F327" s="61"/>
      <c r="G327" s="61"/>
    </row>
    <row r="328" spans="1:7" s="63" customFormat="1" ht="14.4" x14ac:dyDescent="0.3">
      <c r="A328" s="60"/>
      <c r="B328" s="60"/>
      <c r="C328" s="60"/>
      <c r="D328" s="60"/>
      <c r="E328" s="60"/>
      <c r="F328" s="60"/>
      <c r="G328" s="60"/>
    </row>
    <row r="329" spans="1:7" s="63" customFormat="1" ht="14.4" x14ac:dyDescent="0.3"/>
    <row r="330" spans="1:7" s="63" customFormat="1" ht="14.4" x14ac:dyDescent="0.3"/>
    <row r="331" spans="1:7" s="61" customFormat="1" ht="14.4" x14ac:dyDescent="0.3">
      <c r="A331" s="63"/>
      <c r="B331" s="63"/>
      <c r="C331" s="63"/>
      <c r="D331" s="63"/>
      <c r="E331" s="63"/>
      <c r="F331" s="63"/>
      <c r="G331" s="63"/>
    </row>
    <row r="332" spans="1:7" s="61" customFormat="1" ht="14.4" x14ac:dyDescent="0.3"/>
    <row r="333" spans="1:7" s="60" customFormat="1" ht="14.4" x14ac:dyDescent="0.3">
      <c r="A333" s="61"/>
      <c r="B333" s="61"/>
      <c r="C333" s="61"/>
      <c r="D333" s="61"/>
      <c r="E333" s="61"/>
      <c r="F333" s="61"/>
      <c r="G333" s="61"/>
    </row>
    <row r="334" spans="1:7" s="63" customFormat="1" ht="14.4" x14ac:dyDescent="0.3">
      <c r="A334" s="60"/>
      <c r="B334" s="60"/>
      <c r="C334" s="60"/>
      <c r="D334" s="60"/>
      <c r="E334" s="60"/>
      <c r="F334" s="60"/>
      <c r="G334" s="60"/>
    </row>
    <row r="335" spans="1:7" s="63" customFormat="1" ht="14.4" x14ac:dyDescent="0.3"/>
    <row r="336" spans="1:7" s="63" customFormat="1" ht="14.4" x14ac:dyDescent="0.3"/>
    <row r="337" spans="1:7" s="63" customFormat="1" ht="14.4" x14ac:dyDescent="0.3"/>
    <row r="338" spans="1:7" s="60" customFormat="1" ht="14.4" x14ac:dyDescent="0.3">
      <c r="A338" s="63"/>
      <c r="B338" s="63"/>
      <c r="C338" s="63"/>
      <c r="D338" s="63"/>
      <c r="E338" s="63"/>
      <c r="F338" s="63"/>
      <c r="G338" s="63"/>
    </row>
    <row r="339" spans="1:7" s="63" customFormat="1" ht="14.4" x14ac:dyDescent="0.3">
      <c r="A339" s="60"/>
      <c r="B339" s="60"/>
      <c r="C339" s="60"/>
      <c r="D339" s="60"/>
      <c r="E339" s="60"/>
      <c r="F339" s="60"/>
      <c r="G339" s="60"/>
    </row>
    <row r="340" spans="1:7" s="60" customFormat="1" ht="14.4" x14ac:dyDescent="0.3">
      <c r="A340" s="63"/>
      <c r="B340" s="63"/>
      <c r="C340" s="63"/>
      <c r="D340" s="63"/>
      <c r="E340" s="63"/>
      <c r="F340" s="63"/>
      <c r="G340" s="63"/>
    </row>
    <row r="341" spans="1:7" s="63" customFormat="1" ht="14.4" x14ac:dyDescent="0.3">
      <c r="A341" s="60"/>
      <c r="B341" s="60"/>
      <c r="C341" s="60"/>
      <c r="D341" s="60"/>
      <c r="E341" s="60"/>
      <c r="F341" s="60"/>
      <c r="G341" s="60"/>
    </row>
    <row r="342" spans="1:7" s="60" customFormat="1" ht="14.4" x14ac:dyDescent="0.3">
      <c r="A342" s="63"/>
      <c r="B342" s="63"/>
      <c r="C342" s="63"/>
      <c r="D342" s="63"/>
      <c r="E342" s="63"/>
      <c r="F342" s="63"/>
      <c r="G342" s="63"/>
    </row>
    <row r="343" spans="1:7" s="63" customFormat="1" ht="14.4" x14ac:dyDescent="0.3">
      <c r="A343" s="60"/>
      <c r="B343" s="60"/>
      <c r="C343" s="60"/>
      <c r="D343" s="60"/>
      <c r="E343" s="60"/>
      <c r="F343" s="60"/>
      <c r="G343" s="60"/>
    </row>
    <row r="344" spans="1:7" ht="14.4" x14ac:dyDescent="0.3">
      <c r="A344" s="63"/>
      <c r="B344" s="63"/>
      <c r="C344" s="63"/>
      <c r="D344" s="63"/>
      <c r="E344" s="63"/>
      <c r="F344" s="63"/>
      <c r="G344" s="63"/>
    </row>
    <row r="346" spans="1:7" s="60" customFormat="1" ht="14.4" x14ac:dyDescent="0.3">
      <c r="A346"/>
      <c r="B346"/>
      <c r="C346"/>
      <c r="D346"/>
      <c r="E346"/>
      <c r="F346"/>
      <c r="G346"/>
    </row>
    <row r="347" spans="1:7" s="63" customFormat="1" ht="14.4" x14ac:dyDescent="0.3">
      <c r="A347" s="60"/>
      <c r="B347" s="60"/>
      <c r="C347" s="60"/>
      <c r="D347" s="60"/>
      <c r="E347" s="60"/>
      <c r="F347" s="60"/>
      <c r="G347" s="60"/>
    </row>
    <row r="348" spans="1:7" s="63" customFormat="1" ht="14.4" x14ac:dyDescent="0.3"/>
    <row r="349" spans="1:7" s="63" customFormat="1" ht="14.4" x14ac:dyDescent="0.3"/>
    <row r="350" spans="1:7" s="63" customFormat="1" ht="14.4" x14ac:dyDescent="0.3"/>
    <row r="351" spans="1:7" s="63" customFormat="1" ht="14.4" x14ac:dyDescent="0.3"/>
    <row r="352" spans="1:7" s="63" customFormat="1" ht="14.4" x14ac:dyDescent="0.3"/>
    <row r="353" spans="1:7" ht="14.4" x14ac:dyDescent="0.3">
      <c r="A353" s="63"/>
      <c r="B353" s="63"/>
      <c r="C353" s="63"/>
      <c r="D353" s="63"/>
      <c r="E353" s="63"/>
      <c r="F353" s="63"/>
      <c r="G353" s="63"/>
    </row>
  </sheetData>
  <mergeCells count="39">
    <mergeCell ref="A27:C27"/>
    <mergeCell ref="D27:E27"/>
    <mergeCell ref="F27:G27"/>
    <mergeCell ref="A29:G29"/>
    <mergeCell ref="A30:G30"/>
    <mergeCell ref="A24:C24"/>
    <mergeCell ref="D24:E24"/>
    <mergeCell ref="F24:G24"/>
    <mergeCell ref="A25:G25"/>
    <mergeCell ref="A26:C26"/>
    <mergeCell ref="D26:E26"/>
    <mergeCell ref="F26:G26"/>
    <mergeCell ref="A21:C21"/>
    <mergeCell ref="D21:E21"/>
    <mergeCell ref="F21:G21"/>
    <mergeCell ref="A22:G22"/>
    <mergeCell ref="A23:C23"/>
    <mergeCell ref="D23:E23"/>
    <mergeCell ref="F23:G23"/>
    <mergeCell ref="F18:G18"/>
    <mergeCell ref="A19:G19"/>
    <mergeCell ref="A20:C20"/>
    <mergeCell ref="D20:E20"/>
    <mergeCell ref="F20:G20"/>
    <mergeCell ref="A18:C18"/>
    <mergeCell ref="D18:E18"/>
    <mergeCell ref="A11:B11"/>
    <mergeCell ref="A12:B12"/>
    <mergeCell ref="A1:G7"/>
    <mergeCell ref="A9:G9"/>
    <mergeCell ref="A10:G10"/>
    <mergeCell ref="E11:F11"/>
    <mergeCell ref="E12:F12"/>
    <mergeCell ref="A13:F13"/>
    <mergeCell ref="A14:F14"/>
    <mergeCell ref="A16:G16"/>
    <mergeCell ref="A17:C17"/>
    <mergeCell ref="D17:E17"/>
    <mergeCell ref="F17:G17"/>
  </mergeCells>
  <printOptions horizontalCentered="1"/>
  <pageMargins left="0.70866141732283472" right="0.70866141732283472" top="0.86614173228346458" bottom="1.299212598425197" header="0.31496062992125984" footer="0.31496062992125984"/>
  <pageSetup paperSize="9" fitToHeight="0" orientation="portrait"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legacyDrawingHF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2034-F69D-4061-9E62-AA4AFE54A2E8}">
  <sheetPr>
    <pageSetUpPr fitToPage="1"/>
  </sheetPr>
  <dimension ref="A1:E333"/>
  <sheetViews>
    <sheetView defaultGridColor="0" view="pageBreakPreview" colorId="8" zoomScale="85" zoomScaleNormal="90" zoomScaleSheetLayoutView="85" workbookViewId="0">
      <selection activeCell="E18" sqref="E18"/>
    </sheetView>
  </sheetViews>
  <sheetFormatPr baseColWidth="10" defaultColWidth="11.44140625" defaultRowHeight="13.2" x14ac:dyDescent="0.25"/>
  <cols>
    <col min="3" max="3" width="24.44140625" customWidth="1"/>
    <col min="5" max="5" width="83.33203125" customWidth="1"/>
  </cols>
  <sheetData>
    <row r="1" spans="1:5" s="61" customFormat="1" ht="14.4" x14ac:dyDescent="0.3">
      <c r="A1" s="349" t="s">
        <v>6</v>
      </c>
      <c r="B1" s="349" t="s">
        <v>32</v>
      </c>
      <c r="C1" s="349" t="s">
        <v>33</v>
      </c>
      <c r="D1" s="349" t="s">
        <v>34</v>
      </c>
      <c r="E1" s="349" t="s">
        <v>35</v>
      </c>
    </row>
    <row r="2" spans="1:5" s="61" customFormat="1" ht="14.4" x14ac:dyDescent="0.3">
      <c r="A2" s="350" t="s">
        <v>36</v>
      </c>
      <c r="B2" s="351" t="s">
        <v>37</v>
      </c>
      <c r="C2" s="352" t="s">
        <v>38</v>
      </c>
      <c r="D2" s="353">
        <v>45209</v>
      </c>
      <c r="E2" s="351" t="s">
        <v>39</v>
      </c>
    </row>
    <row r="3" spans="1:5" s="61" customFormat="1" ht="14.4" x14ac:dyDescent="0.3">
      <c r="A3" s="350" t="s">
        <v>40</v>
      </c>
      <c r="B3" s="351" t="s">
        <v>37</v>
      </c>
      <c r="C3" s="352" t="s">
        <v>38</v>
      </c>
      <c r="D3" s="353">
        <v>45246</v>
      </c>
      <c r="E3" s="351" t="s">
        <v>41</v>
      </c>
    </row>
    <row r="4" spans="1:5" s="61" customFormat="1" ht="14.4" x14ac:dyDescent="0.3">
      <c r="A4" s="350" t="s">
        <v>42</v>
      </c>
      <c r="B4" s="351" t="s">
        <v>37</v>
      </c>
      <c r="C4" s="352" t="s">
        <v>43</v>
      </c>
      <c r="D4" s="353">
        <v>45477</v>
      </c>
      <c r="E4" s="351" t="s">
        <v>44</v>
      </c>
    </row>
    <row r="5" spans="1:5" s="61" customFormat="1" ht="15.6" customHeight="1" x14ac:dyDescent="0.3">
      <c r="A5" s="350" t="s">
        <v>45</v>
      </c>
      <c r="B5" s="351" t="s">
        <v>37</v>
      </c>
      <c r="C5" s="352" t="s">
        <v>43</v>
      </c>
      <c r="D5" s="353">
        <v>45790</v>
      </c>
      <c r="E5" s="354" t="s">
        <v>46</v>
      </c>
    </row>
    <row r="6" spans="1:5" s="61" customFormat="1" ht="16.95" customHeight="1" x14ac:dyDescent="0.3">
      <c r="A6" s="350" t="s">
        <v>47</v>
      </c>
      <c r="B6" s="351" t="s">
        <v>48</v>
      </c>
      <c r="C6" s="352" t="s">
        <v>49</v>
      </c>
      <c r="D6" s="353">
        <v>45961</v>
      </c>
      <c r="E6" s="354" t="s">
        <v>50</v>
      </c>
    </row>
    <row r="7" spans="1:5" s="61" customFormat="1" ht="39" customHeight="1" x14ac:dyDescent="0.3">
      <c r="A7" s="350" t="s">
        <v>51</v>
      </c>
      <c r="B7" s="354" t="s">
        <v>52</v>
      </c>
      <c r="C7" s="380" t="s">
        <v>53</v>
      </c>
      <c r="D7" s="353">
        <v>46006</v>
      </c>
      <c r="E7" s="354" t="s">
        <v>54</v>
      </c>
    </row>
    <row r="8" spans="1:5" s="61" customFormat="1" ht="39" customHeight="1" x14ac:dyDescent="0.3">
      <c r="A8" s="350" t="s">
        <v>9</v>
      </c>
      <c r="B8" s="351"/>
      <c r="C8" s="352"/>
      <c r="D8" s="353"/>
      <c r="E8" s="354"/>
    </row>
    <row r="9" spans="1:5" s="61" customFormat="1" ht="39" customHeight="1" x14ac:dyDescent="0.3">
      <c r="A9" s="350"/>
      <c r="B9" s="351"/>
      <c r="C9" s="352"/>
      <c r="D9" s="353"/>
      <c r="E9" s="354"/>
    </row>
    <row r="10" spans="1:5" s="61" customFormat="1" ht="39" customHeight="1" x14ac:dyDescent="0.3">
      <c r="A10" s="350"/>
      <c r="B10" s="351"/>
      <c r="C10" s="352"/>
      <c r="D10" s="353"/>
      <c r="E10" s="354"/>
    </row>
    <row r="11" spans="1:5" s="61" customFormat="1" ht="14.4" x14ac:dyDescent="0.3"/>
    <row r="12" spans="1:5" s="60" customFormat="1" ht="14.4" x14ac:dyDescent="0.3"/>
    <row r="13" spans="1:5" s="61" customFormat="1" ht="14.4" x14ac:dyDescent="0.3">
      <c r="A13" s="60"/>
      <c r="B13" s="60"/>
      <c r="C13" s="60"/>
      <c r="D13" s="60"/>
      <c r="E13" s="60"/>
    </row>
    <row r="14" spans="1:5" s="61" customFormat="1" ht="14.4" x14ac:dyDescent="0.3"/>
    <row r="15" spans="1:5" s="62" customFormat="1" ht="14.4" x14ac:dyDescent="0.3">
      <c r="A15" s="61"/>
      <c r="B15" s="61"/>
      <c r="C15" s="61"/>
      <c r="D15" s="61"/>
      <c r="E15" s="61"/>
    </row>
    <row r="16" spans="1:5" s="62" customFormat="1" ht="14.4" x14ac:dyDescent="0.3"/>
    <row r="17" spans="1:5" s="61" customFormat="1" ht="14.4" x14ac:dyDescent="0.3">
      <c r="A17" s="62"/>
      <c r="B17" s="62"/>
      <c r="C17" s="62"/>
      <c r="D17" s="62"/>
      <c r="E17" s="62"/>
    </row>
    <row r="18" spans="1:5" s="61" customFormat="1" ht="14.4" x14ac:dyDescent="0.3"/>
    <row r="19" spans="1:5" s="62" customFormat="1" ht="14.4" x14ac:dyDescent="0.3">
      <c r="A19" s="61"/>
      <c r="B19" s="61"/>
      <c r="C19" s="61"/>
      <c r="D19" s="61"/>
      <c r="E19" s="61"/>
    </row>
    <row r="20" spans="1:5" s="62" customFormat="1" ht="14.4" x14ac:dyDescent="0.3"/>
    <row r="21" spans="1:5" s="61" customFormat="1" ht="14.4" x14ac:dyDescent="0.3">
      <c r="A21" s="62"/>
      <c r="B21" s="62"/>
      <c r="C21" s="62"/>
      <c r="D21" s="62"/>
      <c r="E21" s="62"/>
    </row>
    <row r="22" spans="1:5" s="61" customFormat="1" ht="14.4" x14ac:dyDescent="0.3"/>
    <row r="23" spans="1:5" s="61" customFormat="1" ht="14.4" x14ac:dyDescent="0.3"/>
    <row r="24" spans="1:5" s="61" customFormat="1" ht="14.4" x14ac:dyDescent="0.3"/>
    <row r="25" spans="1:5" s="61" customFormat="1" ht="14.4" x14ac:dyDescent="0.3"/>
    <row r="26" spans="1:5" s="61" customFormat="1" ht="14.4" x14ac:dyDescent="0.3"/>
    <row r="27" spans="1:5" s="61" customFormat="1" ht="14.4" x14ac:dyDescent="0.3"/>
    <row r="28" spans="1:5" s="61" customFormat="1" ht="14.4" x14ac:dyDescent="0.3"/>
    <row r="29" spans="1:5" s="61" customFormat="1" ht="14.4" x14ac:dyDescent="0.3"/>
    <row r="30" spans="1:5" s="61" customFormat="1" ht="14.4" x14ac:dyDescent="0.3"/>
    <row r="31" spans="1:5" s="61" customFormat="1" ht="14.4" x14ac:dyDescent="0.3"/>
    <row r="32" spans="1:5" s="61" customFormat="1" ht="14.4" x14ac:dyDescent="0.3"/>
    <row r="33" spans="1:5" s="61" customFormat="1" ht="14.4" x14ac:dyDescent="0.3"/>
    <row r="34" spans="1:5" s="61" customFormat="1" ht="14.4" x14ac:dyDescent="0.3"/>
    <row r="35" spans="1:5" s="61" customFormat="1" ht="14.4" x14ac:dyDescent="0.3"/>
    <row r="36" spans="1:5" s="61" customFormat="1" ht="14.4" x14ac:dyDescent="0.3"/>
    <row r="37" spans="1:5" s="61" customFormat="1" ht="14.4" x14ac:dyDescent="0.3"/>
    <row r="38" spans="1:5" s="61" customFormat="1" ht="14.4" x14ac:dyDescent="0.3"/>
    <row r="39" spans="1:5" s="61" customFormat="1" ht="14.4" x14ac:dyDescent="0.3"/>
    <row r="40" spans="1:5" s="61" customFormat="1" ht="14.4" x14ac:dyDescent="0.3"/>
    <row r="41" spans="1:5" s="60" customFormat="1" ht="14.4" x14ac:dyDescent="0.3">
      <c r="A41" s="61"/>
      <c r="B41" s="61"/>
      <c r="C41" s="61"/>
      <c r="D41" s="61"/>
      <c r="E41" s="61"/>
    </row>
    <row r="42" spans="1:5" s="61" customFormat="1" ht="14.4" x14ac:dyDescent="0.3">
      <c r="A42" s="60"/>
      <c r="B42" s="60"/>
      <c r="C42" s="60"/>
      <c r="D42" s="60"/>
      <c r="E42" s="60"/>
    </row>
    <row r="43" spans="1:5" s="61" customFormat="1" ht="14.4" x14ac:dyDescent="0.3"/>
    <row r="44" spans="1:5" s="61" customFormat="1" ht="14.4" x14ac:dyDescent="0.3"/>
    <row r="45" spans="1:5" s="61" customFormat="1" ht="14.4" x14ac:dyDescent="0.3"/>
    <row r="46" spans="1:5" s="61" customFormat="1" ht="14.4" x14ac:dyDescent="0.3"/>
    <row r="47" spans="1:5" s="61" customFormat="1" ht="14.4" x14ac:dyDescent="0.3"/>
    <row r="48" spans="1:5" s="61" customFormat="1" ht="14.4" x14ac:dyDescent="0.3"/>
    <row r="49" spans="1:5" s="61" customFormat="1" ht="14.4" x14ac:dyDescent="0.3"/>
    <row r="50" spans="1:5" s="61" customFormat="1" ht="14.4" x14ac:dyDescent="0.3"/>
    <row r="51" spans="1:5" s="61" customFormat="1" ht="14.4" x14ac:dyDescent="0.3"/>
    <row r="52" spans="1:5" s="61" customFormat="1" ht="14.4" x14ac:dyDescent="0.3"/>
    <row r="53" spans="1:5" s="61" customFormat="1" ht="14.4" x14ac:dyDescent="0.3"/>
    <row r="54" spans="1:5" s="61" customFormat="1" ht="14.4" x14ac:dyDescent="0.3"/>
    <row r="55" spans="1:5" s="61" customFormat="1" ht="14.4" x14ac:dyDescent="0.3"/>
    <row r="56" spans="1:5" s="61" customFormat="1" ht="14.4" x14ac:dyDescent="0.3"/>
    <row r="57" spans="1:5" s="61" customFormat="1" ht="14.4" x14ac:dyDescent="0.3"/>
    <row r="58" spans="1:5" s="61" customFormat="1" ht="14.4" x14ac:dyDescent="0.3"/>
    <row r="59" spans="1:5" s="63" customFormat="1" ht="14.4" x14ac:dyDescent="0.3">
      <c r="A59" s="61"/>
      <c r="B59" s="61"/>
      <c r="C59" s="61"/>
      <c r="D59" s="61"/>
      <c r="E59" s="61"/>
    </row>
    <row r="60" spans="1:5" s="60" customFormat="1" ht="14.4" x14ac:dyDescent="0.3">
      <c r="A60" s="63"/>
      <c r="B60" s="63"/>
      <c r="C60" s="63"/>
      <c r="D60" s="63"/>
      <c r="E60" s="63"/>
    </row>
    <row r="61" spans="1:5" s="61" customFormat="1" ht="14.4" x14ac:dyDescent="0.3">
      <c r="A61" s="60"/>
      <c r="B61" s="60"/>
      <c r="C61" s="60"/>
      <c r="D61" s="60"/>
      <c r="E61" s="60"/>
    </row>
    <row r="62" spans="1:5" s="61" customFormat="1" ht="14.4" x14ac:dyDescent="0.3"/>
    <row r="63" spans="1:5" s="61" customFormat="1" ht="14.4" x14ac:dyDescent="0.3"/>
    <row r="64" spans="1:5" s="61" customFormat="1" ht="14.4" x14ac:dyDescent="0.3"/>
    <row r="65" s="61" customFormat="1" ht="14.4" x14ac:dyDescent="0.3"/>
    <row r="66" s="61" customFormat="1" ht="14.4" x14ac:dyDescent="0.3"/>
    <row r="67" s="61" customFormat="1" ht="14.4" x14ac:dyDescent="0.3"/>
    <row r="68" s="61" customFormat="1" ht="14.4" x14ac:dyDescent="0.3"/>
    <row r="69" s="61" customFormat="1" ht="14.4" x14ac:dyDescent="0.3"/>
    <row r="70" s="61" customFormat="1" ht="14.4" x14ac:dyDescent="0.3"/>
    <row r="71" s="61" customFormat="1" ht="14.4" x14ac:dyDescent="0.3"/>
    <row r="72" s="61" customFormat="1" ht="14.4" x14ac:dyDescent="0.3"/>
    <row r="73" s="61" customFormat="1" ht="14.4" x14ac:dyDescent="0.3"/>
    <row r="74" s="61" customFormat="1" ht="14.4" x14ac:dyDescent="0.3"/>
    <row r="75" s="61" customFormat="1" ht="14.4" x14ac:dyDescent="0.3"/>
    <row r="76" s="61" customFormat="1" ht="14.4" x14ac:dyDescent="0.3"/>
    <row r="77" s="61" customFormat="1" ht="14.4" x14ac:dyDescent="0.3"/>
    <row r="78" s="61" customFormat="1" ht="14.4" x14ac:dyDescent="0.3"/>
    <row r="79" s="61" customFormat="1" ht="14.4" x14ac:dyDescent="0.3"/>
    <row r="80" s="61" customFormat="1" ht="14.4" x14ac:dyDescent="0.3"/>
    <row r="81" spans="1:5" s="60" customFormat="1" ht="14.4" x14ac:dyDescent="0.3">
      <c r="A81" s="61"/>
      <c r="B81" s="61"/>
      <c r="C81" s="61"/>
      <c r="D81" s="61"/>
      <c r="E81" s="61"/>
    </row>
    <row r="82" spans="1:5" s="61" customFormat="1" ht="14.4" x14ac:dyDescent="0.3">
      <c r="A82" s="60"/>
      <c r="B82" s="60"/>
      <c r="C82" s="60"/>
      <c r="D82" s="60"/>
      <c r="E82" s="60"/>
    </row>
    <row r="83" spans="1:5" s="61" customFormat="1" ht="14.4" x14ac:dyDescent="0.3"/>
    <row r="84" spans="1:5" s="61" customFormat="1" ht="14.4" x14ac:dyDescent="0.3"/>
    <row r="85" spans="1:5" s="61" customFormat="1" ht="14.4" x14ac:dyDescent="0.3"/>
    <row r="86" spans="1:5" s="61" customFormat="1" ht="14.4" x14ac:dyDescent="0.3"/>
    <row r="87" spans="1:5" s="61" customFormat="1" ht="14.4" x14ac:dyDescent="0.3"/>
    <row r="88" spans="1:5" s="61" customFormat="1" ht="14.4" x14ac:dyDescent="0.3"/>
    <row r="89" spans="1:5" s="61" customFormat="1" ht="14.4" x14ac:dyDescent="0.3"/>
    <row r="90" spans="1:5" s="61" customFormat="1" ht="14.4" x14ac:dyDescent="0.3"/>
    <row r="91" spans="1:5" s="61" customFormat="1" ht="14.4" x14ac:dyDescent="0.3"/>
    <row r="92" spans="1:5" s="61" customFormat="1" ht="14.4" x14ac:dyDescent="0.3"/>
    <row r="93" spans="1:5" s="61" customFormat="1" ht="14.4" x14ac:dyDescent="0.3"/>
    <row r="94" spans="1:5" s="61" customFormat="1" ht="14.4" x14ac:dyDescent="0.3"/>
    <row r="95" spans="1:5" s="61" customFormat="1" ht="14.4" x14ac:dyDescent="0.3"/>
    <row r="96" spans="1:5" s="61" customFormat="1" ht="14.4" x14ac:dyDescent="0.3"/>
    <row r="97" s="61" customFormat="1" ht="14.4" x14ac:dyDescent="0.3"/>
    <row r="98" s="61" customFormat="1" ht="14.4" x14ac:dyDescent="0.3"/>
    <row r="99" s="61" customFormat="1" ht="14.4" x14ac:dyDescent="0.3"/>
    <row r="100" s="61" customFormat="1" ht="14.4" x14ac:dyDescent="0.3"/>
    <row r="101" s="61" customFormat="1" ht="14.4" x14ac:dyDescent="0.3"/>
    <row r="102" s="61" customFormat="1" ht="14.4" x14ac:dyDescent="0.3"/>
    <row r="103" s="61" customFormat="1" ht="14.4" x14ac:dyDescent="0.3"/>
    <row r="104" s="61" customFormat="1" ht="14.4" x14ac:dyDescent="0.3"/>
    <row r="105" s="61" customFormat="1" ht="14.4" x14ac:dyDescent="0.3"/>
    <row r="106" s="61" customFormat="1" ht="14.4" x14ac:dyDescent="0.3"/>
    <row r="107" s="61" customFormat="1" ht="14.4" x14ac:dyDescent="0.3"/>
    <row r="108" s="61" customFormat="1" ht="14.4" x14ac:dyDescent="0.3"/>
    <row r="109" s="61" customFormat="1" ht="14.4" x14ac:dyDescent="0.3"/>
    <row r="110" s="61" customFormat="1" ht="14.4" x14ac:dyDescent="0.3"/>
    <row r="111" s="61" customFormat="1" ht="14.4" x14ac:dyDescent="0.3"/>
    <row r="112" s="61" customFormat="1" ht="14.4" x14ac:dyDescent="0.3"/>
    <row r="113" s="61" customFormat="1" ht="14.4" x14ac:dyDescent="0.3"/>
    <row r="114" s="61" customFormat="1" ht="14.4" x14ac:dyDescent="0.3"/>
    <row r="115" s="61" customFormat="1" ht="14.4" x14ac:dyDescent="0.3"/>
    <row r="116" s="61" customFormat="1" ht="14.4" x14ac:dyDescent="0.3"/>
    <row r="117" s="61" customFormat="1" ht="14.4" x14ac:dyDescent="0.3"/>
    <row r="118" s="61" customFormat="1" ht="14.4" x14ac:dyDescent="0.3"/>
    <row r="119" s="61" customFormat="1" ht="14.4" x14ac:dyDescent="0.3"/>
    <row r="120" s="61" customFormat="1" ht="14.4" x14ac:dyDescent="0.3"/>
    <row r="121" s="61" customFormat="1" ht="14.4" x14ac:dyDescent="0.3"/>
    <row r="122" s="61" customFormat="1" ht="14.4" x14ac:dyDescent="0.3"/>
    <row r="123" s="61" customFormat="1" ht="14.4" x14ac:dyDescent="0.3"/>
    <row r="124" s="61" customFormat="1" ht="14.4" x14ac:dyDescent="0.3"/>
    <row r="125" s="61" customFormat="1" ht="14.4" x14ac:dyDescent="0.3"/>
    <row r="126" s="61" customFormat="1" ht="14.4" x14ac:dyDescent="0.3"/>
    <row r="127" s="61" customFormat="1" ht="14.4" x14ac:dyDescent="0.3"/>
    <row r="128" s="61" customFormat="1" ht="14.4" x14ac:dyDescent="0.3"/>
    <row r="129" s="61" customFormat="1" ht="14.4" x14ac:dyDescent="0.3"/>
    <row r="130" s="61" customFormat="1" ht="14.4" x14ac:dyDescent="0.3"/>
    <row r="131" s="61" customFormat="1" ht="14.4" x14ac:dyDescent="0.3"/>
    <row r="132" s="61" customFormat="1" ht="14.4" x14ac:dyDescent="0.3"/>
    <row r="133" s="61" customFormat="1" ht="14.4" x14ac:dyDescent="0.3"/>
    <row r="134" s="61" customFormat="1" ht="14.4" x14ac:dyDescent="0.3"/>
    <row r="135" s="61" customFormat="1" ht="14.4" x14ac:dyDescent="0.3"/>
    <row r="136" s="61" customFormat="1" ht="14.4" x14ac:dyDescent="0.3"/>
    <row r="137" s="61" customFormat="1" ht="14.4" x14ac:dyDescent="0.3"/>
    <row r="138" s="61" customFormat="1" ht="14.4" x14ac:dyDescent="0.3"/>
    <row r="139" s="61" customFormat="1" ht="14.4" x14ac:dyDescent="0.3"/>
    <row r="140" s="61" customFormat="1" ht="14.4" x14ac:dyDescent="0.3"/>
    <row r="141" s="61" customFormat="1" ht="14.4" x14ac:dyDescent="0.3"/>
    <row r="142" s="61" customFormat="1" ht="14.4" x14ac:dyDescent="0.3"/>
    <row r="143" s="61" customFormat="1" ht="14.4" x14ac:dyDescent="0.3"/>
    <row r="144" s="61" customFormat="1" ht="14.4" x14ac:dyDescent="0.3"/>
    <row r="145" s="61" customFormat="1" ht="14.4" x14ac:dyDescent="0.3"/>
    <row r="146" s="61" customFormat="1" ht="14.4" x14ac:dyDescent="0.3"/>
    <row r="147" s="61" customFormat="1" ht="14.4" x14ac:dyDescent="0.3"/>
    <row r="148" s="61" customFormat="1" ht="14.4" x14ac:dyDescent="0.3"/>
    <row r="149" s="61" customFormat="1" ht="14.4" x14ac:dyDescent="0.3"/>
    <row r="150" s="61" customFormat="1" ht="14.4" x14ac:dyDescent="0.3"/>
    <row r="151" s="61" customFormat="1" ht="14.4" x14ac:dyDescent="0.3"/>
    <row r="152" s="61" customFormat="1" ht="14.4" x14ac:dyDescent="0.3"/>
    <row r="153" s="61" customFormat="1" ht="14.4" x14ac:dyDescent="0.3"/>
    <row r="154" s="61" customFormat="1" ht="14.4" x14ac:dyDescent="0.3"/>
    <row r="155" s="61" customFormat="1" ht="14.4" x14ac:dyDescent="0.3"/>
    <row r="156" s="61" customFormat="1" ht="14.4" x14ac:dyDescent="0.3"/>
    <row r="157" s="61" customFormat="1" ht="14.4" x14ac:dyDescent="0.3"/>
    <row r="158" s="61" customFormat="1" ht="14.4" x14ac:dyDescent="0.3"/>
    <row r="159" s="61" customFormat="1" ht="14.4" x14ac:dyDescent="0.3"/>
    <row r="160" s="61" customFormat="1" ht="14.4" x14ac:dyDescent="0.3"/>
    <row r="161" s="61" customFormat="1" ht="14.4" x14ac:dyDescent="0.3"/>
    <row r="162" s="61" customFormat="1" ht="14.4" x14ac:dyDescent="0.3"/>
    <row r="163" s="61" customFormat="1" ht="14.4" x14ac:dyDescent="0.3"/>
    <row r="164" s="61" customFormat="1" ht="14.4" x14ac:dyDescent="0.3"/>
    <row r="165" s="61" customFormat="1" ht="14.4" x14ac:dyDescent="0.3"/>
    <row r="166" s="61" customFormat="1" ht="14.4" x14ac:dyDescent="0.3"/>
    <row r="167" s="61" customFormat="1" ht="14.4" x14ac:dyDescent="0.3"/>
    <row r="168" s="61" customFormat="1" ht="14.4" x14ac:dyDescent="0.3"/>
    <row r="169" s="61" customFormat="1" ht="14.4" x14ac:dyDescent="0.3"/>
    <row r="170" s="61" customFormat="1" ht="14.4" x14ac:dyDescent="0.3"/>
    <row r="171" s="61" customFormat="1" ht="14.4" x14ac:dyDescent="0.3"/>
    <row r="172" s="61" customFormat="1" ht="14.4" x14ac:dyDescent="0.3"/>
    <row r="173" s="61" customFormat="1" ht="14.4" x14ac:dyDescent="0.3"/>
    <row r="174" s="61" customFormat="1" ht="14.4" x14ac:dyDescent="0.3"/>
    <row r="175" s="61" customFormat="1" ht="14.4" x14ac:dyDescent="0.3"/>
    <row r="176" s="61" customFormat="1" ht="14.4" x14ac:dyDescent="0.3"/>
    <row r="177" spans="1:5" s="61" customFormat="1" ht="14.4" x14ac:dyDescent="0.3"/>
    <row r="178" spans="1:5" s="61" customFormat="1" ht="14.4" x14ac:dyDescent="0.3"/>
    <row r="179" spans="1:5" s="61" customFormat="1" ht="14.4" x14ac:dyDescent="0.3"/>
    <row r="180" spans="1:5" s="61" customFormat="1" ht="14.4" x14ac:dyDescent="0.3"/>
    <row r="181" spans="1:5" s="61" customFormat="1" ht="14.4" x14ac:dyDescent="0.3"/>
    <row r="182" spans="1:5" s="61" customFormat="1" ht="14.4" x14ac:dyDescent="0.3"/>
    <row r="183" spans="1:5" s="61" customFormat="1" ht="14.4" x14ac:dyDescent="0.3"/>
    <row r="184" spans="1:5" s="61" customFormat="1" ht="14.4" x14ac:dyDescent="0.3"/>
    <row r="185" spans="1:5" s="61" customFormat="1" ht="14.4" x14ac:dyDescent="0.3"/>
    <row r="186" spans="1:5" s="61" customFormat="1" ht="14.4" x14ac:dyDescent="0.3"/>
    <row r="187" spans="1:5" s="61" customFormat="1" ht="14.4" x14ac:dyDescent="0.3"/>
    <row r="188" spans="1:5" s="61" customFormat="1" ht="14.4" x14ac:dyDescent="0.3"/>
    <row r="189" spans="1:5" s="61" customFormat="1" ht="14.4" x14ac:dyDescent="0.3"/>
    <row r="190" spans="1:5" s="60" customFormat="1" ht="14.4" x14ac:dyDescent="0.3">
      <c r="A190" s="61"/>
      <c r="B190" s="61"/>
      <c r="C190" s="61"/>
      <c r="D190" s="61"/>
      <c r="E190" s="61"/>
    </row>
    <row r="191" spans="1:5" s="61" customFormat="1" ht="14.4" x14ac:dyDescent="0.3">
      <c r="A191" s="60"/>
      <c r="B191" s="60"/>
      <c r="C191" s="60"/>
      <c r="D191" s="60"/>
      <c r="E191" s="60"/>
    </row>
    <row r="192" spans="1:5" s="61" customFormat="1" ht="14.4" x14ac:dyDescent="0.3"/>
    <row r="193" spans="1:5" s="61" customFormat="1" ht="14.4" x14ac:dyDescent="0.3"/>
    <row r="194" spans="1:5" s="61" customFormat="1" ht="14.4" x14ac:dyDescent="0.3"/>
    <row r="195" spans="1:5" s="61" customFormat="1" ht="14.4" x14ac:dyDescent="0.3"/>
    <row r="196" spans="1:5" s="61" customFormat="1" ht="14.4" x14ac:dyDescent="0.3"/>
    <row r="197" spans="1:5" s="61" customFormat="1" ht="14.4" x14ac:dyDescent="0.3"/>
    <row r="198" spans="1:5" s="61" customFormat="1" ht="14.4" x14ac:dyDescent="0.3"/>
    <row r="199" spans="1:5" s="61" customFormat="1" ht="14.4" x14ac:dyDescent="0.3"/>
    <row r="200" spans="1:5" s="61" customFormat="1" ht="14.4" x14ac:dyDescent="0.3"/>
    <row r="201" spans="1:5" s="61" customFormat="1" ht="14.4" x14ac:dyDescent="0.3"/>
    <row r="202" spans="1:5" s="61" customFormat="1" ht="14.4" x14ac:dyDescent="0.3"/>
    <row r="203" spans="1:5" s="60" customFormat="1" ht="14.4" x14ac:dyDescent="0.3">
      <c r="A203" s="61"/>
      <c r="B203" s="61"/>
      <c r="C203" s="61"/>
      <c r="D203" s="61"/>
      <c r="E203" s="61"/>
    </row>
    <row r="204" spans="1:5" s="61" customFormat="1" ht="14.4" x14ac:dyDescent="0.3">
      <c r="A204" s="60"/>
      <c r="B204" s="60"/>
      <c r="C204" s="60"/>
      <c r="D204" s="60"/>
      <c r="E204" s="60"/>
    </row>
    <row r="205" spans="1:5" s="61" customFormat="1" ht="14.4" x14ac:dyDescent="0.3"/>
    <row r="206" spans="1:5" s="61" customFormat="1" ht="14.4" x14ac:dyDescent="0.3"/>
    <row r="207" spans="1:5" s="61" customFormat="1" ht="14.4" x14ac:dyDescent="0.3"/>
    <row r="208" spans="1:5" s="60" customFormat="1" ht="14.4" x14ac:dyDescent="0.3">
      <c r="A208" s="61"/>
      <c r="B208" s="61"/>
      <c r="C208" s="61"/>
      <c r="D208" s="61"/>
      <c r="E208" s="61"/>
    </row>
    <row r="209" spans="1:5" s="61" customFormat="1" ht="14.4" x14ac:dyDescent="0.3">
      <c r="A209" s="60"/>
      <c r="B209" s="60"/>
      <c r="C209" s="60"/>
      <c r="D209" s="60"/>
      <c r="E209" s="60"/>
    </row>
    <row r="210" spans="1:5" s="61" customFormat="1" ht="14.4" x14ac:dyDescent="0.3"/>
    <row r="211" spans="1:5" s="61" customFormat="1" ht="14.4" x14ac:dyDescent="0.3"/>
    <row r="212" spans="1:5" s="61" customFormat="1" ht="14.4" x14ac:dyDescent="0.3"/>
    <row r="213" spans="1:5" s="61" customFormat="1" ht="14.4" x14ac:dyDescent="0.3"/>
    <row r="214" spans="1:5" s="60" customFormat="1" ht="14.4" x14ac:dyDescent="0.3">
      <c r="A214" s="61"/>
      <c r="B214" s="61"/>
      <c r="C214" s="61"/>
      <c r="D214" s="61"/>
      <c r="E214" s="61"/>
    </row>
    <row r="215" spans="1:5" s="61" customFormat="1" ht="14.4" x14ac:dyDescent="0.3">
      <c r="A215" s="60"/>
      <c r="B215" s="60"/>
      <c r="C215" s="60"/>
      <c r="D215" s="60"/>
      <c r="E215" s="60"/>
    </row>
    <row r="216" spans="1:5" s="61" customFormat="1" ht="14.4" x14ac:dyDescent="0.3"/>
    <row r="217" spans="1:5" s="61" customFormat="1" ht="14.4" x14ac:dyDescent="0.3"/>
    <row r="218" spans="1:5" s="61" customFormat="1" ht="14.4" x14ac:dyDescent="0.3"/>
    <row r="219" spans="1:5" s="61" customFormat="1" ht="14.4" x14ac:dyDescent="0.3"/>
    <row r="220" spans="1:5" s="61" customFormat="1" ht="14.4" x14ac:dyDescent="0.3"/>
    <row r="221" spans="1:5" s="61" customFormat="1" ht="14.4" x14ac:dyDescent="0.3"/>
    <row r="222" spans="1:5" s="61" customFormat="1" ht="14.4" x14ac:dyDescent="0.3"/>
    <row r="223" spans="1:5" s="61" customFormat="1" ht="14.4" x14ac:dyDescent="0.3"/>
    <row r="224" spans="1:5" s="61" customFormat="1" ht="14.4" x14ac:dyDescent="0.3"/>
    <row r="225" spans="1:5" s="61" customFormat="1" ht="14.4" x14ac:dyDescent="0.3"/>
    <row r="226" spans="1:5" s="61" customFormat="1" ht="14.4" x14ac:dyDescent="0.3"/>
    <row r="227" spans="1:5" s="61" customFormat="1" ht="14.4" x14ac:dyDescent="0.3"/>
    <row r="228" spans="1:5" s="61" customFormat="1" ht="14.4" x14ac:dyDescent="0.3"/>
    <row r="229" spans="1:5" s="61" customFormat="1" ht="14.4" x14ac:dyDescent="0.3"/>
    <row r="230" spans="1:5" s="61" customFormat="1" ht="14.4" x14ac:dyDescent="0.3"/>
    <row r="231" spans="1:5" s="61" customFormat="1" ht="14.4" x14ac:dyDescent="0.3"/>
    <row r="232" spans="1:5" s="61" customFormat="1" ht="14.4" x14ac:dyDescent="0.3"/>
    <row r="233" spans="1:5" s="61" customFormat="1" ht="14.4" x14ac:dyDescent="0.3"/>
    <row r="234" spans="1:5" s="61" customFormat="1" ht="14.4" x14ac:dyDescent="0.3"/>
    <row r="235" spans="1:5" s="60" customFormat="1" ht="14.4" x14ac:dyDescent="0.3">
      <c r="A235" s="61"/>
      <c r="B235" s="61"/>
      <c r="C235" s="61"/>
      <c r="D235" s="61"/>
      <c r="E235" s="61"/>
    </row>
    <row r="236" spans="1:5" s="61" customFormat="1" ht="14.4" x14ac:dyDescent="0.3">
      <c r="A236" s="60"/>
      <c r="B236" s="60"/>
      <c r="C236" s="60"/>
      <c r="D236" s="60"/>
      <c r="E236" s="60"/>
    </row>
    <row r="237" spans="1:5" s="60" customFormat="1" ht="14.4" x14ac:dyDescent="0.3">
      <c r="A237" s="61"/>
      <c r="B237" s="61"/>
      <c r="C237" s="61"/>
      <c r="D237" s="61"/>
      <c r="E237" s="61"/>
    </row>
    <row r="238" spans="1:5" s="63" customFormat="1" ht="14.4" x14ac:dyDescent="0.3">
      <c r="A238" s="60"/>
      <c r="B238" s="60"/>
      <c r="C238" s="60"/>
      <c r="D238" s="60"/>
      <c r="E238" s="60"/>
    </row>
    <row r="239" spans="1:5" s="63" customFormat="1" ht="14.4" x14ac:dyDescent="0.3"/>
    <row r="240" spans="1:5" s="63" customFormat="1" ht="14.4" x14ac:dyDescent="0.3"/>
    <row r="241" s="63" customFormat="1" ht="14.4" x14ac:dyDescent="0.3"/>
    <row r="242" s="63" customFormat="1" ht="14.4" x14ac:dyDescent="0.3"/>
    <row r="243" s="63" customFormat="1" ht="14.4" x14ac:dyDescent="0.3"/>
    <row r="244" s="63" customFormat="1" ht="14.4" x14ac:dyDescent="0.3"/>
    <row r="245" s="63" customFormat="1" ht="14.4" x14ac:dyDescent="0.3"/>
    <row r="246" s="63" customFormat="1" ht="14.4" x14ac:dyDescent="0.3"/>
    <row r="247" s="63" customFormat="1" ht="14.4" x14ac:dyDescent="0.3"/>
    <row r="248" s="63" customFormat="1" ht="14.4" x14ac:dyDescent="0.3"/>
    <row r="249" s="63" customFormat="1" ht="14.4" x14ac:dyDescent="0.3"/>
    <row r="250" s="63" customFormat="1" ht="14.4" x14ac:dyDescent="0.3"/>
    <row r="251" s="63" customFormat="1" ht="14.4" x14ac:dyDescent="0.3"/>
    <row r="252" s="63" customFormat="1" ht="14.4" x14ac:dyDescent="0.3"/>
    <row r="253" s="63" customFormat="1" ht="14.4" x14ac:dyDescent="0.3"/>
    <row r="254" s="63" customFormat="1" ht="14.4" x14ac:dyDescent="0.3"/>
    <row r="255" s="63" customFormat="1" ht="14.4" x14ac:dyDescent="0.3"/>
    <row r="256" s="63" customFormat="1" ht="14.4" x14ac:dyDescent="0.3"/>
    <row r="257" spans="1:5" s="63" customFormat="1" ht="14.4" x14ac:dyDescent="0.3"/>
    <row r="258" spans="1:5" s="63" customFormat="1" ht="14.4" x14ac:dyDescent="0.3"/>
    <row r="259" spans="1:5" s="63" customFormat="1" ht="14.4" x14ac:dyDescent="0.3"/>
    <row r="260" spans="1:5" s="63" customFormat="1" ht="14.4" x14ac:dyDescent="0.3"/>
    <row r="261" spans="1:5" s="63" customFormat="1" ht="14.4" x14ac:dyDescent="0.3"/>
    <row r="262" spans="1:5" s="60" customFormat="1" ht="14.4" x14ac:dyDescent="0.3">
      <c r="A262" s="63"/>
      <c r="B262" s="63"/>
      <c r="C262" s="63"/>
      <c r="D262" s="63"/>
      <c r="E262" s="63"/>
    </row>
    <row r="263" spans="1:5" s="63" customFormat="1" ht="14.4" x14ac:dyDescent="0.3">
      <c r="A263" s="60"/>
      <c r="B263" s="60"/>
      <c r="C263" s="60"/>
      <c r="D263" s="60"/>
      <c r="E263" s="60"/>
    </row>
    <row r="264" spans="1:5" s="63" customFormat="1" ht="14.4" x14ac:dyDescent="0.3"/>
    <row r="265" spans="1:5" s="63" customFormat="1" ht="14.4" x14ac:dyDescent="0.3"/>
    <row r="266" spans="1:5" s="63" customFormat="1" ht="14.4" x14ac:dyDescent="0.3"/>
    <row r="267" spans="1:5" s="63" customFormat="1" ht="14.4" x14ac:dyDescent="0.3"/>
    <row r="268" spans="1:5" s="63" customFormat="1" ht="14.4" x14ac:dyDescent="0.3"/>
    <row r="269" spans="1:5" s="60" customFormat="1" ht="14.4" x14ac:dyDescent="0.3">
      <c r="A269" s="63"/>
      <c r="B269" s="63"/>
      <c r="C269" s="63"/>
      <c r="D269" s="63"/>
      <c r="E269" s="63"/>
    </row>
    <row r="270" spans="1:5" s="61" customFormat="1" ht="14.4" x14ac:dyDescent="0.3">
      <c r="A270" s="60"/>
      <c r="B270" s="60"/>
      <c r="C270" s="60"/>
      <c r="D270" s="60"/>
      <c r="E270" s="60"/>
    </row>
    <row r="271" spans="1:5" s="61" customFormat="1" ht="14.4" x14ac:dyDescent="0.3"/>
    <row r="272" spans="1:5" s="60" customFormat="1" ht="14.4" x14ac:dyDescent="0.3">
      <c r="A272" s="61"/>
      <c r="B272" s="61"/>
      <c r="C272" s="61"/>
      <c r="D272" s="61"/>
      <c r="E272" s="61"/>
    </row>
    <row r="273" spans="1:5" s="61" customFormat="1" ht="14.4" x14ac:dyDescent="0.3">
      <c r="A273" s="60"/>
      <c r="B273" s="60"/>
      <c r="C273" s="60"/>
      <c r="D273" s="60"/>
      <c r="E273" s="60"/>
    </row>
    <row r="274" spans="1:5" s="61" customFormat="1" ht="14.4" x14ac:dyDescent="0.3"/>
    <row r="275" spans="1:5" s="61" customFormat="1" ht="14.4" x14ac:dyDescent="0.3"/>
    <row r="276" spans="1:5" s="61" customFormat="1" ht="14.4" x14ac:dyDescent="0.3"/>
    <row r="277" spans="1:5" s="61" customFormat="1" ht="14.4" x14ac:dyDescent="0.3"/>
    <row r="278" spans="1:5" s="61" customFormat="1" ht="14.4" x14ac:dyDescent="0.3"/>
    <row r="279" spans="1:5" s="61" customFormat="1" ht="14.4" x14ac:dyDescent="0.3"/>
    <row r="280" spans="1:5" s="61" customFormat="1" ht="14.4" x14ac:dyDescent="0.3"/>
    <row r="281" spans="1:5" s="61" customFormat="1" ht="14.4" x14ac:dyDescent="0.3"/>
    <row r="282" spans="1:5" s="61" customFormat="1" ht="14.4" x14ac:dyDescent="0.3"/>
    <row r="283" spans="1:5" s="61" customFormat="1" ht="14.4" x14ac:dyDescent="0.3"/>
    <row r="284" spans="1:5" s="61" customFormat="1" ht="14.4" x14ac:dyDescent="0.3"/>
    <row r="285" spans="1:5" s="60" customFormat="1" ht="14.4" x14ac:dyDescent="0.3">
      <c r="A285" s="61"/>
      <c r="B285" s="61"/>
      <c r="C285" s="61"/>
      <c r="D285" s="61"/>
      <c r="E285" s="61"/>
    </row>
    <row r="286" spans="1:5" s="61" customFormat="1" ht="14.4" x14ac:dyDescent="0.3">
      <c r="A286" s="60"/>
      <c r="B286" s="60"/>
      <c r="C286" s="60"/>
      <c r="D286" s="60"/>
      <c r="E286" s="60"/>
    </row>
    <row r="287" spans="1:5" s="61" customFormat="1" ht="14.4" x14ac:dyDescent="0.3"/>
    <row r="288" spans="1:5" s="61" customFormat="1" ht="14.4" x14ac:dyDescent="0.3"/>
    <row r="289" spans="1:5" s="60" customFormat="1" ht="14.4" x14ac:dyDescent="0.3">
      <c r="A289" s="61"/>
      <c r="B289" s="61"/>
      <c r="C289" s="61"/>
      <c r="D289" s="61"/>
      <c r="E289" s="61"/>
    </row>
    <row r="290" spans="1:5" s="61" customFormat="1" ht="14.4" x14ac:dyDescent="0.3">
      <c r="A290" s="60"/>
      <c r="B290" s="60"/>
      <c r="C290" s="60"/>
      <c r="D290" s="60"/>
      <c r="E290" s="60"/>
    </row>
    <row r="291" spans="1:5" s="60" customFormat="1" ht="14.4" x14ac:dyDescent="0.3">
      <c r="A291" s="61"/>
      <c r="B291" s="61"/>
      <c r="C291" s="61"/>
      <c r="D291" s="61"/>
      <c r="E291" s="61"/>
    </row>
    <row r="292" spans="1:5" s="63" customFormat="1" ht="14.4" x14ac:dyDescent="0.3">
      <c r="A292" s="60"/>
      <c r="B292" s="60"/>
      <c r="C292" s="60"/>
      <c r="D292" s="60"/>
      <c r="E292" s="60"/>
    </row>
    <row r="293" spans="1:5" s="61" customFormat="1" ht="14.4" x14ac:dyDescent="0.3">
      <c r="A293" s="63"/>
      <c r="B293" s="63"/>
      <c r="C293" s="63"/>
      <c r="D293" s="63"/>
      <c r="E293" s="63"/>
    </row>
    <row r="294" spans="1:5" s="61" customFormat="1" ht="14.4" x14ac:dyDescent="0.3"/>
    <row r="295" spans="1:5" s="61" customFormat="1" ht="14.4" x14ac:dyDescent="0.3"/>
    <row r="296" spans="1:5" s="61" customFormat="1" ht="14.4" x14ac:dyDescent="0.3"/>
    <row r="297" spans="1:5" s="60" customFormat="1" ht="14.4" x14ac:dyDescent="0.3">
      <c r="A297" s="61"/>
      <c r="B297" s="61"/>
      <c r="C297" s="61"/>
      <c r="D297" s="61"/>
      <c r="E297" s="61"/>
    </row>
    <row r="298" spans="1:5" s="63" customFormat="1" ht="14.4" x14ac:dyDescent="0.3">
      <c r="A298" s="60"/>
      <c r="B298" s="60"/>
      <c r="C298" s="60"/>
      <c r="D298" s="60"/>
      <c r="E298" s="60"/>
    </row>
    <row r="299" spans="1:5" s="61" customFormat="1" ht="14.4" x14ac:dyDescent="0.3">
      <c r="A299" s="63"/>
      <c r="B299" s="63"/>
      <c r="C299" s="63"/>
      <c r="D299" s="63"/>
      <c r="E299" s="63"/>
    </row>
    <row r="300" spans="1:5" s="61" customFormat="1" ht="14.4" x14ac:dyDescent="0.3"/>
    <row r="301" spans="1:5" s="61" customFormat="1" ht="14.4" x14ac:dyDescent="0.3"/>
    <row r="302" spans="1:5" s="61" customFormat="1" ht="14.4" x14ac:dyDescent="0.3"/>
    <row r="303" spans="1:5" s="61" customFormat="1" ht="14.4" x14ac:dyDescent="0.3"/>
    <row r="304" spans="1:5" s="61" customFormat="1" ht="14.4" x14ac:dyDescent="0.3"/>
    <row r="305" spans="1:5" s="61" customFormat="1" ht="14.4" x14ac:dyDescent="0.3"/>
    <row r="306" spans="1:5" s="61" customFormat="1" ht="14.4" x14ac:dyDescent="0.3"/>
    <row r="307" spans="1:5" s="60" customFormat="1" ht="14.4" x14ac:dyDescent="0.3">
      <c r="A307" s="61"/>
      <c r="B307" s="61"/>
      <c r="C307" s="61"/>
      <c r="D307" s="61"/>
      <c r="E307" s="61"/>
    </row>
    <row r="308" spans="1:5" s="63" customFormat="1" ht="14.4" x14ac:dyDescent="0.3">
      <c r="A308" s="60"/>
      <c r="B308" s="60"/>
      <c r="C308" s="60"/>
      <c r="D308" s="60"/>
      <c r="E308" s="60"/>
    </row>
    <row r="309" spans="1:5" s="63" customFormat="1" ht="14.4" x14ac:dyDescent="0.3"/>
    <row r="310" spans="1:5" s="63" customFormat="1" ht="14.4" x14ac:dyDescent="0.3"/>
    <row r="311" spans="1:5" s="61" customFormat="1" ht="14.4" x14ac:dyDescent="0.3">
      <c r="A311" s="63"/>
      <c r="B311" s="63"/>
      <c r="C311" s="63"/>
      <c r="D311" s="63"/>
      <c r="E311" s="63"/>
    </row>
    <row r="312" spans="1:5" s="61" customFormat="1" ht="14.4" x14ac:dyDescent="0.3"/>
    <row r="313" spans="1:5" s="60" customFormat="1" ht="14.4" x14ac:dyDescent="0.3">
      <c r="A313" s="61"/>
      <c r="B313" s="61"/>
      <c r="C313" s="61"/>
      <c r="D313" s="61"/>
      <c r="E313" s="61"/>
    </row>
    <row r="314" spans="1:5" s="63" customFormat="1" ht="14.4" x14ac:dyDescent="0.3">
      <c r="A314" s="60"/>
      <c r="B314" s="60"/>
      <c r="C314" s="60"/>
      <c r="D314" s="60"/>
      <c r="E314" s="60"/>
    </row>
    <row r="315" spans="1:5" s="63" customFormat="1" ht="14.4" x14ac:dyDescent="0.3"/>
    <row r="316" spans="1:5" s="63" customFormat="1" ht="14.4" x14ac:dyDescent="0.3"/>
    <row r="317" spans="1:5" s="63" customFormat="1" ht="14.4" x14ac:dyDescent="0.3"/>
    <row r="318" spans="1:5" s="60" customFormat="1" ht="14.4" x14ac:dyDescent="0.3">
      <c r="A318" s="63"/>
      <c r="B318" s="63"/>
      <c r="C318" s="63"/>
      <c r="D318" s="63"/>
      <c r="E318" s="63"/>
    </row>
    <row r="319" spans="1:5" s="63" customFormat="1" ht="14.4" x14ac:dyDescent="0.3">
      <c r="A319" s="60"/>
      <c r="B319" s="60"/>
      <c r="C319" s="60"/>
      <c r="D319" s="60"/>
      <c r="E319" s="60"/>
    </row>
    <row r="320" spans="1:5" s="60" customFormat="1" ht="14.4" x14ac:dyDescent="0.3">
      <c r="A320" s="63"/>
      <c r="B320" s="63"/>
      <c r="C320" s="63"/>
      <c r="D320" s="63"/>
      <c r="E320" s="63"/>
    </row>
    <row r="321" spans="1:5" s="63" customFormat="1" ht="14.4" x14ac:dyDescent="0.3">
      <c r="A321" s="60"/>
      <c r="B321" s="60"/>
      <c r="C321" s="60"/>
      <c r="D321" s="60"/>
      <c r="E321" s="60"/>
    </row>
    <row r="322" spans="1:5" s="60" customFormat="1" ht="14.4" x14ac:dyDescent="0.3">
      <c r="A322" s="63"/>
      <c r="B322" s="63"/>
      <c r="C322" s="63"/>
      <c r="D322" s="63"/>
      <c r="E322" s="63"/>
    </row>
    <row r="323" spans="1:5" s="63" customFormat="1" ht="14.4" x14ac:dyDescent="0.3">
      <c r="A323" s="60"/>
      <c r="B323" s="60"/>
      <c r="C323" s="60"/>
      <c r="D323" s="60"/>
      <c r="E323" s="60"/>
    </row>
    <row r="324" spans="1:5" ht="14.4" x14ac:dyDescent="0.3">
      <c r="A324" s="63"/>
      <c r="B324" s="63"/>
      <c r="C324" s="63"/>
      <c r="D324" s="63"/>
      <c r="E324" s="63"/>
    </row>
    <row r="326" spans="1:5" s="60" customFormat="1" ht="14.4" x14ac:dyDescent="0.3">
      <c r="A326"/>
      <c r="B326"/>
      <c r="C326"/>
      <c r="D326"/>
      <c r="E326"/>
    </row>
    <row r="327" spans="1:5" s="63" customFormat="1" ht="14.4" x14ac:dyDescent="0.3">
      <c r="A327" s="60"/>
      <c r="B327" s="60"/>
      <c r="C327" s="60"/>
      <c r="D327" s="60"/>
      <c r="E327" s="60"/>
    </row>
    <row r="328" spans="1:5" s="63" customFormat="1" ht="14.4" x14ac:dyDescent="0.3"/>
    <row r="329" spans="1:5" s="63" customFormat="1" ht="14.4" x14ac:dyDescent="0.3"/>
    <row r="330" spans="1:5" s="63" customFormat="1" ht="14.4" x14ac:dyDescent="0.3"/>
    <row r="331" spans="1:5" s="63" customFormat="1" ht="14.4" x14ac:dyDescent="0.3"/>
    <row r="332" spans="1:5" s="63" customFormat="1" ht="14.4" x14ac:dyDescent="0.3"/>
    <row r="333" spans="1:5" ht="14.4" x14ac:dyDescent="0.3">
      <c r="A333" s="63"/>
      <c r="B333" s="63"/>
      <c r="C333" s="63"/>
      <c r="D333" s="63"/>
      <c r="E333" s="63"/>
    </row>
  </sheetData>
  <printOptions horizontalCentered="1"/>
  <pageMargins left="0.70866141732283472" right="0.70866141732283472" top="0.86614173228346458" bottom="1.299212598425197" header="0.31496062992125984" footer="0.31496062992125984"/>
  <pageSetup paperSize="9" scale="62" fitToHeight="0" orientation="portrait" r:id="rId1"/>
  <headerFooter alignWithMargins="0">
    <oddHeader>&amp;L&amp;"Arial,Fett"&amp;14&amp;G&amp;R&amp;"Arial,Fett"&amp;12SE TI SES HS</oddHeader>
    <oddFooter>&amp;L&amp;8&amp;UDocument Information:&amp;10&amp;U
&amp;8Doc-No: &amp;F
Restricted © Siemens Energy AG 2025.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legacyDrawingHF r:id="rId2"/>
  <picture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rgb="FF00B0F0"/>
    <pageSetUpPr fitToPage="1"/>
  </sheetPr>
  <dimension ref="A1:CA214"/>
  <sheetViews>
    <sheetView defaultGridColor="0" view="pageBreakPreview" topLeftCell="P5" colorId="8" zoomScale="115" zoomScaleNormal="80" zoomScaleSheetLayoutView="115" zoomScalePageLayoutView="10" workbookViewId="0">
      <selection activeCell="BP14" activeCellId="1" sqref="BO14 BP14"/>
    </sheetView>
  </sheetViews>
  <sheetFormatPr baseColWidth="10" defaultColWidth="11.44140625" defaultRowHeight="15" customHeight="1" outlineLevelRow="1" outlineLevelCol="1" x14ac:dyDescent="0.25"/>
  <cols>
    <col min="1" max="1" width="24.44140625" style="2" customWidth="1"/>
    <col min="2" max="2" width="11.44140625" style="2" customWidth="1" outlineLevel="1"/>
    <col min="3" max="3" width="31.6640625" style="3" customWidth="1" outlineLevel="1"/>
    <col min="4" max="4" width="10.6640625" style="3" customWidth="1" outlineLevel="1"/>
    <col min="5" max="5" width="11.6640625" style="3" customWidth="1" outlineLevel="1"/>
    <col min="6" max="6" width="14.6640625" style="3" customWidth="1" outlineLevel="1"/>
    <col min="7" max="7" width="11" style="3" customWidth="1" outlineLevel="1"/>
    <col min="8" max="8" width="10" style="3" customWidth="1" outlineLevel="1"/>
    <col min="9" max="9" width="9.5546875" style="3" customWidth="1" outlineLevel="1"/>
    <col min="10" max="11" width="8.6640625" style="3" customWidth="1" outlineLevel="1"/>
    <col min="12" max="12" width="40.5546875" style="3" customWidth="1"/>
    <col min="13" max="13" width="27" style="3" customWidth="1" outlineLevel="1"/>
    <col min="14" max="14" width="6.33203125" style="2" customWidth="1" outlineLevel="1" collapsed="1"/>
    <col min="15" max="15" width="4.33203125" style="114" customWidth="1"/>
    <col min="16" max="18" width="4.33203125" style="114" customWidth="1" outlineLevel="1"/>
    <col min="19" max="22" width="5" style="158" customWidth="1"/>
    <col min="23" max="25" width="3.6640625" style="1" customWidth="1"/>
    <col min="26" max="26" width="3.6640625" style="51" customWidth="1"/>
    <col min="27" max="28" width="3.6640625" style="1" customWidth="1"/>
    <col min="29" max="29" width="3.88671875" style="1" customWidth="1"/>
    <col min="30" max="32" width="3.6640625" style="1" customWidth="1"/>
    <col min="33" max="36" width="4.109375" style="1" customWidth="1"/>
    <col min="37" max="37" width="3.6640625" style="1" customWidth="1"/>
    <col min="38" max="38" width="4.109375" style="114" customWidth="1"/>
    <col min="39" max="39" width="4.109375" style="1" customWidth="1"/>
    <col min="40" max="40" width="4.109375" style="114" customWidth="1"/>
    <col min="41" max="41" width="4.109375" style="1" customWidth="1"/>
    <col min="42" max="42" width="4.109375" style="114" customWidth="1"/>
    <col min="43" max="43" width="4.109375" style="1" customWidth="1"/>
    <col min="44" max="44" width="4.109375" style="114" customWidth="1"/>
    <col min="45" max="47" width="4.109375" style="1" customWidth="1"/>
    <col min="48" max="48" width="5.33203125" style="1" customWidth="1"/>
    <col min="49" max="49" width="14.6640625" style="25" hidden="1" customWidth="1"/>
    <col min="50" max="51" width="4.109375" style="51" customWidth="1"/>
    <col min="52" max="52" width="3.6640625" style="51" customWidth="1"/>
    <col min="53" max="56" width="3.6640625" style="166" hidden="1" customWidth="1" outlineLevel="1"/>
    <col min="57" max="57" width="7.44140625" style="3" customWidth="1" collapsed="1"/>
    <col min="58" max="65" width="7.44140625" style="3" hidden="1" customWidth="1"/>
    <col min="66" max="66" width="65.44140625" style="112" bestFit="1" customWidth="1"/>
    <col min="67" max="67" width="26.21875" style="112" customWidth="1" outlineLevel="1"/>
    <col min="68" max="68" width="18.109375" style="112" customWidth="1" outlineLevel="1"/>
    <col min="69" max="69" width="76.6640625" style="28" customWidth="1"/>
    <col min="70" max="70" width="30" style="2" bestFit="1" customWidth="1"/>
    <col min="71" max="16384" width="11.44140625" style="2"/>
  </cols>
  <sheetData>
    <row r="1" spans="1:70" ht="136.19999999999999" customHeight="1" outlineLevel="1" thickBot="1" x14ac:dyDescent="0.3">
      <c r="A1" s="1217" t="s">
        <v>55</v>
      </c>
      <c r="B1" s="1218"/>
      <c r="C1" s="1218"/>
      <c r="D1" s="1218"/>
      <c r="E1" s="944"/>
      <c r="F1" s="944"/>
      <c r="G1" s="944"/>
      <c r="H1" s="944"/>
      <c r="I1" s="944"/>
      <c r="J1" s="944"/>
      <c r="K1" s="944"/>
      <c r="L1" s="944"/>
      <c r="M1" s="1219"/>
      <c r="N1" s="317" t="s">
        <v>56</v>
      </c>
      <c r="O1" s="318" t="s">
        <v>4386</v>
      </c>
      <c r="P1" s="319" t="s">
        <v>4387</v>
      </c>
      <c r="Q1" s="319" t="s">
        <v>4388</v>
      </c>
      <c r="R1" s="319" t="s">
        <v>4389</v>
      </c>
      <c r="S1" s="319" t="s">
        <v>4391</v>
      </c>
      <c r="T1" s="319" t="s">
        <v>4390</v>
      </c>
      <c r="U1" s="319" t="s">
        <v>4392</v>
      </c>
      <c r="V1" s="319" t="s">
        <v>4393</v>
      </c>
      <c r="W1" s="320" t="s">
        <v>4385</v>
      </c>
      <c r="X1" s="1229" t="s">
        <v>4384</v>
      </c>
      <c r="Y1" s="1230"/>
      <c r="Z1" s="320" t="s">
        <v>4383</v>
      </c>
      <c r="AA1" s="1069" t="s">
        <v>4364</v>
      </c>
      <c r="AB1" s="1070"/>
      <c r="AC1" s="1070"/>
      <c r="AD1" s="1069" t="s">
        <v>4365</v>
      </c>
      <c r="AE1" s="1070"/>
      <c r="AF1" s="1070"/>
      <c r="AG1" s="684" t="s">
        <v>4362</v>
      </c>
      <c r="AH1" s="684" t="s">
        <v>4366</v>
      </c>
      <c r="AI1" s="684" t="s">
        <v>4361</v>
      </c>
      <c r="AJ1" s="684" t="s">
        <v>4367</v>
      </c>
      <c r="AK1" s="320" t="s">
        <v>4405</v>
      </c>
      <c r="AL1" s="321" t="s">
        <v>4382</v>
      </c>
      <c r="AM1" s="321" t="s">
        <v>4381</v>
      </c>
      <c r="AN1" s="321" t="s">
        <v>4380</v>
      </c>
      <c r="AO1" s="321" t="s">
        <v>4379</v>
      </c>
      <c r="AP1" s="321" t="s">
        <v>4378</v>
      </c>
      <c r="AQ1" s="321" t="s">
        <v>4377</v>
      </c>
      <c r="AR1" s="321" t="s">
        <v>4376</v>
      </c>
      <c r="AS1" s="321" t="s">
        <v>4375</v>
      </c>
      <c r="AT1" s="321" t="s">
        <v>4374</v>
      </c>
      <c r="AU1" s="321" t="s">
        <v>4370</v>
      </c>
      <c r="AV1" s="322" t="s">
        <v>4369</v>
      </c>
      <c r="AW1" s="95"/>
      <c r="AX1" s="661" t="s">
        <v>345</v>
      </c>
      <c r="AY1" s="661" t="s">
        <v>357</v>
      </c>
      <c r="AZ1" s="661" t="s">
        <v>427</v>
      </c>
      <c r="BA1" s="1146" t="s">
        <v>61</v>
      </c>
      <c r="BB1" s="688" t="s">
        <v>4371</v>
      </c>
      <c r="BC1" s="689" t="s">
        <v>4372</v>
      </c>
      <c r="BD1" s="690" t="s">
        <v>4373</v>
      </c>
      <c r="BE1" s="323"/>
      <c r="BF1" s="323"/>
      <c r="BG1" s="323"/>
      <c r="BH1" s="323"/>
      <c r="BI1" s="323"/>
      <c r="BJ1" s="323"/>
      <c r="BK1" s="323"/>
      <c r="BL1" s="323"/>
      <c r="BM1" s="323"/>
      <c r="BO1" s="240"/>
      <c r="BP1" s="240"/>
      <c r="BQ1" s="99"/>
    </row>
    <row r="2" spans="1:70" ht="198" x14ac:dyDescent="0.25">
      <c r="A2" s="948"/>
      <c r="B2" s="1220"/>
      <c r="C2" s="1220"/>
      <c r="D2" s="1220"/>
      <c r="E2" s="1221"/>
      <c r="F2" s="1221"/>
      <c r="G2" s="1221"/>
      <c r="H2" s="1221"/>
      <c r="I2" s="1221"/>
      <c r="J2" s="1221"/>
      <c r="K2" s="1221"/>
      <c r="L2" s="1221"/>
      <c r="M2" s="1222"/>
      <c r="N2" s="8" t="s">
        <v>62</v>
      </c>
      <c r="O2" s="110" t="s">
        <v>63</v>
      </c>
      <c r="P2" s="110" t="s">
        <v>64</v>
      </c>
      <c r="Q2" s="110" t="s">
        <v>65</v>
      </c>
      <c r="R2" s="110" t="s">
        <v>66</v>
      </c>
      <c r="S2" s="110" t="s">
        <v>67</v>
      </c>
      <c r="T2" s="110" t="s">
        <v>68</v>
      </c>
      <c r="U2" s="110" t="s">
        <v>69</v>
      </c>
      <c r="V2" s="110" t="s">
        <v>70</v>
      </c>
      <c r="W2" s="83" t="s">
        <v>71</v>
      </c>
      <c r="X2" s="1233" t="s">
        <v>72</v>
      </c>
      <c r="Y2" s="1182"/>
      <c r="Z2" s="116" t="s">
        <v>73</v>
      </c>
      <c r="AA2" s="1071" t="s">
        <v>4359</v>
      </c>
      <c r="AB2" s="1072"/>
      <c r="AC2" s="1073"/>
      <c r="AD2" s="1071" t="s">
        <v>4360</v>
      </c>
      <c r="AE2" s="1072"/>
      <c r="AF2" s="1073"/>
      <c r="AG2" s="476" t="s">
        <v>74</v>
      </c>
      <c r="AH2" s="476" t="s">
        <v>75</v>
      </c>
      <c r="AI2" s="476" t="s">
        <v>74</v>
      </c>
      <c r="AJ2" s="476" t="s">
        <v>75</v>
      </c>
      <c r="AK2" s="83" t="s">
        <v>76</v>
      </c>
      <c r="AL2" s="1180" t="s">
        <v>77</v>
      </c>
      <c r="AM2" s="1181"/>
      <c r="AN2" s="1181"/>
      <c r="AO2" s="1181"/>
      <c r="AP2" s="1181"/>
      <c r="AQ2" s="1181"/>
      <c r="AR2" s="1181"/>
      <c r="AS2" s="1182"/>
      <c r="AT2" s="109" t="s">
        <v>78</v>
      </c>
      <c r="AU2" s="109" t="s">
        <v>79</v>
      </c>
      <c r="AV2" s="348" t="s">
        <v>80</v>
      </c>
      <c r="AW2" s="75"/>
      <c r="AX2" s="662" t="s">
        <v>4312</v>
      </c>
      <c r="AY2" s="662" t="s">
        <v>4311</v>
      </c>
      <c r="AZ2" s="662" t="s">
        <v>4313</v>
      </c>
      <c r="BA2" s="1147"/>
      <c r="BB2" s="188" t="s">
        <v>81</v>
      </c>
      <c r="BC2" s="188" t="s">
        <v>82</v>
      </c>
      <c r="BD2" s="188" t="s">
        <v>76</v>
      </c>
      <c r="BE2" s="84"/>
      <c r="BF2" s="84"/>
      <c r="BG2" s="84"/>
      <c r="BH2" s="84"/>
      <c r="BI2" s="84"/>
      <c r="BJ2" s="84"/>
      <c r="BK2" s="84"/>
      <c r="BL2" s="84"/>
      <c r="BM2" s="84"/>
      <c r="BN2" s="324" t="s">
        <v>83</v>
      </c>
      <c r="BO2" s="44" t="s">
        <v>84</v>
      </c>
      <c r="BP2" s="240"/>
      <c r="BQ2" s="152" t="s">
        <v>4368</v>
      </c>
    </row>
    <row r="3" spans="1:70" ht="37.5" customHeight="1" outlineLevel="1" x14ac:dyDescent="0.25">
      <c r="A3" s="1218"/>
      <c r="B3" s="1218"/>
      <c r="C3" s="1218"/>
      <c r="D3" s="1218"/>
      <c r="E3" s="944"/>
      <c r="F3" s="944"/>
      <c r="G3" s="944"/>
      <c r="H3" s="944"/>
      <c r="I3" s="944"/>
      <c r="J3" s="944"/>
      <c r="K3" s="944"/>
      <c r="L3" s="944"/>
      <c r="M3" s="1219"/>
      <c r="N3" s="55" t="s">
        <v>85</v>
      </c>
      <c r="O3" s="41">
        <v>0</v>
      </c>
      <c r="P3" s="41">
        <v>0</v>
      </c>
      <c r="Q3" s="41">
        <v>0</v>
      </c>
      <c r="R3" s="41">
        <v>0</v>
      </c>
      <c r="S3" s="41">
        <v>0</v>
      </c>
      <c r="T3" s="1">
        <v>0</v>
      </c>
      <c r="U3" s="1">
        <v>0</v>
      </c>
      <c r="V3" s="1">
        <v>0</v>
      </c>
      <c r="W3" s="1">
        <v>0</v>
      </c>
      <c r="X3" s="1">
        <v>1</v>
      </c>
      <c r="Y3" s="1">
        <v>0</v>
      </c>
      <c r="Z3" s="12">
        <v>0</v>
      </c>
      <c r="AA3" s="12">
        <v>0</v>
      </c>
      <c r="AB3" s="12">
        <v>0</v>
      </c>
      <c r="AC3" s="12">
        <v>0</v>
      </c>
      <c r="AD3" s="12">
        <v>0</v>
      </c>
      <c r="AE3" s="12">
        <v>1</v>
      </c>
      <c r="AF3" s="12">
        <v>1</v>
      </c>
      <c r="AG3" s="369">
        <v>1</v>
      </c>
      <c r="AH3" s="369">
        <v>1</v>
      </c>
      <c r="AI3" s="369">
        <v>0</v>
      </c>
      <c r="AJ3" s="369">
        <v>0</v>
      </c>
      <c r="AK3" s="1">
        <v>0</v>
      </c>
      <c r="AL3" s="1">
        <v>0</v>
      </c>
      <c r="AM3" s="1">
        <v>0</v>
      </c>
      <c r="AN3" s="1">
        <v>0</v>
      </c>
      <c r="AO3" s="1">
        <v>0</v>
      </c>
      <c r="AP3" s="1">
        <v>0</v>
      </c>
      <c r="AQ3" s="1">
        <v>0</v>
      </c>
      <c r="AR3" s="1">
        <v>0</v>
      </c>
      <c r="AS3" s="1">
        <v>0</v>
      </c>
      <c r="AT3" s="1">
        <v>0</v>
      </c>
      <c r="AU3" s="1">
        <v>0</v>
      </c>
      <c r="AV3" s="1">
        <v>0</v>
      </c>
      <c r="AW3" s="95"/>
      <c r="AX3" s="369">
        <v>1</v>
      </c>
      <c r="AY3" s="369">
        <v>1</v>
      </c>
      <c r="AZ3" s="369">
        <v>1</v>
      </c>
      <c r="BA3" s="1147"/>
      <c r="BB3" s="166">
        <v>0</v>
      </c>
      <c r="BC3" s="166">
        <v>0</v>
      </c>
      <c r="BD3" s="166">
        <v>0</v>
      </c>
      <c r="BE3" s="17"/>
      <c r="BF3" s="17"/>
      <c r="BG3" s="17"/>
      <c r="BH3" s="17"/>
      <c r="BI3" s="17"/>
      <c r="BJ3" s="17"/>
      <c r="BK3" s="17"/>
      <c r="BL3" s="17"/>
      <c r="BM3" s="17"/>
      <c r="BO3" s="306" t="s">
        <v>86</v>
      </c>
      <c r="BP3" s="242"/>
      <c r="BQ3" s="99"/>
    </row>
    <row r="4" spans="1:70" ht="105" outlineLevel="1" x14ac:dyDescent="0.25">
      <c r="A4" s="1223"/>
      <c r="B4" s="1223"/>
      <c r="C4" s="1223"/>
      <c r="D4" s="1223"/>
      <c r="E4" s="1224"/>
      <c r="F4" s="1224"/>
      <c r="G4" s="1224"/>
      <c r="H4" s="1224"/>
      <c r="I4" s="1224"/>
      <c r="J4" s="1224"/>
      <c r="K4" s="1224"/>
      <c r="L4" s="1224"/>
      <c r="M4" s="1225"/>
      <c r="N4" s="9" t="s">
        <v>87</v>
      </c>
      <c r="O4" s="346" t="s">
        <v>88</v>
      </c>
      <c r="P4" s="346" t="s">
        <v>89</v>
      </c>
      <c r="Q4" s="346" t="s">
        <v>90</v>
      </c>
      <c r="R4" s="346" t="s">
        <v>91</v>
      </c>
      <c r="S4" s="346" t="s">
        <v>92</v>
      </c>
      <c r="T4" s="346" t="s">
        <v>93</v>
      </c>
      <c r="U4" s="346" t="s">
        <v>94</v>
      </c>
      <c r="V4" s="346" t="s">
        <v>95</v>
      </c>
      <c r="W4" s="346" t="s">
        <v>96</v>
      </c>
      <c r="X4" s="346" t="s">
        <v>97</v>
      </c>
      <c r="Y4" s="346" t="s">
        <v>98</v>
      </c>
      <c r="Z4" s="346" t="s">
        <v>99</v>
      </c>
      <c r="AA4" s="346" t="s">
        <v>100</v>
      </c>
      <c r="AB4" s="346" t="s">
        <v>97</v>
      </c>
      <c r="AC4" s="346" t="s">
        <v>101</v>
      </c>
      <c r="AD4" s="346" t="s">
        <v>102</v>
      </c>
      <c r="AE4" s="346" t="s">
        <v>103</v>
      </c>
      <c r="AF4" s="346" t="s">
        <v>98</v>
      </c>
      <c r="AG4" s="660" t="s">
        <v>260</v>
      </c>
      <c r="AH4" s="660" t="s">
        <v>4396</v>
      </c>
      <c r="AI4" s="660" t="s">
        <v>260</v>
      </c>
      <c r="AJ4" s="660" t="s">
        <v>4396</v>
      </c>
      <c r="AK4" s="346" t="s">
        <v>104</v>
      </c>
      <c r="AL4" s="346" t="s">
        <v>105</v>
      </c>
      <c r="AM4" s="346" t="s">
        <v>106</v>
      </c>
      <c r="AN4" s="346" t="s">
        <v>107</v>
      </c>
      <c r="AO4" s="346" t="s">
        <v>108</v>
      </c>
      <c r="AP4" s="346" t="s">
        <v>109</v>
      </c>
      <c r="AQ4" s="346" t="s">
        <v>110</v>
      </c>
      <c r="AR4" s="346" t="s">
        <v>111</v>
      </c>
      <c r="AS4" s="346" t="s">
        <v>112</v>
      </c>
      <c r="AT4" s="346" t="s">
        <v>113</v>
      </c>
      <c r="AU4" s="346" t="s">
        <v>114</v>
      </c>
      <c r="AV4" s="346" t="s">
        <v>115</v>
      </c>
      <c r="AW4" s="346"/>
      <c r="AX4" s="660" t="s">
        <v>345</v>
      </c>
      <c r="AY4" s="660" t="s">
        <v>357</v>
      </c>
      <c r="AZ4" s="660" t="s">
        <v>427</v>
      </c>
      <c r="BA4" s="1147"/>
      <c r="BB4" s="189" t="s">
        <v>116</v>
      </c>
      <c r="BC4" s="189" t="s">
        <v>117</v>
      </c>
      <c r="BD4" s="189" t="s">
        <v>118</v>
      </c>
      <c r="BE4" s="290"/>
      <c r="BF4" s="290"/>
      <c r="BG4" s="290"/>
      <c r="BH4" s="290"/>
      <c r="BI4" s="290"/>
      <c r="BJ4" s="290"/>
      <c r="BK4" s="290"/>
      <c r="BL4" s="290"/>
      <c r="BM4" s="290"/>
      <c r="BN4" s="325"/>
      <c r="BO4" s="243"/>
      <c r="BP4" s="243"/>
      <c r="BQ4" s="100"/>
    </row>
    <row r="5" spans="1:70" s="11" customFormat="1" ht="66" customHeight="1" thickBot="1" x14ac:dyDescent="0.3">
      <c r="A5" s="1226"/>
      <c r="B5" s="1226"/>
      <c r="C5" s="1226"/>
      <c r="D5" s="1226"/>
      <c r="E5" s="1227"/>
      <c r="F5" s="1227"/>
      <c r="G5" s="1227"/>
      <c r="H5" s="1227"/>
      <c r="I5" s="1227"/>
      <c r="J5" s="1227"/>
      <c r="K5" s="1227"/>
      <c r="L5" s="1227"/>
      <c r="M5" s="1228"/>
      <c r="N5" s="13" t="s">
        <v>119</v>
      </c>
      <c r="O5" s="86" t="s">
        <v>120</v>
      </c>
      <c r="P5" s="86" t="s">
        <v>120</v>
      </c>
      <c r="Q5" s="86" t="s">
        <v>120</v>
      </c>
      <c r="R5" s="86" t="s">
        <v>120</v>
      </c>
      <c r="S5" s="174" t="s">
        <v>120</v>
      </c>
      <c r="T5" s="174" t="s">
        <v>120</v>
      </c>
      <c r="U5" s="174" t="s">
        <v>120</v>
      </c>
      <c r="V5" s="174" t="s">
        <v>120</v>
      </c>
      <c r="W5" s="87" t="s">
        <v>121</v>
      </c>
      <c r="X5" s="87" t="s">
        <v>121</v>
      </c>
      <c r="Y5" s="87" t="s">
        <v>121</v>
      </c>
      <c r="Z5" s="86" t="s">
        <v>121</v>
      </c>
      <c r="AA5" s="87" t="s">
        <v>122</v>
      </c>
      <c r="AB5" s="87" t="s">
        <v>122</v>
      </c>
      <c r="AC5" s="87" t="s">
        <v>122</v>
      </c>
      <c r="AD5" s="105" t="s">
        <v>122</v>
      </c>
      <c r="AE5" s="105" t="s">
        <v>122</v>
      </c>
      <c r="AF5" s="105" t="s">
        <v>122</v>
      </c>
      <c r="AG5" s="382" t="s">
        <v>123</v>
      </c>
      <c r="AH5" s="382" t="s">
        <v>123</v>
      </c>
      <c r="AI5" s="382" t="s">
        <v>124</v>
      </c>
      <c r="AJ5" s="382" t="s">
        <v>124</v>
      </c>
      <c r="AK5" s="87" t="s">
        <v>122</v>
      </c>
      <c r="AL5" s="284" t="s">
        <v>125</v>
      </c>
      <c r="AM5" s="284" t="s">
        <v>125</v>
      </c>
      <c r="AN5" s="284" t="s">
        <v>125</v>
      </c>
      <c r="AO5" s="284" t="s">
        <v>125</v>
      </c>
      <c r="AP5" s="284" t="s">
        <v>125</v>
      </c>
      <c r="AQ5" s="284" t="s">
        <v>125</v>
      </c>
      <c r="AR5" s="284" t="s">
        <v>125</v>
      </c>
      <c r="AS5" s="284" t="s">
        <v>125</v>
      </c>
      <c r="AT5" s="285" t="s">
        <v>121</v>
      </c>
      <c r="AU5" s="285" t="s">
        <v>121</v>
      </c>
      <c r="AV5" s="87" t="s">
        <v>120</v>
      </c>
      <c r="AW5" s="95"/>
      <c r="AX5" s="382" t="s">
        <v>4310</v>
      </c>
      <c r="AY5" s="382" t="s">
        <v>4310</v>
      </c>
      <c r="AZ5" s="382" t="s">
        <v>4310</v>
      </c>
      <c r="BA5" s="1148"/>
      <c r="BB5" s="190" t="s">
        <v>120</v>
      </c>
      <c r="BC5" s="190" t="s">
        <v>120</v>
      </c>
      <c r="BD5" s="190" t="s">
        <v>122</v>
      </c>
      <c r="BE5" s="88"/>
      <c r="BF5" s="88"/>
      <c r="BG5" s="88"/>
      <c r="BH5" s="88"/>
      <c r="BI5" s="88"/>
      <c r="BJ5" s="88"/>
      <c r="BK5" s="88"/>
      <c r="BL5" s="88"/>
      <c r="BM5" s="88"/>
      <c r="BN5" s="326"/>
      <c r="BO5" s="244"/>
      <c r="BP5" s="244"/>
      <c r="BQ5" s="74" t="s">
        <v>126</v>
      </c>
    </row>
    <row r="6" spans="1:70" s="40" customFormat="1" ht="13.8" thickBot="1" x14ac:dyDescent="0.3">
      <c r="A6" s="64" t="s">
        <v>127</v>
      </c>
      <c r="B6" s="64" t="s">
        <v>128</v>
      </c>
      <c r="C6" s="65" t="s">
        <v>129</v>
      </c>
      <c r="D6" s="65" t="s">
        <v>130</v>
      </c>
      <c r="E6" s="65" t="s">
        <v>131</v>
      </c>
      <c r="F6" s="65" t="s">
        <v>132</v>
      </c>
      <c r="G6" s="65" t="s">
        <v>133</v>
      </c>
      <c r="H6" s="65" t="s">
        <v>134</v>
      </c>
      <c r="I6" s="65" t="s">
        <v>135</v>
      </c>
      <c r="J6" s="65" t="s">
        <v>136</v>
      </c>
      <c r="K6" s="65" t="s">
        <v>137</v>
      </c>
      <c r="L6" s="65" t="s">
        <v>138</v>
      </c>
      <c r="M6" s="73" t="s">
        <v>139</v>
      </c>
      <c r="N6" s="66"/>
      <c r="O6" s="147"/>
      <c r="P6" s="148"/>
      <c r="Q6" s="147"/>
      <c r="R6" s="148"/>
      <c r="S6" s="148"/>
      <c r="T6" s="148"/>
      <c r="U6" s="148"/>
      <c r="V6" s="148"/>
      <c r="W6" s="68"/>
      <c r="X6" s="67"/>
      <c r="Y6" s="67"/>
      <c r="Z6" s="67"/>
      <c r="AA6" s="67"/>
      <c r="AB6" s="67"/>
      <c r="AC6" s="67"/>
      <c r="AD6" s="67"/>
      <c r="AE6" s="67"/>
      <c r="AF6" s="67"/>
      <c r="AG6" s="68"/>
      <c r="AH6" s="68"/>
      <c r="AI6" s="68"/>
      <c r="AJ6" s="68"/>
      <c r="AK6" s="67"/>
      <c r="AL6" s="147"/>
      <c r="AM6" s="67"/>
      <c r="AN6" s="147"/>
      <c r="AO6" s="67"/>
      <c r="AP6" s="147"/>
      <c r="AQ6" s="67"/>
      <c r="AR6" s="147"/>
      <c r="AS6" s="67"/>
      <c r="AT6" s="67"/>
      <c r="AU6" s="67"/>
      <c r="AV6" s="67"/>
      <c r="AW6" s="64" t="s">
        <v>140</v>
      </c>
      <c r="AX6" s="155"/>
      <c r="AY6" s="155"/>
      <c r="AZ6" s="155"/>
      <c r="BA6" s="67"/>
      <c r="BB6" s="67"/>
      <c r="BC6" s="67"/>
      <c r="BD6" s="191"/>
      <c r="BE6" s="289" t="s">
        <v>141</v>
      </c>
      <c r="BF6" s="289"/>
      <c r="BG6" s="289"/>
      <c r="BH6" s="289"/>
      <c r="BI6" s="289"/>
      <c r="BJ6" s="289"/>
      <c r="BK6" s="289"/>
      <c r="BL6" s="289"/>
      <c r="BM6" s="289"/>
      <c r="BN6" s="289" t="s">
        <v>142</v>
      </c>
      <c r="BO6" s="311" t="s">
        <v>143</v>
      </c>
      <c r="BP6" s="245" t="s">
        <v>144</v>
      </c>
      <c r="BQ6" s="101"/>
    </row>
    <row r="7" spans="1:70" s="14" customFormat="1" ht="13.2" x14ac:dyDescent="0.25">
      <c r="A7" s="129"/>
      <c r="B7" s="25"/>
      <c r="C7" s="95"/>
      <c r="D7" s="25"/>
      <c r="E7" s="25"/>
      <c r="F7" s="25"/>
      <c r="G7" s="25"/>
      <c r="H7" s="25"/>
      <c r="I7" s="25"/>
      <c r="J7" s="25"/>
      <c r="K7" s="25"/>
      <c r="L7" s="25"/>
      <c r="M7" s="25"/>
      <c r="N7" s="106"/>
      <c r="O7" s="149"/>
      <c r="P7" s="149"/>
      <c r="Q7" s="149"/>
      <c r="R7" s="149"/>
      <c r="S7" s="149"/>
      <c r="T7" s="149"/>
      <c r="U7" s="149"/>
      <c r="V7" s="149"/>
      <c r="W7" s="25"/>
      <c r="X7" s="25"/>
      <c r="Y7" s="25"/>
      <c r="Z7" s="25"/>
      <c r="AA7" s="25"/>
      <c r="AB7" s="25"/>
      <c r="AC7" s="25"/>
      <c r="AD7" s="25"/>
      <c r="AE7" s="25"/>
      <c r="AF7" s="25"/>
      <c r="AG7" s="25"/>
      <c r="AH7" s="25"/>
      <c r="AI7" s="25"/>
      <c r="AJ7" s="25"/>
      <c r="AK7" s="25" t="str">
        <f t="shared" ref="AK7:AK11" si="0">LEFT(IF(ISBLANK(N7),"",N7&amp;"*")&amp;IF(ISBLANK(O7),"",O7&amp;"*")&amp;IF(ISBLANK(P7),"",P7&amp;"*")&amp;IF(ISBLANK(Q7),"",Q7&amp;"*"),2)</f>
        <v/>
      </c>
      <c r="AL7" s="149"/>
      <c r="AM7" s="25"/>
      <c r="AN7" s="149"/>
      <c r="AO7" s="25"/>
      <c r="AP7" s="149"/>
      <c r="AQ7" s="25"/>
      <c r="AR7" s="149"/>
      <c r="AS7" s="25"/>
      <c r="AT7" s="25"/>
      <c r="AU7" s="25"/>
      <c r="AV7" s="25"/>
      <c r="AW7" s="25"/>
      <c r="AX7" s="156"/>
      <c r="AY7" s="156"/>
      <c r="AZ7" s="156"/>
      <c r="BA7" s="286"/>
      <c r="BB7" s="170"/>
      <c r="BC7" s="170"/>
      <c r="BD7" s="170" t="str">
        <f>LEFT(IF(ISBLANK(O7),"",O7&amp;"*")&amp;IF(ISBLANK(P7),"",P7&amp;"*")&amp;IF(ISBLANK(Q7),"",Q7&amp;"*")&amp;IF(ISBLANK(R7),"",R7&amp;"*"),2)</f>
        <v/>
      </c>
      <c r="BE7" s="25"/>
      <c r="BF7" s="25"/>
      <c r="BG7" s="25"/>
      <c r="BH7" s="25"/>
      <c r="BI7" s="25"/>
      <c r="BJ7" s="25"/>
      <c r="BK7" s="25"/>
      <c r="BL7" s="25"/>
      <c r="BM7" s="25"/>
      <c r="BN7" s="112"/>
      <c r="BO7" s="241"/>
      <c r="BP7" s="241"/>
      <c r="BQ7" s="102"/>
    </row>
    <row r="8" spans="1:70" s="37" customFormat="1" ht="14.4" x14ac:dyDescent="0.25">
      <c r="A8" s="383" t="s">
        <v>145</v>
      </c>
      <c r="B8" s="493"/>
      <c r="C8" s="493"/>
      <c r="D8" s="493"/>
      <c r="E8" s="493"/>
      <c r="F8" s="493"/>
      <c r="G8" s="493"/>
      <c r="H8" s="493"/>
      <c r="I8" s="494"/>
      <c r="J8" s="493"/>
      <c r="K8" s="493"/>
      <c r="L8" s="493"/>
      <c r="M8" s="493"/>
      <c r="N8" s="495"/>
      <c r="O8" s="384"/>
      <c r="P8" s="384"/>
      <c r="Q8" s="384"/>
      <c r="R8" s="384"/>
      <c r="S8" s="384"/>
      <c r="T8" s="384"/>
      <c r="U8" s="384"/>
      <c r="V8" s="384"/>
      <c r="W8" s="496"/>
      <c r="X8" s="496"/>
      <c r="Y8" s="496"/>
      <c r="Z8" s="496"/>
      <c r="AA8" s="496"/>
      <c r="AB8" s="496"/>
      <c r="AC8" s="496"/>
      <c r="AD8" s="496"/>
      <c r="AE8" s="496"/>
      <c r="AF8" s="496"/>
      <c r="AG8" s="496"/>
      <c r="AH8" s="496"/>
      <c r="AI8" s="496"/>
      <c r="AJ8" s="496"/>
      <c r="AK8" s="496" t="str">
        <f t="shared" si="0"/>
        <v/>
      </c>
      <c r="AL8" s="384"/>
      <c r="AM8" s="496"/>
      <c r="AN8" s="384"/>
      <c r="AO8" s="496"/>
      <c r="AP8" s="384"/>
      <c r="AQ8" s="496"/>
      <c r="AR8" s="384"/>
      <c r="AS8" s="496"/>
      <c r="AT8" s="496"/>
      <c r="AU8" s="496"/>
      <c r="AV8" s="496"/>
      <c r="AW8" s="496"/>
      <c r="AX8" s="496"/>
      <c r="AY8" s="496"/>
      <c r="AZ8" s="496"/>
      <c r="BA8" s="496"/>
      <c r="BB8" s="496"/>
      <c r="BC8" s="496"/>
      <c r="BD8" s="496" t="str">
        <f>LEFT(IF(ISBLANK(O8),"",O8&amp;"*")&amp;IF(ISBLANK(P8),"",P8&amp;"*")&amp;IF(ISBLANK(Q8),"",Q8&amp;"*")&amp;IF(ISBLANK(R8),"",R8&amp;"*"),2)</f>
        <v/>
      </c>
      <c r="BE8" s="493"/>
      <c r="BF8" s="493"/>
      <c r="BG8" s="493"/>
      <c r="BH8" s="493"/>
      <c r="BI8" s="493"/>
      <c r="BJ8" s="493"/>
      <c r="BK8" s="493"/>
      <c r="BL8" s="493"/>
      <c r="BM8" s="493"/>
      <c r="BN8" s="497"/>
      <c r="BO8" s="247"/>
      <c r="BP8" s="247"/>
      <c r="BQ8" s="103"/>
    </row>
    <row r="9" spans="1:70" s="12" customFormat="1" ht="84.75" customHeight="1" x14ac:dyDescent="0.25">
      <c r="A9" s="385" t="s">
        <v>160</v>
      </c>
      <c r="B9" s="498" t="s">
        <v>47</v>
      </c>
      <c r="C9" s="386" t="s">
        <v>161</v>
      </c>
      <c r="D9" s="499"/>
      <c r="E9" s="499" t="s">
        <v>149</v>
      </c>
      <c r="F9" s="500">
        <v>1</v>
      </c>
      <c r="G9" s="499" t="s">
        <v>149</v>
      </c>
      <c r="H9" s="499" t="s">
        <v>150</v>
      </c>
      <c r="I9" s="499" t="s">
        <v>149</v>
      </c>
      <c r="J9" s="501"/>
      <c r="K9" s="502" t="s">
        <v>151</v>
      </c>
      <c r="L9" s="503" t="s">
        <v>162</v>
      </c>
      <c r="M9" s="503" t="s">
        <v>163</v>
      </c>
      <c r="N9" s="504"/>
      <c r="O9" s="499"/>
      <c r="P9" s="499"/>
      <c r="Q9" s="499"/>
      <c r="R9" s="499"/>
      <c r="S9" s="499"/>
      <c r="T9" s="499"/>
      <c r="U9" s="499"/>
      <c r="V9" s="499"/>
      <c r="W9" s="499"/>
      <c r="X9" s="502"/>
      <c r="Y9" s="502"/>
      <c r="Z9" s="502" t="s">
        <v>154</v>
      </c>
      <c r="AA9" s="502" t="s">
        <v>155</v>
      </c>
      <c r="AB9" s="502" t="s">
        <v>155</v>
      </c>
      <c r="AC9" s="502" t="s">
        <v>155</v>
      </c>
      <c r="AD9" s="502" t="s">
        <v>155</v>
      </c>
      <c r="AE9" s="502" t="s">
        <v>155</v>
      </c>
      <c r="AF9" s="502" t="s">
        <v>155</v>
      </c>
      <c r="AG9" s="502" t="s">
        <v>155</v>
      </c>
      <c r="AH9" s="502" t="s">
        <v>155</v>
      </c>
      <c r="AI9" s="502"/>
      <c r="AJ9" s="502"/>
      <c r="AK9" s="502"/>
      <c r="AL9" s="389"/>
      <c r="AM9" s="502"/>
      <c r="AN9" s="389"/>
      <c r="AO9" s="502"/>
      <c r="AP9" s="389"/>
      <c r="AQ9" s="502"/>
      <c r="AR9" s="389"/>
      <c r="AS9" s="502"/>
      <c r="AT9" s="502"/>
      <c r="AU9" s="502"/>
      <c r="AV9" s="502"/>
      <c r="AW9" s="499" t="s">
        <v>156</v>
      </c>
      <c r="AX9" s="502"/>
      <c r="AY9" s="502"/>
      <c r="AZ9" s="502"/>
      <c r="BA9" s="387"/>
      <c r="BB9" s="388"/>
      <c r="BC9" s="388"/>
      <c r="BD9" s="388"/>
      <c r="BE9" s="502" t="s">
        <v>157</v>
      </c>
      <c r="BF9" s="502"/>
      <c r="BG9" s="502"/>
      <c r="BH9" s="502"/>
      <c r="BI9" s="502"/>
      <c r="BJ9" s="502"/>
      <c r="BK9" s="502"/>
      <c r="BL9" s="502"/>
      <c r="BM9" s="502"/>
      <c r="BN9" s="505" t="s">
        <v>164</v>
      </c>
      <c r="BO9" s="678" t="s">
        <v>4354</v>
      </c>
      <c r="BP9" s="679" t="s">
        <v>561</v>
      </c>
      <c r="BQ9" s="117" t="s">
        <v>165</v>
      </c>
      <c r="BR9" s="200"/>
    </row>
    <row r="10" spans="1:70" s="12" customFormat="1" ht="72" x14ac:dyDescent="0.25">
      <c r="A10" s="385" t="s">
        <v>146</v>
      </c>
      <c r="B10" s="498" t="s">
        <v>47</v>
      </c>
      <c r="C10" s="386" t="s">
        <v>147</v>
      </c>
      <c r="D10" s="499" t="s">
        <v>148</v>
      </c>
      <c r="E10" s="499" t="s">
        <v>149</v>
      </c>
      <c r="F10" s="500">
        <v>1</v>
      </c>
      <c r="G10" s="499" t="s">
        <v>149</v>
      </c>
      <c r="H10" s="499" t="s">
        <v>150</v>
      </c>
      <c r="I10" s="499" t="s">
        <v>149</v>
      </c>
      <c r="J10" s="501"/>
      <c r="K10" s="502" t="s">
        <v>151</v>
      </c>
      <c r="L10" s="503" t="s">
        <v>152</v>
      </c>
      <c r="M10" s="503" t="s">
        <v>153</v>
      </c>
      <c r="N10" s="504"/>
      <c r="O10" s="680" t="s">
        <v>154</v>
      </c>
      <c r="P10" s="680" t="s">
        <v>154</v>
      </c>
      <c r="Q10" s="680" t="s">
        <v>154</v>
      </c>
      <c r="R10" s="680" t="s">
        <v>154</v>
      </c>
      <c r="S10" s="680" t="s">
        <v>154</v>
      </c>
      <c r="T10" s="680" t="s">
        <v>154</v>
      </c>
      <c r="U10" s="680" t="s">
        <v>154</v>
      </c>
      <c r="V10" s="680" t="s">
        <v>154</v>
      </c>
      <c r="W10" s="680" t="s">
        <v>154</v>
      </c>
      <c r="X10" s="502"/>
      <c r="Y10" s="501"/>
      <c r="Z10" s="680" t="s">
        <v>154</v>
      </c>
      <c r="AA10" s="681" t="s">
        <v>155</v>
      </c>
      <c r="AB10" s="502" t="s">
        <v>155</v>
      </c>
      <c r="AC10" s="502" t="s">
        <v>155</v>
      </c>
      <c r="AD10" s="502" t="s">
        <v>155</v>
      </c>
      <c r="AE10" s="502" t="s">
        <v>155</v>
      </c>
      <c r="AF10" s="502" t="s">
        <v>155</v>
      </c>
      <c r="AG10" s="502" t="s">
        <v>155</v>
      </c>
      <c r="AH10" s="502" t="s">
        <v>155</v>
      </c>
      <c r="AI10" s="502"/>
      <c r="AJ10" s="502"/>
      <c r="AK10" s="502"/>
      <c r="AL10" s="502"/>
      <c r="AM10" s="502"/>
      <c r="AN10" s="502"/>
      <c r="AO10" s="502"/>
      <c r="AP10" s="502"/>
      <c r="AQ10" s="502"/>
      <c r="AR10" s="502"/>
      <c r="AS10" s="502"/>
      <c r="AT10" s="502"/>
      <c r="AU10" s="502"/>
      <c r="AV10" s="502"/>
      <c r="AW10" s="499" t="s">
        <v>156</v>
      </c>
      <c r="AX10" s="502"/>
      <c r="AY10" s="502"/>
      <c r="AZ10" s="502"/>
      <c r="BA10" s="387"/>
      <c r="BB10" s="388" t="s">
        <v>154</v>
      </c>
      <c r="BC10" s="388" t="s">
        <v>154</v>
      </c>
      <c r="BD10" s="388"/>
      <c r="BE10" s="502" t="s">
        <v>157</v>
      </c>
      <c r="BF10" s="502"/>
      <c r="BG10" s="502"/>
      <c r="BH10" s="502"/>
      <c r="BI10" s="502"/>
      <c r="BJ10" s="502"/>
      <c r="BK10" s="502"/>
      <c r="BL10" s="502"/>
      <c r="BM10" s="502"/>
      <c r="BN10" s="505" t="s">
        <v>158</v>
      </c>
      <c r="BO10" s="678" t="s">
        <v>4354</v>
      </c>
      <c r="BP10" s="679" t="s">
        <v>561</v>
      </c>
      <c r="BQ10" s="117" t="s">
        <v>159</v>
      </c>
      <c r="BR10" s="200"/>
    </row>
    <row r="11" spans="1:70" s="37" customFormat="1" ht="14.4" x14ac:dyDescent="0.25">
      <c r="A11" s="383" t="s">
        <v>166</v>
      </c>
      <c r="B11" s="493"/>
      <c r="C11" s="493"/>
      <c r="D11" s="493"/>
      <c r="E11" s="493"/>
      <c r="F11" s="493"/>
      <c r="G11" s="493"/>
      <c r="H11" s="493"/>
      <c r="I11" s="494"/>
      <c r="J11" s="493"/>
      <c r="K11" s="493"/>
      <c r="L11" s="493"/>
      <c r="M11" s="493"/>
      <c r="N11" s="495"/>
      <c r="O11" s="384"/>
      <c r="P11" s="384"/>
      <c r="Q11" s="384"/>
      <c r="R11" s="384"/>
      <c r="S11" s="384"/>
      <c r="T11" s="384"/>
      <c r="U11" s="384"/>
      <c r="V11" s="384"/>
      <c r="W11" s="496"/>
      <c r="X11" s="496"/>
      <c r="Y11" s="496"/>
      <c r="Z11" s="496"/>
      <c r="AA11" s="496"/>
      <c r="AB11" s="496"/>
      <c r="AC11" s="496"/>
      <c r="AD11" s="496"/>
      <c r="AE11" s="496"/>
      <c r="AF11" s="496"/>
      <c r="AG11" s="496"/>
      <c r="AH11" s="496"/>
      <c r="AI11" s="496"/>
      <c r="AJ11" s="496"/>
      <c r="AK11" s="496" t="str">
        <f t="shared" si="0"/>
        <v/>
      </c>
      <c r="AL11" s="384"/>
      <c r="AM11" s="496"/>
      <c r="AN11" s="384"/>
      <c r="AO11" s="496"/>
      <c r="AP11" s="384"/>
      <c r="AQ11" s="496"/>
      <c r="AR11" s="384"/>
      <c r="AS11" s="496"/>
      <c r="AT11" s="496"/>
      <c r="AU11" s="496"/>
      <c r="AV11" s="496"/>
      <c r="AW11" s="496"/>
      <c r="AX11" s="496"/>
      <c r="AY11" s="496"/>
      <c r="AZ11" s="496"/>
      <c r="BA11" s="496"/>
      <c r="BB11" s="496"/>
      <c r="BC11" s="496"/>
      <c r="BD11" s="496" t="str">
        <f>LEFT(IF(ISBLANK(O11),"",O11&amp;"*")&amp;IF(ISBLANK(P11),"",P11&amp;"*")&amp;IF(ISBLANK(Q11),"",Q11&amp;"*")&amp;IF(ISBLANK(R11),"",R11&amp;"*"),2)</f>
        <v/>
      </c>
      <c r="BE11" s="493"/>
      <c r="BF11" s="493"/>
      <c r="BG11" s="493"/>
      <c r="BH11" s="493"/>
      <c r="BI11" s="493"/>
      <c r="BJ11" s="493"/>
      <c r="BK11" s="493"/>
      <c r="BL11" s="493"/>
      <c r="BM11" s="493"/>
      <c r="BN11" s="497"/>
      <c r="BO11" s="247"/>
      <c r="BP11" s="247"/>
      <c r="BQ11" s="103"/>
    </row>
    <row r="12" spans="1:70" s="12" customFormat="1" ht="41.25" customHeight="1" x14ac:dyDescent="0.25">
      <c r="A12" s="385" t="s">
        <v>167</v>
      </c>
      <c r="B12" s="498" t="s">
        <v>9</v>
      </c>
      <c r="C12" s="386" t="s">
        <v>168</v>
      </c>
      <c r="D12" s="499" t="s">
        <v>169</v>
      </c>
      <c r="E12" s="499" t="s">
        <v>149</v>
      </c>
      <c r="F12" s="500">
        <v>0</v>
      </c>
      <c r="G12" s="499" t="s">
        <v>149</v>
      </c>
      <c r="H12" s="499" t="s">
        <v>150</v>
      </c>
      <c r="I12" s="499" t="s">
        <v>149</v>
      </c>
      <c r="J12" s="501"/>
      <c r="K12" s="502" t="s">
        <v>151</v>
      </c>
      <c r="L12" s="503" t="s">
        <v>170</v>
      </c>
      <c r="M12" s="503" t="s">
        <v>171</v>
      </c>
      <c r="N12" s="504"/>
      <c r="O12" s="499" t="s">
        <v>172</v>
      </c>
      <c r="P12" s="499" t="s">
        <v>172</v>
      </c>
      <c r="Q12" s="499" t="s">
        <v>172</v>
      </c>
      <c r="R12" s="499" t="s">
        <v>172</v>
      </c>
      <c r="S12" s="682" t="s">
        <v>172</v>
      </c>
      <c r="T12" s="682" t="s">
        <v>172</v>
      </c>
      <c r="U12" s="682" t="s">
        <v>172</v>
      </c>
      <c r="V12" s="682" t="s">
        <v>172</v>
      </c>
      <c r="W12" s="499"/>
      <c r="X12" s="502"/>
      <c r="Y12" s="502"/>
      <c r="Z12" s="502"/>
      <c r="AA12" s="502"/>
      <c r="AB12" s="502"/>
      <c r="AC12" s="502"/>
      <c r="AD12" s="502" t="str">
        <f>IF(ISBLANK(AA12),"",AA12)</f>
        <v/>
      </c>
      <c r="AE12" s="502"/>
      <c r="AF12" s="502"/>
      <c r="AG12" s="502"/>
      <c r="AH12" s="502"/>
      <c r="AI12" s="502"/>
      <c r="AJ12" s="502"/>
      <c r="AK12" s="502"/>
      <c r="AL12" s="389"/>
      <c r="AM12" s="502"/>
      <c r="AN12" s="389"/>
      <c r="AO12" s="502"/>
      <c r="AP12" s="389"/>
      <c r="AQ12" s="502"/>
      <c r="AR12" s="389"/>
      <c r="AS12" s="502"/>
      <c r="AT12" s="502"/>
      <c r="AU12" s="502"/>
      <c r="AV12" s="502"/>
      <c r="AW12" s="499" t="s">
        <v>156</v>
      </c>
      <c r="AX12" s="502"/>
      <c r="AY12" s="502"/>
      <c r="AZ12" s="502"/>
      <c r="BA12" s="387"/>
      <c r="BB12" s="499" t="s">
        <v>172</v>
      </c>
      <c r="BC12" s="499" t="s">
        <v>172</v>
      </c>
      <c r="BD12" s="388"/>
      <c r="BE12" s="502" t="s">
        <v>157</v>
      </c>
      <c r="BF12" s="502"/>
      <c r="BG12" s="502"/>
      <c r="BH12" s="502"/>
      <c r="BI12" s="502"/>
      <c r="BJ12" s="502"/>
      <c r="BK12" s="502"/>
      <c r="BL12" s="502"/>
      <c r="BM12" s="502"/>
      <c r="BN12" s="505" t="s">
        <v>173</v>
      </c>
      <c r="BO12" s="312" t="s">
        <v>4339</v>
      </c>
      <c r="BP12" s="246" t="s">
        <v>561</v>
      </c>
      <c r="BQ12" s="117" t="s">
        <v>174</v>
      </c>
      <c r="BR12" s="200"/>
    </row>
    <row r="13" spans="1:70" s="12" customFormat="1" ht="69.75" customHeight="1" x14ac:dyDescent="0.25">
      <c r="A13" s="385" t="s">
        <v>175</v>
      </c>
      <c r="B13" s="498" t="s">
        <v>9</v>
      </c>
      <c r="C13" s="386" t="s">
        <v>176</v>
      </c>
      <c r="D13" s="499" t="s">
        <v>169</v>
      </c>
      <c r="E13" s="499" t="s">
        <v>149</v>
      </c>
      <c r="F13" s="500">
        <v>0</v>
      </c>
      <c r="G13" s="499" t="s">
        <v>149</v>
      </c>
      <c r="H13" s="499" t="s">
        <v>150</v>
      </c>
      <c r="I13" s="499" t="s">
        <v>149</v>
      </c>
      <c r="J13" s="501"/>
      <c r="K13" s="502" t="s">
        <v>151</v>
      </c>
      <c r="L13" s="503" t="s">
        <v>177</v>
      </c>
      <c r="M13" s="503" t="s">
        <v>171</v>
      </c>
      <c r="N13" s="504"/>
      <c r="O13" s="499" t="s">
        <v>172</v>
      </c>
      <c r="P13" s="499" t="s">
        <v>172</v>
      </c>
      <c r="Q13" s="499" t="s">
        <v>172</v>
      </c>
      <c r="R13" s="499" t="s">
        <v>172</v>
      </c>
      <c r="S13" s="682" t="s">
        <v>172</v>
      </c>
      <c r="T13" s="682" t="s">
        <v>172</v>
      </c>
      <c r="U13" s="682" t="s">
        <v>172</v>
      </c>
      <c r="V13" s="682" t="s">
        <v>172</v>
      </c>
      <c r="W13" s="499"/>
      <c r="X13" s="502"/>
      <c r="Y13" s="502"/>
      <c r="Z13" s="502" t="s">
        <v>172</v>
      </c>
      <c r="AA13" s="502" t="s">
        <v>155</v>
      </c>
      <c r="AB13" s="502" t="s">
        <v>155</v>
      </c>
      <c r="AC13" s="502" t="s">
        <v>155</v>
      </c>
      <c r="AD13" s="502" t="s">
        <v>155</v>
      </c>
      <c r="AE13" s="502" t="s">
        <v>155</v>
      </c>
      <c r="AF13" s="502" t="s">
        <v>155</v>
      </c>
      <c r="AG13" s="502" t="s">
        <v>155</v>
      </c>
      <c r="AH13" s="502" t="s">
        <v>155</v>
      </c>
      <c r="AI13" s="502"/>
      <c r="AJ13" s="502"/>
      <c r="AK13" s="499"/>
      <c r="AL13" s="389"/>
      <c r="AM13" s="502"/>
      <c r="AN13" s="389"/>
      <c r="AO13" s="502"/>
      <c r="AP13" s="389"/>
      <c r="AQ13" s="502"/>
      <c r="AR13" s="389"/>
      <c r="AS13" s="502"/>
      <c r="AT13" s="502"/>
      <c r="AU13" s="502"/>
      <c r="AV13" s="502"/>
      <c r="AW13" s="499" t="s">
        <v>156</v>
      </c>
      <c r="AX13" s="502"/>
      <c r="AY13" s="502"/>
      <c r="AZ13" s="502"/>
      <c r="BA13" s="506"/>
      <c r="BB13" s="499" t="s">
        <v>172</v>
      </c>
      <c r="BC13" s="499" t="s">
        <v>172</v>
      </c>
      <c r="BD13" s="507"/>
      <c r="BE13" s="502" t="s">
        <v>157</v>
      </c>
      <c r="BF13" s="502"/>
      <c r="BG13" s="502"/>
      <c r="BH13" s="502"/>
      <c r="BI13" s="502"/>
      <c r="BJ13" s="502"/>
      <c r="BK13" s="502"/>
      <c r="BL13" s="502"/>
      <c r="BM13" s="502"/>
      <c r="BN13" s="505" t="s">
        <v>178</v>
      </c>
      <c r="BO13" s="312" t="s">
        <v>4339</v>
      </c>
      <c r="BP13" s="246" t="s">
        <v>561</v>
      </c>
      <c r="BQ13" s="117" t="s">
        <v>179</v>
      </c>
    </row>
    <row r="14" spans="1:70" s="12" customFormat="1" ht="41.25" customHeight="1" x14ac:dyDescent="0.25">
      <c r="A14" s="385" t="s">
        <v>180</v>
      </c>
      <c r="B14" s="498" t="s">
        <v>9</v>
      </c>
      <c r="C14" s="386" t="s">
        <v>181</v>
      </c>
      <c r="D14" s="499" t="s">
        <v>169</v>
      </c>
      <c r="E14" s="499" t="s">
        <v>149</v>
      </c>
      <c r="F14" s="500">
        <v>0</v>
      </c>
      <c r="G14" s="499" t="s">
        <v>149</v>
      </c>
      <c r="H14" s="499" t="s">
        <v>150</v>
      </c>
      <c r="I14" s="499" t="s">
        <v>149</v>
      </c>
      <c r="J14" s="501"/>
      <c r="K14" s="502" t="s">
        <v>151</v>
      </c>
      <c r="L14" s="503" t="s">
        <v>182</v>
      </c>
      <c r="M14" s="503" t="s">
        <v>171</v>
      </c>
      <c r="N14" s="504"/>
      <c r="O14" s="499" t="s">
        <v>172</v>
      </c>
      <c r="P14" s="499" t="s">
        <v>172</v>
      </c>
      <c r="Q14" s="499" t="s">
        <v>172</v>
      </c>
      <c r="R14" s="499" t="s">
        <v>172</v>
      </c>
      <c r="S14" s="682" t="s">
        <v>172</v>
      </c>
      <c r="T14" s="682" t="s">
        <v>172</v>
      </c>
      <c r="U14" s="682" t="s">
        <v>172</v>
      </c>
      <c r="V14" s="682" t="s">
        <v>172</v>
      </c>
      <c r="W14" s="499"/>
      <c r="X14" s="502" t="s">
        <v>172</v>
      </c>
      <c r="Y14" s="502" t="s">
        <v>172</v>
      </c>
      <c r="Z14" s="502"/>
      <c r="AA14" s="502"/>
      <c r="AB14" s="502"/>
      <c r="AC14" s="502"/>
      <c r="AD14" s="502" t="str">
        <f>IF(ISBLANK(AA14),"",AA14)</f>
        <v/>
      </c>
      <c r="AE14" s="502"/>
      <c r="AF14" s="502"/>
      <c r="AG14" s="502"/>
      <c r="AH14" s="502"/>
      <c r="AI14" s="502"/>
      <c r="AJ14" s="502"/>
      <c r="AK14" s="499"/>
      <c r="AL14" s="389"/>
      <c r="AM14" s="502"/>
      <c r="AN14" s="389"/>
      <c r="AO14" s="502"/>
      <c r="AP14" s="389"/>
      <c r="AQ14" s="502"/>
      <c r="AR14" s="389"/>
      <c r="AS14" s="502"/>
      <c r="AT14" s="502"/>
      <c r="AU14" s="502"/>
      <c r="AV14" s="502"/>
      <c r="AW14" s="499" t="s">
        <v>156</v>
      </c>
      <c r="AX14" s="502"/>
      <c r="AY14" s="502"/>
      <c r="AZ14" s="502"/>
      <c r="BA14" s="506"/>
      <c r="BB14" s="499" t="s">
        <v>172</v>
      </c>
      <c r="BC14" s="499" t="s">
        <v>172</v>
      </c>
      <c r="BD14" s="507"/>
      <c r="BE14" s="502" t="s">
        <v>157</v>
      </c>
      <c r="BF14" s="502"/>
      <c r="BG14" s="502"/>
      <c r="BH14" s="502"/>
      <c r="BI14" s="502"/>
      <c r="BJ14" s="502"/>
      <c r="BK14" s="502"/>
      <c r="BL14" s="502"/>
      <c r="BM14" s="502"/>
      <c r="BN14" s="505" t="s">
        <v>183</v>
      </c>
      <c r="BO14" s="312" t="s">
        <v>4339</v>
      </c>
      <c r="BP14" s="246" t="s">
        <v>561</v>
      </c>
      <c r="BQ14" s="117" t="s">
        <v>184</v>
      </c>
    </row>
    <row r="15" spans="1:70" s="12" customFormat="1" ht="62.25" customHeight="1" x14ac:dyDescent="0.25">
      <c r="A15" s="385" t="s">
        <v>185</v>
      </c>
      <c r="B15" s="498" t="s">
        <v>51</v>
      </c>
      <c r="C15" s="386" t="s">
        <v>186</v>
      </c>
      <c r="D15" s="499" t="s">
        <v>169</v>
      </c>
      <c r="E15" s="499" t="s">
        <v>149</v>
      </c>
      <c r="F15" s="500">
        <v>0</v>
      </c>
      <c r="G15" s="499" t="s">
        <v>149</v>
      </c>
      <c r="H15" s="499" t="s">
        <v>150</v>
      </c>
      <c r="I15" s="499" t="s">
        <v>149</v>
      </c>
      <c r="J15" s="501"/>
      <c r="K15" s="502" t="s">
        <v>151</v>
      </c>
      <c r="L15" s="503" t="s">
        <v>187</v>
      </c>
      <c r="M15" s="503" t="s">
        <v>171</v>
      </c>
      <c r="N15" s="504"/>
      <c r="O15" s="390"/>
      <c r="P15" s="390"/>
      <c r="Q15" s="390"/>
      <c r="R15" s="390"/>
      <c r="S15" s="390"/>
      <c r="T15" s="390"/>
      <c r="U15" s="390"/>
      <c r="V15" s="390"/>
      <c r="W15" s="499"/>
      <c r="X15" s="502"/>
      <c r="Y15" s="502"/>
      <c r="Z15" s="502" t="s">
        <v>172</v>
      </c>
      <c r="AA15" s="502"/>
      <c r="AB15" s="502"/>
      <c r="AC15" s="502"/>
      <c r="AD15" s="502" t="str">
        <f>IF(ISBLANK(AA15),"",AA15)</f>
        <v/>
      </c>
      <c r="AE15" s="502"/>
      <c r="AF15" s="502"/>
      <c r="AG15" s="502"/>
      <c r="AH15" s="502"/>
      <c r="AI15" s="502"/>
      <c r="AJ15" s="502"/>
      <c r="AK15" s="499"/>
      <c r="AL15" s="389"/>
      <c r="AM15" s="502"/>
      <c r="AN15" s="389"/>
      <c r="AO15" s="502"/>
      <c r="AP15" s="389"/>
      <c r="AQ15" s="502"/>
      <c r="AR15" s="389"/>
      <c r="AS15" s="502"/>
      <c r="AT15" s="502"/>
      <c r="AU15" s="502"/>
      <c r="AV15" s="502"/>
      <c r="AW15" s="499" t="s">
        <v>156</v>
      </c>
      <c r="AX15" s="502"/>
      <c r="AY15" s="502"/>
      <c r="AZ15" s="502"/>
      <c r="BA15" s="506"/>
      <c r="BB15" s="507"/>
      <c r="BC15" s="507"/>
      <c r="BD15" s="507"/>
      <c r="BE15" s="502" t="s">
        <v>157</v>
      </c>
      <c r="BF15" s="502"/>
      <c r="BG15" s="502"/>
      <c r="BH15" s="502"/>
      <c r="BI15" s="502"/>
      <c r="BJ15" s="502"/>
      <c r="BK15" s="502"/>
      <c r="BL15" s="502"/>
      <c r="BM15" s="502"/>
      <c r="BN15" s="505" t="s">
        <v>188</v>
      </c>
      <c r="BO15" s="312" t="s">
        <v>4339</v>
      </c>
      <c r="BP15" s="246" t="s">
        <v>561</v>
      </c>
      <c r="BQ15" s="117" t="s">
        <v>189</v>
      </c>
    </row>
    <row r="16" spans="1:70" s="37" customFormat="1" ht="14.4" x14ac:dyDescent="0.25">
      <c r="A16" s="383" t="s">
        <v>190</v>
      </c>
      <c r="B16" s="493"/>
      <c r="C16" s="493"/>
      <c r="D16" s="493"/>
      <c r="E16" s="493"/>
      <c r="F16" s="493"/>
      <c r="G16" s="493"/>
      <c r="H16" s="493"/>
      <c r="I16" s="494"/>
      <c r="J16" s="493"/>
      <c r="K16" s="493"/>
      <c r="L16" s="493"/>
      <c r="M16" s="493"/>
      <c r="N16" s="495"/>
      <c r="O16" s="384"/>
      <c r="P16" s="384"/>
      <c r="Q16" s="384"/>
      <c r="R16" s="384"/>
      <c r="S16" s="384"/>
      <c r="T16" s="384"/>
      <c r="U16" s="384"/>
      <c r="V16" s="384"/>
      <c r="W16" s="496"/>
      <c r="X16" s="496"/>
      <c r="Y16" s="496"/>
      <c r="Z16" s="496"/>
      <c r="AA16" s="496"/>
      <c r="AB16" s="496"/>
      <c r="AC16" s="496"/>
      <c r="AD16" s="496"/>
      <c r="AE16" s="496"/>
      <c r="AF16" s="496"/>
      <c r="AG16" s="496"/>
      <c r="AH16" s="496"/>
      <c r="AI16" s="496"/>
      <c r="AJ16" s="496"/>
      <c r="AK16" s="496" t="str">
        <f>LEFT(IF(ISBLANK(N16),"",N16&amp;"*")&amp;IF(ISBLANK(O16),"",O16&amp;"*")&amp;IF(ISBLANK(P16),"",P16&amp;"*")&amp;IF(ISBLANK(Q16),"",Q16&amp;"*"),2)</f>
        <v/>
      </c>
      <c r="AL16" s="384"/>
      <c r="AM16" s="496"/>
      <c r="AN16" s="384"/>
      <c r="AO16" s="496"/>
      <c r="AP16" s="384"/>
      <c r="AQ16" s="496"/>
      <c r="AR16" s="384"/>
      <c r="AS16" s="496"/>
      <c r="AT16" s="496"/>
      <c r="AU16" s="506"/>
      <c r="AV16" s="496"/>
      <c r="AW16" s="496"/>
      <c r="AX16" s="496"/>
      <c r="AY16" s="496"/>
      <c r="AZ16" s="496"/>
      <c r="BA16" s="496"/>
      <c r="BB16" s="496"/>
      <c r="BC16" s="496"/>
      <c r="BD16" s="496" t="str">
        <f>LEFT(IF(ISBLANK(O16),"",O16&amp;"*")&amp;IF(ISBLANK(P16),"",P16&amp;"*")&amp;IF(ISBLANK(Q16),"",Q16&amp;"*")&amp;IF(ISBLANK(R16),"",R16&amp;"*"),2)</f>
        <v/>
      </c>
      <c r="BE16" s="493"/>
      <c r="BF16" s="493"/>
      <c r="BG16" s="493"/>
      <c r="BH16" s="493"/>
      <c r="BI16" s="493"/>
      <c r="BJ16" s="493"/>
      <c r="BK16" s="493"/>
      <c r="BL16" s="493"/>
      <c r="BM16" s="493"/>
      <c r="BN16" s="497"/>
      <c r="BO16" s="313"/>
      <c r="BP16" s="251"/>
      <c r="BQ16" s="103"/>
    </row>
    <row r="17" spans="1:79" s="12" customFormat="1" ht="28.8" x14ac:dyDescent="0.25">
      <c r="A17" s="385" t="s">
        <v>191</v>
      </c>
      <c r="B17" s="508" t="s">
        <v>36</v>
      </c>
      <c r="C17" s="712" t="s">
        <v>192</v>
      </c>
      <c r="D17" s="499" t="s">
        <v>193</v>
      </c>
      <c r="E17" s="502" t="s">
        <v>194</v>
      </c>
      <c r="F17" s="500" t="s">
        <v>195</v>
      </c>
      <c r="G17" s="500" t="s">
        <v>196</v>
      </c>
      <c r="H17" s="499" t="s">
        <v>197</v>
      </c>
      <c r="I17" s="499" t="s">
        <v>149</v>
      </c>
      <c r="J17" s="501"/>
      <c r="K17" s="502" t="s">
        <v>151</v>
      </c>
      <c r="L17" s="503" t="s">
        <v>198</v>
      </c>
      <c r="M17" s="503"/>
      <c r="N17" s="504"/>
      <c r="O17" s="499" t="s">
        <v>154</v>
      </c>
      <c r="P17" s="499" t="s">
        <v>154</v>
      </c>
      <c r="Q17" s="499" t="s">
        <v>154</v>
      </c>
      <c r="R17" s="499" t="s">
        <v>154</v>
      </c>
      <c r="S17" s="510" t="s">
        <v>199</v>
      </c>
      <c r="T17" s="510" t="s">
        <v>199</v>
      </c>
      <c r="U17" s="510" t="s">
        <v>199</v>
      </c>
      <c r="V17" s="510" t="s">
        <v>199</v>
      </c>
      <c r="W17" s="502" t="s">
        <v>199</v>
      </c>
      <c r="X17" s="502"/>
      <c r="Y17" s="502"/>
      <c r="Z17" s="502"/>
      <c r="AA17" s="502"/>
      <c r="AB17" s="502"/>
      <c r="AC17" s="502"/>
      <c r="AD17" s="502" t="str">
        <f>IF(ISBLANK(AA17),"",AA17)</f>
        <v/>
      </c>
      <c r="AE17" s="502"/>
      <c r="AF17" s="502"/>
      <c r="AG17" s="502"/>
      <c r="AH17" s="502"/>
      <c r="AI17" s="502"/>
      <c r="AJ17" s="502"/>
      <c r="AK17" s="389"/>
      <c r="AL17" s="389"/>
      <c r="AM17" s="502"/>
      <c r="AN17" s="389"/>
      <c r="AO17" s="502"/>
      <c r="AP17" s="389"/>
      <c r="AQ17" s="502"/>
      <c r="AR17" s="389"/>
      <c r="AS17" s="502"/>
      <c r="AT17" s="502"/>
      <c r="AU17" s="502"/>
      <c r="AV17" s="502"/>
      <c r="AW17" s="499" t="s">
        <v>156</v>
      </c>
      <c r="AX17" s="502"/>
      <c r="AY17" s="502"/>
      <c r="AZ17" s="502"/>
      <c r="BA17" s="391"/>
      <c r="BB17" s="510" t="s">
        <v>199</v>
      </c>
      <c r="BC17" s="510" t="s">
        <v>199</v>
      </c>
      <c r="BD17" s="392"/>
      <c r="BE17" s="502" t="s">
        <v>157</v>
      </c>
      <c r="BF17" s="502"/>
      <c r="BG17" s="502"/>
      <c r="BH17" s="502"/>
      <c r="BI17" s="502"/>
      <c r="BJ17" s="502"/>
      <c r="BK17" s="502"/>
      <c r="BL17" s="502"/>
      <c r="BM17" s="502"/>
      <c r="BN17" s="505" t="s">
        <v>200</v>
      </c>
      <c r="BO17" s="678" t="s">
        <v>4354</v>
      </c>
      <c r="BP17" s="679" t="s">
        <v>561</v>
      </c>
      <c r="BQ17" s="104" t="s">
        <v>201</v>
      </c>
    </row>
    <row r="18" spans="1:79" s="12" customFormat="1" ht="134.25" customHeight="1" x14ac:dyDescent="0.25">
      <c r="A18" s="393" t="s">
        <v>202</v>
      </c>
      <c r="B18" s="498" t="s">
        <v>42</v>
      </c>
      <c r="C18" s="713"/>
      <c r="D18" s="499" t="s">
        <v>193</v>
      </c>
      <c r="E18" s="502"/>
      <c r="F18" s="500" t="s">
        <v>203</v>
      </c>
      <c r="G18" s="500" t="s">
        <v>196</v>
      </c>
      <c r="H18" s="499" t="s">
        <v>197</v>
      </c>
      <c r="I18" s="499" t="s">
        <v>149</v>
      </c>
      <c r="J18" s="501"/>
      <c r="K18" s="502" t="s">
        <v>151</v>
      </c>
      <c r="L18" s="503" t="s">
        <v>204</v>
      </c>
      <c r="M18" s="503" t="s">
        <v>205</v>
      </c>
      <c r="N18" s="504"/>
      <c r="O18" s="390"/>
      <c r="P18" s="390"/>
      <c r="Q18" s="390"/>
      <c r="R18" s="390"/>
      <c r="S18" s="390"/>
      <c r="T18" s="390"/>
      <c r="U18" s="390"/>
      <c r="V18" s="390"/>
      <c r="W18" s="502"/>
      <c r="X18" s="502"/>
      <c r="Y18" s="502"/>
      <c r="Z18" s="502"/>
      <c r="AA18" s="502"/>
      <c r="AB18" s="502"/>
      <c r="AC18" s="502"/>
      <c r="AD18" s="502"/>
      <c r="AE18" s="502"/>
      <c r="AF18" s="502"/>
      <c r="AG18" s="499"/>
      <c r="AH18" s="499"/>
      <c r="AI18" s="499"/>
      <c r="AJ18" s="499"/>
      <c r="AK18" s="502"/>
      <c r="AL18" s="389"/>
      <c r="AM18" s="502"/>
      <c r="AN18" s="389"/>
      <c r="AO18" s="502"/>
      <c r="AP18" s="389"/>
      <c r="AQ18" s="502"/>
      <c r="AR18" s="389"/>
      <c r="AS18" s="502"/>
      <c r="AT18" s="502" t="s">
        <v>199</v>
      </c>
      <c r="AU18" s="502" t="s">
        <v>199</v>
      </c>
      <c r="AV18" s="502"/>
      <c r="AW18" s="499"/>
      <c r="AX18" s="502"/>
      <c r="AY18" s="502"/>
      <c r="AZ18" s="502"/>
      <c r="BA18" s="512"/>
      <c r="BB18" s="513"/>
      <c r="BC18" s="513"/>
      <c r="BD18" s="513"/>
      <c r="BE18" s="502" t="s">
        <v>157</v>
      </c>
      <c r="BF18" s="502"/>
      <c r="BG18" s="502"/>
      <c r="BH18" s="502"/>
      <c r="BI18" s="502"/>
      <c r="BJ18" s="502"/>
      <c r="BK18" s="502"/>
      <c r="BL18" s="502"/>
      <c r="BM18" s="502"/>
      <c r="BN18" s="505" t="s">
        <v>206</v>
      </c>
      <c r="BO18" s="678" t="s">
        <v>4354</v>
      </c>
      <c r="BP18" s="679" t="s">
        <v>561</v>
      </c>
      <c r="BQ18" s="122" t="s">
        <v>207</v>
      </c>
      <c r="BR18" s="254"/>
    </row>
    <row r="19" spans="1:79" s="1" customFormat="1" ht="79.5" customHeight="1" x14ac:dyDescent="0.25">
      <c r="A19" s="393" t="s">
        <v>208</v>
      </c>
      <c r="B19" s="508" t="s">
        <v>45</v>
      </c>
      <c r="C19" s="503" t="s">
        <v>192</v>
      </c>
      <c r="D19" s="499" t="s">
        <v>193</v>
      </c>
      <c r="E19" s="514" t="s">
        <v>209</v>
      </c>
      <c r="F19" s="500" t="s">
        <v>210</v>
      </c>
      <c r="G19" s="836" t="s">
        <v>196</v>
      </c>
      <c r="H19" s="499" t="s">
        <v>197</v>
      </c>
      <c r="I19" s="503" t="s">
        <v>211</v>
      </c>
      <c r="J19" s="499"/>
      <c r="K19" s="502" t="s">
        <v>151</v>
      </c>
      <c r="L19" s="503" t="s">
        <v>212</v>
      </c>
      <c r="M19" s="503"/>
      <c r="N19" s="504"/>
      <c r="O19" s="499" t="s">
        <v>154</v>
      </c>
      <c r="P19" s="499" t="s">
        <v>154</v>
      </c>
      <c r="Q19" s="499" t="s">
        <v>154</v>
      </c>
      <c r="R19" s="499" t="s">
        <v>154</v>
      </c>
      <c r="S19" s="510" t="s">
        <v>199</v>
      </c>
      <c r="T19" s="510" t="s">
        <v>199</v>
      </c>
      <c r="U19" s="510" t="s">
        <v>199</v>
      </c>
      <c r="V19" s="510" t="s">
        <v>199</v>
      </c>
      <c r="W19" s="502"/>
      <c r="X19" s="502"/>
      <c r="Y19" s="502"/>
      <c r="Z19" s="502"/>
      <c r="AA19" s="502"/>
      <c r="AB19" s="502"/>
      <c r="AC19" s="502"/>
      <c r="AD19" s="502"/>
      <c r="AE19" s="502"/>
      <c r="AF19" s="502"/>
      <c r="AG19" s="502"/>
      <c r="AH19" s="502"/>
      <c r="AI19" s="502"/>
      <c r="AJ19" s="502"/>
      <c r="AK19" s="389"/>
      <c r="AL19" s="389"/>
      <c r="AM19" s="502"/>
      <c r="AN19" s="389"/>
      <c r="AO19" s="502"/>
      <c r="AP19" s="389"/>
      <c r="AQ19" s="502"/>
      <c r="AR19" s="389"/>
      <c r="AS19" s="502"/>
      <c r="AT19" s="502"/>
      <c r="AU19" s="502"/>
      <c r="AV19" s="502"/>
      <c r="AW19" s="499" t="s">
        <v>156</v>
      </c>
      <c r="AX19" s="502"/>
      <c r="AY19" s="502"/>
      <c r="AZ19" s="502"/>
      <c r="BA19" s="391"/>
      <c r="BB19" s="510" t="s">
        <v>199</v>
      </c>
      <c r="BC19" s="510" t="s">
        <v>199</v>
      </c>
      <c r="BD19" s="392"/>
      <c r="BE19" s="502" t="s">
        <v>157</v>
      </c>
      <c r="BF19" s="502"/>
      <c r="BG19" s="502"/>
      <c r="BH19" s="502"/>
      <c r="BI19" s="502"/>
      <c r="BJ19" s="502"/>
      <c r="BK19" s="502"/>
      <c r="BL19" s="502"/>
      <c r="BM19" s="502"/>
      <c r="BN19" s="515" t="s">
        <v>213</v>
      </c>
      <c r="BO19" s="678" t="s">
        <v>4354</v>
      </c>
      <c r="BP19" s="679" t="s">
        <v>561</v>
      </c>
      <c r="BQ19" s="122" t="s">
        <v>214</v>
      </c>
    </row>
    <row r="20" spans="1:79" s="1" customFormat="1" ht="30.75" customHeight="1" x14ac:dyDescent="0.25">
      <c r="A20" s="393" t="s">
        <v>215</v>
      </c>
      <c r="B20" s="508" t="s">
        <v>51</v>
      </c>
      <c r="C20" s="503" t="s">
        <v>192</v>
      </c>
      <c r="D20" s="499" t="s">
        <v>193</v>
      </c>
      <c r="E20" s="514"/>
      <c r="F20" s="500" t="s">
        <v>216</v>
      </c>
      <c r="G20" s="836"/>
      <c r="H20" s="499" t="s">
        <v>197</v>
      </c>
      <c r="I20" s="499" t="s">
        <v>149</v>
      </c>
      <c r="J20" s="499"/>
      <c r="K20" s="502" t="s">
        <v>151</v>
      </c>
      <c r="L20" s="503" t="s">
        <v>217</v>
      </c>
      <c r="M20" s="503"/>
      <c r="N20" s="504"/>
      <c r="O20" s="499" t="s">
        <v>154</v>
      </c>
      <c r="P20" s="499" t="s">
        <v>154</v>
      </c>
      <c r="Q20" s="499" t="s">
        <v>154</v>
      </c>
      <c r="R20" s="499" t="s">
        <v>154</v>
      </c>
      <c r="S20" s="510" t="s">
        <v>199</v>
      </c>
      <c r="T20" s="510" t="s">
        <v>199</v>
      </c>
      <c r="U20" s="510" t="s">
        <v>199</v>
      </c>
      <c r="V20" s="510" t="s">
        <v>199</v>
      </c>
      <c r="W20" s="502"/>
      <c r="X20" s="502"/>
      <c r="Y20" s="502"/>
      <c r="Z20" s="502" t="s">
        <v>154</v>
      </c>
      <c r="AA20" s="502" t="s">
        <v>155</v>
      </c>
      <c r="AB20" s="502" t="s">
        <v>155</v>
      </c>
      <c r="AC20" s="502" t="s">
        <v>218</v>
      </c>
      <c r="AD20" s="502" t="s">
        <v>218</v>
      </c>
      <c r="AE20" s="502" t="s">
        <v>155</v>
      </c>
      <c r="AF20" s="502" t="s">
        <v>155</v>
      </c>
      <c r="AG20" s="502" t="s">
        <v>155</v>
      </c>
      <c r="AH20" s="502" t="s">
        <v>155</v>
      </c>
      <c r="AI20" s="502"/>
      <c r="AJ20" s="502"/>
      <c r="AK20" s="389"/>
      <c r="AL20" s="389"/>
      <c r="AM20" s="502"/>
      <c r="AN20" s="389"/>
      <c r="AO20" s="502"/>
      <c r="AP20" s="389"/>
      <c r="AQ20" s="502"/>
      <c r="AR20" s="389"/>
      <c r="AS20" s="502"/>
      <c r="AT20" s="502"/>
      <c r="AU20" s="502"/>
      <c r="AV20" s="502"/>
      <c r="AW20" s="499" t="s">
        <v>156</v>
      </c>
      <c r="AX20" s="502"/>
      <c r="AY20" s="502"/>
      <c r="AZ20" s="502"/>
      <c r="BA20" s="391"/>
      <c r="BB20" s="510" t="s">
        <v>199</v>
      </c>
      <c r="BC20" s="510" t="s">
        <v>199</v>
      </c>
      <c r="BD20" s="392"/>
      <c r="BE20" s="502" t="s">
        <v>157</v>
      </c>
      <c r="BF20" s="502"/>
      <c r="BG20" s="502"/>
      <c r="BH20" s="502"/>
      <c r="BI20" s="502"/>
      <c r="BJ20" s="502"/>
      <c r="BK20" s="502"/>
      <c r="BL20" s="502"/>
      <c r="BM20" s="502"/>
      <c r="BN20" s="515" t="s">
        <v>219</v>
      </c>
      <c r="BO20" s="312" t="s">
        <v>4358</v>
      </c>
      <c r="BP20" s="246" t="s">
        <v>561</v>
      </c>
      <c r="BQ20" s="122" t="s">
        <v>220</v>
      </c>
    </row>
    <row r="21" spans="1:79" s="1" customFormat="1" ht="28.8" x14ac:dyDescent="0.25">
      <c r="A21" s="393" t="s">
        <v>221</v>
      </c>
      <c r="B21" s="508" t="s">
        <v>222</v>
      </c>
      <c r="C21" s="712" t="s">
        <v>223</v>
      </c>
      <c r="D21" s="499" t="s">
        <v>193</v>
      </c>
      <c r="E21" s="502" t="s">
        <v>194</v>
      </c>
      <c r="F21" s="500" t="s">
        <v>195</v>
      </c>
      <c r="G21" s="500" t="s">
        <v>196</v>
      </c>
      <c r="H21" s="499" t="s">
        <v>197</v>
      </c>
      <c r="I21" s="499" t="s">
        <v>149</v>
      </c>
      <c r="J21" s="499"/>
      <c r="K21" s="502" t="s">
        <v>151</v>
      </c>
      <c r="L21" s="503" t="s">
        <v>224</v>
      </c>
      <c r="M21" s="503"/>
      <c r="N21" s="504"/>
      <c r="O21" s="499" t="s">
        <v>154</v>
      </c>
      <c r="P21" s="499" t="s">
        <v>154</v>
      </c>
      <c r="Q21" s="499" t="s">
        <v>154</v>
      </c>
      <c r="R21" s="499" t="s">
        <v>154</v>
      </c>
      <c r="S21" s="510" t="s">
        <v>199</v>
      </c>
      <c r="T21" s="510" t="s">
        <v>199</v>
      </c>
      <c r="U21" s="510" t="s">
        <v>199</v>
      </c>
      <c r="V21" s="510" t="s">
        <v>199</v>
      </c>
      <c r="W21" s="502" t="s">
        <v>199</v>
      </c>
      <c r="X21" s="502"/>
      <c r="Y21" s="502"/>
      <c r="Z21" s="502"/>
      <c r="AA21" s="502"/>
      <c r="AB21" s="502"/>
      <c r="AC21" s="502"/>
      <c r="AD21" s="502" t="str">
        <f>IF(ISBLANK(AA21),"",AA21)</f>
        <v/>
      </c>
      <c r="AE21" s="502"/>
      <c r="AF21" s="502"/>
      <c r="AG21" s="502"/>
      <c r="AH21" s="502"/>
      <c r="AI21" s="502"/>
      <c r="AJ21" s="502"/>
      <c r="AK21" s="389"/>
      <c r="AL21" s="389"/>
      <c r="AM21" s="502"/>
      <c r="AN21" s="389"/>
      <c r="AO21" s="502"/>
      <c r="AP21" s="389"/>
      <c r="AQ21" s="502"/>
      <c r="AR21" s="389"/>
      <c r="AS21" s="502"/>
      <c r="AT21" s="502"/>
      <c r="AU21" s="502"/>
      <c r="AV21" s="502"/>
      <c r="AW21" s="499" t="s">
        <v>156</v>
      </c>
      <c r="AX21" s="502"/>
      <c r="AY21" s="502"/>
      <c r="AZ21" s="502"/>
      <c r="BA21" s="391"/>
      <c r="BB21" s="510" t="s">
        <v>199</v>
      </c>
      <c r="BC21" s="510" t="s">
        <v>199</v>
      </c>
      <c r="BD21" s="392"/>
      <c r="BE21" s="502" t="s">
        <v>157</v>
      </c>
      <c r="BF21" s="502"/>
      <c r="BG21" s="502"/>
      <c r="BH21" s="502"/>
      <c r="BI21" s="502"/>
      <c r="BJ21" s="502"/>
      <c r="BK21" s="502"/>
      <c r="BL21" s="502"/>
      <c r="BM21" s="502"/>
      <c r="BN21" s="505" t="s">
        <v>200</v>
      </c>
      <c r="BO21" s="678" t="s">
        <v>4354</v>
      </c>
      <c r="BP21" s="679" t="s">
        <v>561</v>
      </c>
      <c r="BQ21" s="104" t="s">
        <v>225</v>
      </c>
    </row>
    <row r="22" spans="1:79" s="12" customFormat="1" ht="136.19999999999999" customHeight="1" x14ac:dyDescent="0.25">
      <c r="A22" s="394" t="s">
        <v>226</v>
      </c>
      <c r="B22" s="498" t="s">
        <v>42</v>
      </c>
      <c r="C22" s="713"/>
      <c r="D22" s="499" t="s">
        <v>193</v>
      </c>
      <c r="E22" s="502"/>
      <c r="F22" s="500" t="s">
        <v>203</v>
      </c>
      <c r="G22" s="500" t="s">
        <v>196</v>
      </c>
      <c r="H22" s="499" t="s">
        <v>197</v>
      </c>
      <c r="I22" s="499" t="s">
        <v>149</v>
      </c>
      <c r="J22" s="501"/>
      <c r="K22" s="502" t="s">
        <v>151</v>
      </c>
      <c r="L22" s="503" t="s">
        <v>227</v>
      </c>
      <c r="M22" s="503" t="s">
        <v>205</v>
      </c>
      <c r="N22" s="504"/>
      <c r="O22" s="390"/>
      <c r="P22" s="390"/>
      <c r="Q22" s="390"/>
      <c r="R22" s="390"/>
      <c r="S22" s="390"/>
      <c r="T22" s="390"/>
      <c r="U22" s="390"/>
      <c r="V22" s="390"/>
      <c r="W22" s="502"/>
      <c r="X22" s="502"/>
      <c r="Y22" s="501"/>
      <c r="Z22" s="502"/>
      <c r="AA22" s="502"/>
      <c r="AB22" s="502"/>
      <c r="AC22" s="502"/>
      <c r="AD22" s="502"/>
      <c r="AE22" s="502"/>
      <c r="AF22" s="502"/>
      <c r="AG22" s="499"/>
      <c r="AH22" s="499"/>
      <c r="AI22" s="499"/>
      <c r="AJ22" s="499"/>
      <c r="AK22" s="502"/>
      <c r="AL22" s="389"/>
      <c r="AM22" s="502"/>
      <c r="AN22" s="389"/>
      <c r="AO22" s="502"/>
      <c r="AP22" s="389"/>
      <c r="AQ22" s="502"/>
      <c r="AR22" s="389"/>
      <c r="AS22" s="502"/>
      <c r="AT22" s="502" t="s">
        <v>199</v>
      </c>
      <c r="AU22" s="502" t="s">
        <v>199</v>
      </c>
      <c r="AV22" s="502"/>
      <c r="AW22" s="499"/>
      <c r="AX22" s="502"/>
      <c r="AY22" s="502"/>
      <c r="AZ22" s="502"/>
      <c r="BA22" s="512"/>
      <c r="BB22" s="513"/>
      <c r="BC22" s="513"/>
      <c r="BD22" s="513"/>
      <c r="BE22" s="502" t="s">
        <v>157</v>
      </c>
      <c r="BF22" s="502"/>
      <c r="BG22" s="502"/>
      <c r="BH22" s="502"/>
      <c r="BI22" s="502"/>
      <c r="BJ22" s="502"/>
      <c r="BK22" s="502"/>
      <c r="BL22" s="502"/>
      <c r="BM22" s="502"/>
      <c r="BN22" s="505" t="s">
        <v>206</v>
      </c>
      <c r="BO22" s="678" t="s">
        <v>4354</v>
      </c>
      <c r="BP22" s="679" t="s">
        <v>561</v>
      </c>
      <c r="BQ22" s="122" t="s">
        <v>228</v>
      </c>
      <c r="BR22" s="254"/>
    </row>
    <row r="23" spans="1:79" s="1" customFormat="1" ht="79.5" customHeight="1" x14ac:dyDescent="0.25">
      <c r="A23" s="393" t="s">
        <v>229</v>
      </c>
      <c r="B23" s="508" t="s">
        <v>45</v>
      </c>
      <c r="C23" s="503" t="s">
        <v>223</v>
      </c>
      <c r="D23" s="499" t="s">
        <v>193</v>
      </c>
      <c r="E23" s="514" t="s">
        <v>209</v>
      </c>
      <c r="F23" s="500" t="str">
        <f>F19</f>
        <v>AZLL (Note 1)</v>
      </c>
      <c r="G23" s="836" t="s">
        <v>196</v>
      </c>
      <c r="H23" s="499" t="s">
        <v>197</v>
      </c>
      <c r="I23" s="503" t="s">
        <v>211</v>
      </c>
      <c r="J23" s="499"/>
      <c r="K23" s="502" t="s">
        <v>151</v>
      </c>
      <c r="L23" s="503" t="s">
        <v>230</v>
      </c>
      <c r="M23" s="503"/>
      <c r="N23" s="504"/>
      <c r="O23" s="499" t="s">
        <v>154</v>
      </c>
      <c r="P23" s="499" t="s">
        <v>154</v>
      </c>
      <c r="Q23" s="499" t="s">
        <v>154</v>
      </c>
      <c r="R23" s="499" t="s">
        <v>154</v>
      </c>
      <c r="S23" s="510" t="s">
        <v>199</v>
      </c>
      <c r="T23" s="510" t="s">
        <v>199</v>
      </c>
      <c r="U23" s="510" t="s">
        <v>199</v>
      </c>
      <c r="V23" s="510" t="s">
        <v>199</v>
      </c>
      <c r="W23" s="502"/>
      <c r="X23" s="502"/>
      <c r="Y23" s="502"/>
      <c r="Z23" s="502"/>
      <c r="AA23" s="502"/>
      <c r="AB23" s="502"/>
      <c r="AC23" s="502"/>
      <c r="AD23" s="502"/>
      <c r="AE23" s="502"/>
      <c r="AF23" s="502"/>
      <c r="AG23" s="502"/>
      <c r="AH23" s="502"/>
      <c r="AI23" s="502"/>
      <c r="AJ23" s="502"/>
      <c r="AK23" s="389"/>
      <c r="AL23" s="389"/>
      <c r="AM23" s="502"/>
      <c r="AN23" s="389"/>
      <c r="AO23" s="502"/>
      <c r="AP23" s="389"/>
      <c r="AQ23" s="502"/>
      <c r="AR23" s="389"/>
      <c r="AS23" s="502"/>
      <c r="AT23" s="502"/>
      <c r="AU23" s="502"/>
      <c r="AV23" s="502"/>
      <c r="AW23" s="499" t="s">
        <v>156</v>
      </c>
      <c r="AX23" s="502"/>
      <c r="AY23" s="502"/>
      <c r="AZ23" s="502"/>
      <c r="BA23" s="391"/>
      <c r="BB23" s="510" t="s">
        <v>199</v>
      </c>
      <c r="BC23" s="510" t="s">
        <v>199</v>
      </c>
      <c r="BD23" s="392"/>
      <c r="BE23" s="502" t="s">
        <v>157</v>
      </c>
      <c r="BF23" s="502"/>
      <c r="BG23" s="502"/>
      <c r="BH23" s="502"/>
      <c r="BI23" s="502"/>
      <c r="BJ23" s="502"/>
      <c r="BK23" s="502"/>
      <c r="BL23" s="502"/>
      <c r="BM23" s="502"/>
      <c r="BN23" s="515" t="str">
        <f>BN19</f>
        <v>Note 1: variable level limits based on independent  rectifier current (=G01NHA01BZ00x-BC02), min level 5 cm.
failure cases:
- Level Control
- low or no flow from demin supply</v>
      </c>
      <c r="BO23" s="678" t="s">
        <v>4354</v>
      </c>
      <c r="BP23" s="679" t="s">
        <v>561</v>
      </c>
      <c r="BQ23" s="122" t="str">
        <f>BQ19</f>
        <v>V2.0: 2023-08-25 (JS, DW, BM): nur Hauptgleichrichter und PolGr in S, denn Fehlfall: keine Nachspeisung. Durch Abschalten des Hauptgleichrichter wird der Wasserverbrauch unterbunden. N2 Spülung ist nicht Teil des SIF, da keine großen Wasserleckagen angenommen werden, die nicht durch die Nachspeisung ausgeglichen werden können.
- PolGr verbraucht max. 1,2 l/h @ 16A je Modulgruppe (4 Module).
- varibler Grenzwert nötig (see tab " var. SIS level (intern))
Bei Reglerfehler im Abblaseventil und Levelverschiebung müssen zusätzlich die Abblaseventile sicherheitsgerichtet ??? geöffnet werden, um einen Abbau des Differenzdruckes zu gewährleisten. siehe hierzu nächst niederigeren Levelgrenzwert
V2.0 29.08.2023: (JS, BM, RW, GL, FH): MV circuit breaker not necessary
V3.3, 25.04.2025, FR+BM: variable limit was adjusted (see tab var. level limits)</v>
      </c>
    </row>
    <row r="24" spans="1:79" s="1" customFormat="1" ht="30.75" customHeight="1" x14ac:dyDescent="0.25">
      <c r="A24" s="393" t="s">
        <v>231</v>
      </c>
      <c r="B24" s="508" t="s">
        <v>51</v>
      </c>
      <c r="C24" s="503" t="s">
        <v>223</v>
      </c>
      <c r="D24" s="499" t="s">
        <v>193</v>
      </c>
      <c r="E24" s="514"/>
      <c r="F24" s="500" t="s">
        <v>216</v>
      </c>
      <c r="G24" s="836"/>
      <c r="H24" s="499" t="s">
        <v>197</v>
      </c>
      <c r="I24" s="499" t="s">
        <v>149</v>
      </c>
      <c r="J24" s="390"/>
      <c r="K24" s="502" t="s">
        <v>151</v>
      </c>
      <c r="L24" s="503" t="s">
        <v>232</v>
      </c>
      <c r="M24" s="395"/>
      <c r="N24" s="504"/>
      <c r="O24" s="499" t="s">
        <v>154</v>
      </c>
      <c r="P24" s="499" t="s">
        <v>154</v>
      </c>
      <c r="Q24" s="499" t="s">
        <v>154</v>
      </c>
      <c r="R24" s="499" t="s">
        <v>154</v>
      </c>
      <c r="S24" s="510" t="s">
        <v>199</v>
      </c>
      <c r="T24" s="510" t="s">
        <v>199</v>
      </c>
      <c r="U24" s="510" t="s">
        <v>199</v>
      </c>
      <c r="V24" s="510" t="s">
        <v>199</v>
      </c>
      <c r="W24" s="502"/>
      <c r="X24" s="502"/>
      <c r="Y24" s="502"/>
      <c r="Z24" s="502" t="s">
        <v>154</v>
      </c>
      <c r="AA24" s="502" t="s">
        <v>155</v>
      </c>
      <c r="AB24" s="502" t="s">
        <v>155</v>
      </c>
      <c r="AC24" s="502" t="s">
        <v>218</v>
      </c>
      <c r="AD24" s="502" t="s">
        <v>218</v>
      </c>
      <c r="AE24" s="502" t="s">
        <v>155</v>
      </c>
      <c r="AF24" s="502" t="s">
        <v>155</v>
      </c>
      <c r="AG24" s="502" t="s">
        <v>155</v>
      </c>
      <c r="AH24" s="502" t="s">
        <v>155</v>
      </c>
      <c r="AI24" s="502"/>
      <c r="AJ24" s="502"/>
      <c r="AK24" s="389"/>
      <c r="AL24" s="389"/>
      <c r="AM24" s="502"/>
      <c r="AN24" s="389"/>
      <c r="AO24" s="502"/>
      <c r="AP24" s="389"/>
      <c r="AQ24" s="502"/>
      <c r="AR24" s="389"/>
      <c r="AS24" s="502"/>
      <c r="AT24" s="502"/>
      <c r="AU24" s="502"/>
      <c r="AV24" s="502"/>
      <c r="AW24" s="499" t="s">
        <v>156</v>
      </c>
      <c r="AX24" s="502"/>
      <c r="AY24" s="502"/>
      <c r="AZ24" s="502"/>
      <c r="BA24" s="391"/>
      <c r="BB24" s="510" t="s">
        <v>199</v>
      </c>
      <c r="BC24" s="510" t="s">
        <v>199</v>
      </c>
      <c r="BD24" s="392"/>
      <c r="BE24" s="502" t="s">
        <v>157</v>
      </c>
      <c r="BF24" s="502"/>
      <c r="BG24" s="502"/>
      <c r="BH24" s="502"/>
      <c r="BI24" s="502"/>
      <c r="BJ24" s="502"/>
      <c r="BK24" s="502"/>
      <c r="BL24" s="502"/>
      <c r="BM24" s="502"/>
      <c r="BN24" s="516" t="str">
        <f>BN20</f>
        <v>- Critical and sudden level shifts O2/H2 sides</v>
      </c>
      <c r="BO24" s="312" t="s">
        <v>4358</v>
      </c>
      <c r="BP24" s="246" t="s">
        <v>561</v>
      </c>
      <c r="BQ24" s="365" t="s">
        <v>233</v>
      </c>
    </row>
    <row r="25" spans="1:79" s="37" customFormat="1" ht="14.4" x14ac:dyDescent="0.25">
      <c r="A25" s="383" t="s">
        <v>234</v>
      </c>
      <c r="B25" s="493"/>
      <c r="C25" s="493"/>
      <c r="D25" s="493"/>
      <c r="E25" s="493"/>
      <c r="F25" s="493"/>
      <c r="G25" s="493"/>
      <c r="H25" s="493"/>
      <c r="I25" s="494"/>
      <c r="J25" s="493"/>
      <c r="K25" s="493"/>
      <c r="L25" s="493"/>
      <c r="M25" s="493"/>
      <c r="N25" s="495"/>
      <c r="O25" s="384"/>
      <c r="P25" s="384"/>
      <c r="Q25" s="384"/>
      <c r="R25" s="384"/>
      <c r="S25" s="384"/>
      <c r="T25" s="384"/>
      <c r="U25" s="384"/>
      <c r="V25" s="384"/>
      <c r="W25" s="496"/>
      <c r="X25" s="496"/>
      <c r="Y25" s="496"/>
      <c r="Z25" s="496"/>
      <c r="AA25" s="496"/>
      <c r="AB25" s="496"/>
      <c r="AC25" s="496"/>
      <c r="AD25" s="496"/>
      <c r="AE25" s="496"/>
      <c r="AF25" s="496"/>
      <c r="AG25" s="496"/>
      <c r="AH25" s="496"/>
      <c r="AI25" s="496"/>
      <c r="AJ25" s="496"/>
      <c r="AK25" s="496" t="str">
        <f>LEFT(IF(ISBLANK(N25),"",N25&amp;"*")&amp;IF(ISBLANK(O25),"",O25&amp;"*")&amp;IF(ISBLANK(P25),"",P25&amp;"*")&amp;IF(ISBLANK(Q25),"",Q25&amp;"*"),2)</f>
        <v/>
      </c>
      <c r="AL25" s="384"/>
      <c r="AM25" s="496"/>
      <c r="AN25" s="384"/>
      <c r="AO25" s="496"/>
      <c r="AP25" s="384"/>
      <c r="AQ25" s="496"/>
      <c r="AR25" s="384"/>
      <c r="AS25" s="496"/>
      <c r="AT25" s="496"/>
      <c r="AU25" s="506"/>
      <c r="AV25" s="496"/>
      <c r="AW25" s="496"/>
      <c r="AX25" s="496"/>
      <c r="AY25" s="496"/>
      <c r="AZ25" s="496"/>
      <c r="BA25" s="496"/>
      <c r="BB25" s="496"/>
      <c r="BC25" s="496"/>
      <c r="BD25" s="496" t="str">
        <f>LEFT(IF(ISBLANK(O25),"",O25&amp;"*")&amp;IF(ISBLANK(P25),"",P25&amp;"*")&amp;IF(ISBLANK(Q25),"",Q25&amp;"*")&amp;IF(ISBLANK(R25),"",R25&amp;"*"),2)</f>
        <v/>
      </c>
      <c r="BE25" s="493"/>
      <c r="BF25" s="493"/>
      <c r="BG25" s="493"/>
      <c r="BH25" s="493"/>
      <c r="BI25" s="493"/>
      <c r="BJ25" s="493"/>
      <c r="BK25" s="493"/>
      <c r="BL25" s="493"/>
      <c r="BM25" s="493"/>
      <c r="BN25" s="497"/>
      <c r="BO25" s="313"/>
      <c r="BP25" s="251"/>
      <c r="BQ25" s="103"/>
    </row>
    <row r="26" spans="1:79" s="1" customFormat="1" ht="35.25" customHeight="1" x14ac:dyDescent="0.25">
      <c r="A26" s="393" t="s">
        <v>235</v>
      </c>
      <c r="B26" s="498" t="s">
        <v>51</v>
      </c>
      <c r="C26" s="503" t="s">
        <v>236</v>
      </c>
      <c r="D26" s="499" t="s">
        <v>193</v>
      </c>
      <c r="E26" s="502" t="s">
        <v>237</v>
      </c>
      <c r="F26" s="503" t="s">
        <v>238</v>
      </c>
      <c r="G26" s="503" t="s">
        <v>239</v>
      </c>
      <c r="H26" s="503" t="s">
        <v>240</v>
      </c>
      <c r="I26" s="499" t="s">
        <v>149</v>
      </c>
      <c r="J26" s="499"/>
      <c r="K26" s="502" t="s">
        <v>151</v>
      </c>
      <c r="L26" s="517" t="s">
        <v>241</v>
      </c>
      <c r="M26" s="503"/>
      <c r="N26" s="504"/>
      <c r="O26" s="499" t="s">
        <v>154</v>
      </c>
      <c r="P26" s="499" t="s">
        <v>154</v>
      </c>
      <c r="Q26" s="499" t="s">
        <v>154</v>
      </c>
      <c r="R26" s="499" t="s">
        <v>154</v>
      </c>
      <c r="S26" s="510" t="s">
        <v>199</v>
      </c>
      <c r="T26" s="510" t="s">
        <v>199</v>
      </c>
      <c r="U26" s="510" t="s">
        <v>199</v>
      </c>
      <c r="V26" s="510" t="s">
        <v>199</v>
      </c>
      <c r="W26" s="502"/>
      <c r="X26" s="683" t="s">
        <v>172</v>
      </c>
      <c r="Y26" s="683" t="s">
        <v>172</v>
      </c>
      <c r="Z26" s="502" t="s">
        <v>199</v>
      </c>
      <c r="AA26" s="502"/>
      <c r="AB26" s="502"/>
      <c r="AC26" s="502"/>
      <c r="AD26" s="502"/>
      <c r="AE26" s="502"/>
      <c r="AF26" s="502"/>
      <c r="AG26" s="502"/>
      <c r="AH26" s="502"/>
      <c r="AI26" s="502"/>
      <c r="AJ26" s="502"/>
      <c r="AK26" s="389"/>
      <c r="AL26" s="389"/>
      <c r="AM26" s="502"/>
      <c r="AN26" s="389"/>
      <c r="AO26" s="502"/>
      <c r="AP26" s="389"/>
      <c r="AQ26" s="502"/>
      <c r="AR26" s="389"/>
      <c r="AS26" s="502"/>
      <c r="AT26" s="502"/>
      <c r="AU26" s="502"/>
      <c r="AV26" s="502"/>
      <c r="AW26" s="499" t="s">
        <v>242</v>
      </c>
      <c r="AX26" s="502"/>
      <c r="AY26" s="502"/>
      <c r="AZ26" s="502"/>
      <c r="BA26" s="391"/>
      <c r="BB26" s="510" t="s">
        <v>199</v>
      </c>
      <c r="BC26" s="510" t="s">
        <v>199</v>
      </c>
      <c r="BD26" s="392"/>
      <c r="BE26" s="502" t="s">
        <v>157</v>
      </c>
      <c r="BF26" s="518"/>
      <c r="BG26" s="518"/>
      <c r="BH26" s="518"/>
      <c r="BI26" s="518"/>
      <c r="BJ26" s="518"/>
      <c r="BK26" s="518"/>
      <c r="BL26" s="518"/>
      <c r="BM26" s="518"/>
      <c r="BN26" s="902" t="s">
        <v>243</v>
      </c>
      <c r="BO26" s="312" t="s">
        <v>4337</v>
      </c>
      <c r="BP26" s="246" t="s">
        <v>561</v>
      </c>
      <c r="BQ26" s="888" t="s">
        <v>244</v>
      </c>
    </row>
    <row r="27" spans="1:79" s="4" customFormat="1" ht="35.25" customHeight="1" x14ac:dyDescent="0.25">
      <c r="A27" s="393" t="s">
        <v>245</v>
      </c>
      <c r="B27" s="498" t="s">
        <v>51</v>
      </c>
      <c r="C27" s="503" t="s">
        <v>246</v>
      </c>
      <c r="D27" s="499" t="s">
        <v>193</v>
      </c>
      <c r="E27" s="502" t="s">
        <v>237</v>
      </c>
      <c r="F27" s="503" t="s">
        <v>238</v>
      </c>
      <c r="G27" s="503" t="s">
        <v>239</v>
      </c>
      <c r="H27" s="503" t="s">
        <v>240</v>
      </c>
      <c r="I27" s="499" t="s">
        <v>149</v>
      </c>
      <c r="J27" s="396"/>
      <c r="K27" s="502" t="s">
        <v>151</v>
      </c>
      <c r="L27" s="517" t="s">
        <v>247</v>
      </c>
      <c r="M27" s="503"/>
      <c r="N27" s="504"/>
      <c r="O27" s="499" t="s">
        <v>154</v>
      </c>
      <c r="P27" s="499" t="s">
        <v>154</v>
      </c>
      <c r="Q27" s="499" t="s">
        <v>154</v>
      </c>
      <c r="R27" s="499" t="s">
        <v>154</v>
      </c>
      <c r="S27" s="510" t="s">
        <v>199</v>
      </c>
      <c r="T27" s="510" t="s">
        <v>199</v>
      </c>
      <c r="U27" s="510" t="s">
        <v>199</v>
      </c>
      <c r="V27" s="510" t="s">
        <v>199</v>
      </c>
      <c r="W27" s="519"/>
      <c r="X27" s="683" t="s">
        <v>172</v>
      </c>
      <c r="Y27" s="683" t="s">
        <v>172</v>
      </c>
      <c r="Z27" s="389"/>
      <c r="AA27" s="519"/>
      <c r="AB27" s="519"/>
      <c r="AC27" s="519"/>
      <c r="AD27" s="519"/>
      <c r="AE27" s="519"/>
      <c r="AF27" s="519"/>
      <c r="AG27" s="519"/>
      <c r="AH27" s="519"/>
      <c r="AI27" s="519"/>
      <c r="AJ27" s="519"/>
      <c r="AK27" s="389"/>
      <c r="AL27" s="390"/>
      <c r="AM27" s="499"/>
      <c r="AN27" s="390"/>
      <c r="AO27" s="499"/>
      <c r="AP27" s="390"/>
      <c r="AQ27" s="499"/>
      <c r="AR27" s="390"/>
      <c r="AS27" s="499"/>
      <c r="AT27" s="519"/>
      <c r="AU27" s="519"/>
      <c r="AV27" s="519"/>
      <c r="AW27" s="499" t="s">
        <v>242</v>
      </c>
      <c r="AX27" s="519"/>
      <c r="AY27" s="519"/>
      <c r="AZ27" s="519"/>
      <c r="BA27" s="391"/>
      <c r="BB27" s="510" t="s">
        <v>199</v>
      </c>
      <c r="BC27" s="510" t="s">
        <v>199</v>
      </c>
      <c r="BD27" s="392"/>
      <c r="BE27" s="502" t="s">
        <v>157</v>
      </c>
      <c r="BF27" s="520"/>
      <c r="BG27" s="520"/>
      <c r="BH27" s="520"/>
      <c r="BI27" s="520"/>
      <c r="BJ27" s="520"/>
      <c r="BK27" s="520"/>
      <c r="BL27" s="520"/>
      <c r="BM27" s="520"/>
      <c r="BN27" s="904"/>
      <c r="BO27" s="312" t="s">
        <v>4337</v>
      </c>
      <c r="BP27" s="246" t="s">
        <v>561</v>
      </c>
      <c r="BQ27" s="1183"/>
      <c r="BR27" s="97"/>
    </row>
    <row r="28" spans="1:79" s="1" customFormat="1" ht="88.95" customHeight="1" x14ac:dyDescent="0.3">
      <c r="A28" s="393" t="s">
        <v>248</v>
      </c>
      <c r="B28" s="508" t="s">
        <v>45</v>
      </c>
      <c r="C28" s="503" t="s">
        <v>236</v>
      </c>
      <c r="D28" s="499" t="s">
        <v>193</v>
      </c>
      <c r="E28" s="502" t="s">
        <v>249</v>
      </c>
      <c r="F28" s="503" t="s">
        <v>250</v>
      </c>
      <c r="G28" s="503" t="s">
        <v>239</v>
      </c>
      <c r="H28" s="503" t="s">
        <v>240</v>
      </c>
      <c r="I28" s="508" t="s">
        <v>251</v>
      </c>
      <c r="J28" s="499"/>
      <c r="K28" s="502" t="s">
        <v>151</v>
      </c>
      <c r="L28" s="517" t="s">
        <v>252</v>
      </c>
      <c r="M28" s="503"/>
      <c r="N28" s="504"/>
      <c r="O28" s="499" t="s">
        <v>154</v>
      </c>
      <c r="P28" s="499" t="s">
        <v>154</v>
      </c>
      <c r="Q28" s="499" t="s">
        <v>154</v>
      </c>
      <c r="R28" s="499" t="s">
        <v>154</v>
      </c>
      <c r="S28" s="499" t="s">
        <v>154</v>
      </c>
      <c r="T28" s="499" t="s">
        <v>154</v>
      </c>
      <c r="U28" s="499" t="s">
        <v>154</v>
      </c>
      <c r="V28" s="499" t="s">
        <v>154</v>
      </c>
      <c r="W28" s="502"/>
      <c r="X28" s="502"/>
      <c r="Y28" s="502"/>
      <c r="Z28" s="502" t="s">
        <v>199</v>
      </c>
      <c r="AA28" s="521" t="s">
        <v>218</v>
      </c>
      <c r="AB28" s="521" t="s">
        <v>218</v>
      </c>
      <c r="AC28" s="521" t="s">
        <v>218</v>
      </c>
      <c r="AD28" s="521" t="s">
        <v>155</v>
      </c>
      <c r="AE28" s="521" t="s">
        <v>155</v>
      </c>
      <c r="AF28" s="521" t="s">
        <v>155</v>
      </c>
      <c r="AG28" s="521" t="s">
        <v>218</v>
      </c>
      <c r="AH28" s="521" t="s">
        <v>155</v>
      </c>
      <c r="AI28" s="502"/>
      <c r="AJ28" s="502"/>
      <c r="AK28" s="502"/>
      <c r="AL28" s="502"/>
      <c r="AM28" s="502"/>
      <c r="AN28" s="502"/>
      <c r="AO28" s="502"/>
      <c r="AP28" s="502"/>
      <c r="AQ28" s="502"/>
      <c r="AR28" s="502"/>
      <c r="AS28" s="502"/>
      <c r="AT28" s="502"/>
      <c r="AU28" s="502"/>
      <c r="AV28" s="502"/>
      <c r="AW28" s="499" t="s">
        <v>242</v>
      </c>
      <c r="AX28" s="502"/>
      <c r="AY28" s="502"/>
      <c r="AZ28" s="502"/>
      <c r="BA28" s="391"/>
      <c r="BB28" s="499" t="s">
        <v>154</v>
      </c>
      <c r="BC28" s="499" t="s">
        <v>154</v>
      </c>
      <c r="BD28" s="392"/>
      <c r="BE28" s="502" t="s">
        <v>157</v>
      </c>
      <c r="BF28" s="502"/>
      <c r="BG28" s="502"/>
      <c r="BH28" s="502"/>
      <c r="BI28" s="502"/>
      <c r="BJ28" s="502"/>
      <c r="BK28" s="502"/>
      <c r="BL28" s="502"/>
      <c r="BM28" s="502"/>
      <c r="BN28" s="522" t="s">
        <v>253</v>
      </c>
      <c r="BO28" s="678" t="s">
        <v>4354</v>
      </c>
      <c r="BP28" s="679" t="s">
        <v>561</v>
      </c>
      <c r="BQ28" s="370" t="s">
        <v>254</v>
      </c>
      <c r="BR28" s="97"/>
    </row>
    <row r="29" spans="1:79" s="12" customFormat="1" ht="91.95" customHeight="1" x14ac:dyDescent="0.3">
      <c r="A29" s="394" t="s">
        <v>255</v>
      </c>
      <c r="B29" s="523" t="s">
        <v>51</v>
      </c>
      <c r="C29" s="511" t="s">
        <v>236</v>
      </c>
      <c r="D29" s="501" t="s">
        <v>193</v>
      </c>
      <c r="E29" s="524" t="s">
        <v>249</v>
      </c>
      <c r="F29" s="511" t="s">
        <v>250</v>
      </c>
      <c r="G29" s="511" t="s">
        <v>239</v>
      </c>
      <c r="H29" s="511" t="s">
        <v>240</v>
      </c>
      <c r="I29" s="501" t="s">
        <v>256</v>
      </c>
      <c r="J29" s="514"/>
      <c r="K29" s="518" t="s">
        <v>151</v>
      </c>
      <c r="L29" s="525" t="s">
        <v>257</v>
      </c>
      <c r="M29" s="511"/>
      <c r="N29" s="518"/>
      <c r="O29" s="518"/>
      <c r="P29" s="518"/>
      <c r="Q29" s="518"/>
      <c r="R29" s="518"/>
      <c r="S29" s="518"/>
      <c r="T29" s="518"/>
      <c r="U29" s="518"/>
      <c r="V29" s="518"/>
      <c r="W29" s="518"/>
      <c r="X29" s="518"/>
      <c r="Y29" s="518"/>
      <c r="Z29" s="518"/>
      <c r="AA29" s="518"/>
      <c r="AB29" s="518"/>
      <c r="AC29" s="518"/>
      <c r="AD29" s="518"/>
      <c r="AE29" s="518"/>
      <c r="AF29" s="518"/>
      <c r="AG29" s="521" t="s">
        <v>172</v>
      </c>
      <c r="AH29" s="518"/>
      <c r="AJ29" s="518"/>
      <c r="AK29" s="518"/>
      <c r="AL29" s="518"/>
      <c r="AM29" s="518"/>
      <c r="AN29" s="518"/>
      <c r="AO29" s="518"/>
      <c r="AP29" s="518"/>
      <c r="AQ29" s="518"/>
      <c r="AR29" s="518"/>
      <c r="AS29" s="518"/>
      <c r="AT29" s="518"/>
      <c r="AU29" s="518"/>
      <c r="AV29" s="518"/>
      <c r="AW29" s="518"/>
      <c r="AX29" s="518"/>
      <c r="AY29" s="518"/>
      <c r="AZ29" s="518"/>
      <c r="BA29" s="397"/>
      <c r="BB29" s="398"/>
      <c r="BC29" s="398"/>
      <c r="BD29" s="398"/>
      <c r="BE29" s="518" t="s">
        <v>157</v>
      </c>
      <c r="BF29" s="518"/>
      <c r="BG29" s="518"/>
      <c r="BH29" s="518"/>
      <c r="BI29" s="518"/>
      <c r="BJ29" s="518"/>
      <c r="BK29" s="518"/>
      <c r="BL29" s="518"/>
      <c r="BM29" s="518"/>
      <c r="BN29" s="526" t="s">
        <v>258</v>
      </c>
      <c r="BO29" s="312" t="s">
        <v>4397</v>
      </c>
      <c r="BP29" s="246" t="s">
        <v>561</v>
      </c>
      <c r="BQ29" s="371" t="s">
        <v>259</v>
      </c>
      <c r="BR29" s="200"/>
    </row>
    <row r="30" spans="1:79" s="37" customFormat="1" ht="14.4" x14ac:dyDescent="0.25">
      <c r="A30" s="676" t="s">
        <v>954</v>
      </c>
      <c r="B30" s="493"/>
      <c r="C30" s="493"/>
      <c r="D30" s="495"/>
      <c r="E30" s="493"/>
      <c r="F30" s="493"/>
      <c r="G30" s="493"/>
      <c r="H30" s="493"/>
      <c r="I30" s="494"/>
      <c r="J30" s="493"/>
      <c r="K30" s="493"/>
      <c r="L30" s="493"/>
      <c r="M30" s="527"/>
      <c r="N30" s="495"/>
      <c r="O30" s="384"/>
      <c r="P30" s="384"/>
      <c r="Q30" s="384"/>
      <c r="R30" s="384"/>
      <c r="S30" s="384"/>
      <c r="T30" s="384"/>
      <c r="U30" s="384"/>
      <c r="V30" s="384"/>
      <c r="W30" s="384"/>
      <c r="X30" s="496"/>
      <c r="Y30" s="496"/>
      <c r="Z30" s="496"/>
      <c r="AA30" s="496"/>
      <c r="AB30" s="496"/>
      <c r="AC30" s="496"/>
      <c r="AD30" s="496" t="str">
        <f>IF(ISBLANK(AA30),"",AA30&amp;"*")</f>
        <v/>
      </c>
      <c r="AE30" s="496" t="str">
        <f>IF(ISBLANK(AA30),"",AA30)</f>
        <v/>
      </c>
      <c r="AF30" s="496" t="str">
        <f>IF(ISBLANK(AD30),"",AD30)</f>
        <v/>
      </c>
      <c r="AG30" s="496"/>
      <c r="AH30" s="496"/>
      <c r="AI30" s="496"/>
      <c r="AJ30" s="496"/>
      <c r="AK30" s="496" t="str">
        <f>LEFT(IF(ISBLANK(N30),"",N30&amp;"*")&amp;IF(ISBLANK(O30),"",O30&amp;"*")&amp;IF(ISBLANK(P30),"",P30&amp;"*")&amp;IF(ISBLANK(Q30),"",Q30&amp;"*"),2)</f>
        <v/>
      </c>
      <c r="AL30" s="384"/>
      <c r="AM30" s="496"/>
      <c r="AN30" s="384"/>
      <c r="AO30" s="496"/>
      <c r="AP30" s="384"/>
      <c r="AQ30" s="496"/>
      <c r="AR30" s="384"/>
      <c r="AS30" s="496"/>
      <c r="AT30" s="496"/>
      <c r="AU30" s="496"/>
      <c r="AV30" s="496"/>
      <c r="AW30" s="496"/>
      <c r="AX30" s="496"/>
      <c r="AY30" s="496"/>
      <c r="AZ30" s="496"/>
      <c r="BA30" s="496"/>
      <c r="BB30" s="496"/>
      <c r="BC30" s="496"/>
      <c r="BD30" s="496" t="str">
        <f>LEFT(IF(ISBLANK(O30),"",O30&amp;"*")&amp;IF(ISBLANK(P30),"",P30&amp;"*")&amp;IF(ISBLANK(Q30),"",Q30&amp;"*")&amp;IF(ISBLANK(R30),"",R30&amp;"*"),2)</f>
        <v/>
      </c>
      <c r="BE30" s="493"/>
      <c r="BF30" s="493"/>
      <c r="BG30" s="493"/>
      <c r="BH30" s="493"/>
      <c r="BI30" s="493"/>
      <c r="BJ30" s="493"/>
      <c r="BK30" s="493"/>
      <c r="BL30" s="493"/>
      <c r="BM30" s="493"/>
      <c r="BN30" s="497"/>
      <c r="BO30" s="313"/>
      <c r="BP30" s="251"/>
      <c r="BQ30" s="104"/>
    </row>
    <row r="31" spans="1:79" s="54" customFormat="1" ht="69" customHeight="1" x14ac:dyDescent="0.25">
      <c r="A31" s="1124" t="s">
        <v>282</v>
      </c>
      <c r="B31" s="1122" t="s">
        <v>51</v>
      </c>
      <c r="C31" s="503" t="s">
        <v>283</v>
      </c>
      <c r="D31" s="499" t="s">
        <v>193</v>
      </c>
      <c r="E31" s="499" t="s">
        <v>284</v>
      </c>
      <c r="F31" s="499" t="s">
        <v>285</v>
      </c>
      <c r="G31" s="499" t="s">
        <v>286</v>
      </c>
      <c r="H31" s="499" t="s">
        <v>287</v>
      </c>
      <c r="I31" s="499" t="s">
        <v>149</v>
      </c>
      <c r="J31" s="499"/>
      <c r="K31" s="714" t="s">
        <v>288</v>
      </c>
      <c r="L31" s="714" t="s">
        <v>289</v>
      </c>
      <c r="M31" s="499" t="s">
        <v>290</v>
      </c>
      <c r="N31" s="1074"/>
      <c r="O31" s="714"/>
      <c r="P31" s="714"/>
      <c r="Q31" s="714"/>
      <c r="R31" s="714"/>
      <c r="S31" s="714"/>
      <c r="T31" s="714"/>
      <c r="U31" s="714"/>
      <c r="V31" s="714"/>
      <c r="W31" s="714"/>
      <c r="X31" s="714" t="s">
        <v>154</v>
      </c>
      <c r="Y31" s="714" t="s">
        <v>199</v>
      </c>
      <c r="Z31" s="714"/>
      <c r="AA31" s="714"/>
      <c r="AB31" s="714"/>
      <c r="AC31" s="714"/>
      <c r="AD31" s="714"/>
      <c r="AE31" s="714"/>
      <c r="AF31" s="714"/>
      <c r="AG31" s="714"/>
      <c r="AH31" s="714"/>
      <c r="AI31" s="714"/>
      <c r="AJ31" s="714"/>
      <c r="AK31" s="714"/>
      <c r="AL31" s="714"/>
      <c r="AM31" s="714"/>
      <c r="AN31" s="714"/>
      <c r="AO31" s="714"/>
      <c r="AP31" s="714"/>
      <c r="AQ31" s="714"/>
      <c r="AR31" s="714"/>
      <c r="AS31" s="714"/>
      <c r="AT31" s="714"/>
      <c r="AU31" s="714"/>
      <c r="AV31" s="714"/>
      <c r="AW31" s="714"/>
      <c r="AX31" s="714"/>
      <c r="AY31" s="714"/>
      <c r="AZ31" s="714"/>
      <c r="BA31" s="1059"/>
      <c r="BB31" s="1063"/>
      <c r="BC31" s="1063"/>
      <c r="BD31" s="1063"/>
      <c r="BE31" s="714" t="s">
        <v>157</v>
      </c>
      <c r="BF31" s="536"/>
      <c r="BG31" s="536"/>
      <c r="BH31" s="536"/>
      <c r="BI31" s="536"/>
      <c r="BJ31" s="536"/>
      <c r="BK31" s="536"/>
      <c r="BL31" s="536"/>
      <c r="BM31" s="536"/>
      <c r="BN31" s="1243" t="s">
        <v>291</v>
      </c>
      <c r="BO31" s="1055" t="s">
        <v>4337</v>
      </c>
      <c r="BP31" s="1057" t="s">
        <v>561</v>
      </c>
      <c r="BQ31" s="888" t="s">
        <v>292</v>
      </c>
      <c r="BR31" s="1"/>
      <c r="BS31" s="1"/>
      <c r="BT31" s="1"/>
      <c r="BU31" s="1"/>
      <c r="BV31" s="1"/>
      <c r="BW31" s="1"/>
      <c r="BX31" s="1"/>
      <c r="BY31" s="1"/>
      <c r="BZ31" s="1"/>
      <c r="CA31" s="1"/>
    </row>
    <row r="32" spans="1:79" s="54" customFormat="1" ht="64.2" customHeight="1" x14ac:dyDescent="0.25">
      <c r="A32" s="1125"/>
      <c r="B32" s="1123"/>
      <c r="C32" s="503" t="s">
        <v>293</v>
      </c>
      <c r="D32" s="499" t="s">
        <v>193</v>
      </c>
      <c r="E32" s="499" t="s">
        <v>284</v>
      </c>
      <c r="F32" s="499" t="s">
        <v>285</v>
      </c>
      <c r="G32" s="499" t="s">
        <v>286</v>
      </c>
      <c r="H32" s="499" t="s">
        <v>287</v>
      </c>
      <c r="I32" s="499" t="s">
        <v>149</v>
      </c>
      <c r="J32" s="499"/>
      <c r="K32" s="715"/>
      <c r="L32" s="715"/>
      <c r="M32" s="499" t="s">
        <v>294</v>
      </c>
      <c r="N32" s="1075"/>
      <c r="O32" s="715"/>
      <c r="P32" s="715"/>
      <c r="Q32" s="715"/>
      <c r="R32" s="715"/>
      <c r="S32" s="715"/>
      <c r="T32" s="715"/>
      <c r="U32" s="715"/>
      <c r="V32" s="715"/>
      <c r="W32" s="715"/>
      <c r="X32" s="715"/>
      <c r="Y32" s="715"/>
      <c r="Z32" s="715"/>
      <c r="AA32" s="715"/>
      <c r="AB32" s="715"/>
      <c r="AC32" s="715"/>
      <c r="AD32" s="715"/>
      <c r="AE32" s="715"/>
      <c r="AF32" s="715"/>
      <c r="AG32" s="715"/>
      <c r="AH32" s="715"/>
      <c r="AI32" s="715"/>
      <c r="AJ32" s="715"/>
      <c r="AK32" s="715"/>
      <c r="AL32" s="715"/>
      <c r="AM32" s="715"/>
      <c r="AN32" s="715"/>
      <c r="AO32" s="715"/>
      <c r="AP32" s="715"/>
      <c r="AQ32" s="715"/>
      <c r="AR32" s="715"/>
      <c r="AS32" s="715"/>
      <c r="AT32" s="715"/>
      <c r="AU32" s="715"/>
      <c r="AV32" s="715"/>
      <c r="AW32" s="715"/>
      <c r="AX32" s="715"/>
      <c r="AY32" s="715"/>
      <c r="AZ32" s="715"/>
      <c r="BA32" s="1060"/>
      <c r="BB32" s="1064"/>
      <c r="BC32" s="1064"/>
      <c r="BD32" s="1064"/>
      <c r="BE32" s="715"/>
      <c r="BF32" s="501"/>
      <c r="BG32" s="501"/>
      <c r="BH32" s="501"/>
      <c r="BI32" s="501"/>
      <c r="BJ32" s="501"/>
      <c r="BK32" s="501"/>
      <c r="BL32" s="501"/>
      <c r="BM32" s="501"/>
      <c r="BN32" s="793"/>
      <c r="BO32" s="1056"/>
      <c r="BP32" s="1058"/>
      <c r="BQ32" s="1183"/>
      <c r="BR32" s="1"/>
      <c r="BS32" s="1"/>
      <c r="BT32" s="1"/>
      <c r="BU32" s="1"/>
      <c r="BV32" s="1"/>
      <c r="BW32" s="1"/>
      <c r="BX32" s="1"/>
      <c r="BY32" s="1"/>
      <c r="BZ32" s="1"/>
      <c r="CA32" s="1"/>
    </row>
    <row r="33" spans="1:79" s="54" customFormat="1" ht="35.4" customHeight="1" x14ac:dyDescent="0.25">
      <c r="A33" s="475" t="s">
        <v>260</v>
      </c>
      <c r="B33" s="523" t="s">
        <v>9</v>
      </c>
      <c r="C33" s="368" t="s">
        <v>4362</v>
      </c>
      <c r="D33" s="499"/>
      <c r="E33" s="528" t="s">
        <v>149</v>
      </c>
      <c r="F33" s="503">
        <v>1</v>
      </c>
      <c r="G33" s="528" t="s">
        <v>149</v>
      </c>
      <c r="H33" s="503" t="s">
        <v>150</v>
      </c>
      <c r="I33" s="528" t="s">
        <v>149</v>
      </c>
      <c r="J33" s="686" t="s">
        <v>270</v>
      </c>
      <c r="K33" s="536" t="s">
        <v>151</v>
      </c>
      <c r="L33" s="473" t="s">
        <v>261</v>
      </c>
      <c r="M33" s="687" t="s">
        <v>4363</v>
      </c>
      <c r="N33" s="531"/>
      <c r="O33" s="499" t="s">
        <v>154</v>
      </c>
      <c r="P33" s="499" t="s">
        <v>154</v>
      </c>
      <c r="Q33" s="499" t="s">
        <v>154</v>
      </c>
      <c r="R33" s="499" t="s">
        <v>154</v>
      </c>
      <c r="S33" s="685" t="s">
        <v>199</v>
      </c>
      <c r="T33" s="685" t="s">
        <v>199</v>
      </c>
      <c r="U33" s="685" t="s">
        <v>199</v>
      </c>
      <c r="V33" s="685" t="s">
        <v>199</v>
      </c>
      <c r="W33" s="532"/>
      <c r="X33" s="533"/>
      <c r="Y33" s="533"/>
      <c r="Z33" s="685" t="s">
        <v>199</v>
      </c>
      <c r="AA33" s="400"/>
      <c r="AB33" s="400"/>
      <c r="AC33" s="400"/>
      <c r="AD33" s="400"/>
      <c r="AE33" s="400"/>
      <c r="AF33" s="400"/>
      <c r="AG33" s="400"/>
      <c r="AH33" s="400"/>
      <c r="AI33" s="400"/>
      <c r="AJ33" s="400"/>
      <c r="AK33" s="532"/>
      <c r="AL33" s="400"/>
      <c r="AM33" s="532"/>
      <c r="AN33" s="400"/>
      <c r="AO33" s="532"/>
      <c r="AP33" s="400"/>
      <c r="AQ33" s="532"/>
      <c r="AR33" s="400"/>
      <c r="AS33" s="532"/>
      <c r="AT33" s="533"/>
      <c r="AU33" s="533"/>
      <c r="AV33" s="533"/>
      <c r="AW33" s="532"/>
      <c r="AX33" s="533"/>
      <c r="AY33" s="533"/>
      <c r="AZ33" s="533"/>
      <c r="BA33" s="534"/>
      <c r="BB33" s="691" t="s">
        <v>199</v>
      </c>
      <c r="BC33" s="691" t="s">
        <v>199</v>
      </c>
      <c r="BD33" s="535"/>
      <c r="BE33" s="499" t="s">
        <v>157</v>
      </c>
      <c r="BF33" s="536"/>
      <c r="BG33" s="536"/>
      <c r="BH33" s="536"/>
      <c r="BI33" s="536"/>
      <c r="BJ33" s="536"/>
      <c r="BK33" s="536"/>
      <c r="BL33" s="536"/>
      <c r="BM33" s="536"/>
      <c r="BN33" s="537" t="s">
        <v>262</v>
      </c>
      <c r="BO33" s="312" t="s">
        <v>4397</v>
      </c>
      <c r="BP33" s="246" t="s">
        <v>561</v>
      </c>
      <c r="BQ33" s="268" t="s">
        <v>263</v>
      </c>
      <c r="BR33" s="1"/>
      <c r="BS33" s="1"/>
      <c r="BT33" s="1"/>
      <c r="BU33" s="1"/>
      <c r="BV33" s="1"/>
      <c r="BW33" s="1"/>
      <c r="BX33" s="1"/>
      <c r="BY33" s="1"/>
      <c r="BZ33" s="1"/>
      <c r="CA33" s="1"/>
    </row>
    <row r="34" spans="1:79" s="54" customFormat="1" ht="52.5" customHeight="1" x14ac:dyDescent="0.25">
      <c r="A34" s="1098" t="s">
        <v>264</v>
      </c>
      <c r="B34" s="970" t="s">
        <v>9</v>
      </c>
      <c r="C34" s="528" t="s">
        <v>265</v>
      </c>
      <c r="D34" s="499" t="s">
        <v>193</v>
      </c>
      <c r="E34" s="528" t="s">
        <v>149</v>
      </c>
      <c r="F34" s="503" t="s">
        <v>266</v>
      </c>
      <c r="G34" s="528" t="s">
        <v>267</v>
      </c>
      <c r="H34" s="503" t="s">
        <v>268</v>
      </c>
      <c r="I34" s="827" t="s">
        <v>269</v>
      </c>
      <c r="J34" s="714"/>
      <c r="K34" s="714" t="s">
        <v>270</v>
      </c>
      <c r="L34" s="1102" t="s">
        <v>271</v>
      </c>
      <c r="M34" s="539" t="s">
        <v>272</v>
      </c>
      <c r="N34" s="1084"/>
      <c r="O34" s="1084"/>
      <c r="P34" s="1084"/>
      <c r="Q34" s="1084"/>
      <c r="R34" s="1084"/>
      <c r="S34" s="1084"/>
      <c r="T34" s="1084"/>
      <c r="U34" s="1084"/>
      <c r="V34" s="1084"/>
      <c r="W34" s="1084"/>
      <c r="X34" s="1084"/>
      <c r="Y34" s="1084"/>
      <c r="Z34" s="1084"/>
      <c r="AA34" s="1084"/>
      <c r="AB34" s="1084"/>
      <c r="AC34" s="1084"/>
      <c r="AD34" s="1084"/>
      <c r="AE34" s="1084"/>
      <c r="AF34" s="1084"/>
      <c r="AG34" s="1084"/>
      <c r="AH34" s="1084"/>
      <c r="AI34" s="1236" t="s">
        <v>199</v>
      </c>
      <c r="AJ34" s="1084"/>
      <c r="AK34" s="1084"/>
      <c r="AL34" s="1084"/>
      <c r="AM34" s="1084"/>
      <c r="AN34" s="1084"/>
      <c r="AO34" s="1084"/>
      <c r="AP34" s="1084"/>
      <c r="AQ34" s="1084"/>
      <c r="AR34" s="1084"/>
      <c r="AS34" s="1084"/>
      <c r="AT34" s="1084"/>
      <c r="AU34" s="1084"/>
      <c r="AV34" s="1084"/>
      <c r="AW34" s="1084"/>
      <c r="AX34" s="1084"/>
      <c r="AY34" s="1084"/>
      <c r="AZ34" s="1084"/>
      <c r="BA34" s="908"/>
      <c r="BB34" s="754"/>
      <c r="BC34" s="754"/>
      <c r="BD34" s="754"/>
      <c r="BE34" s="714" t="s">
        <v>157</v>
      </c>
      <c r="BF34" s="536"/>
      <c r="BG34" s="536"/>
      <c r="BH34" s="536"/>
      <c r="BI34" s="536"/>
      <c r="BJ34" s="536"/>
      <c r="BK34" s="536"/>
      <c r="BL34" s="536"/>
      <c r="BM34" s="536"/>
      <c r="BN34" s="1086" t="s">
        <v>4394</v>
      </c>
      <c r="BO34" s="1088" t="s">
        <v>4397</v>
      </c>
      <c r="BP34" s="1057" t="s">
        <v>561</v>
      </c>
      <c r="BQ34" s="1090" t="s">
        <v>273</v>
      </c>
      <c r="BR34" s="1"/>
      <c r="BS34" s="1"/>
      <c r="BT34" s="1"/>
      <c r="BU34" s="1"/>
      <c r="BV34" s="1"/>
      <c r="BW34" s="1"/>
      <c r="BX34" s="1"/>
      <c r="BY34" s="1"/>
      <c r="BZ34" s="1"/>
      <c r="CA34" s="1"/>
    </row>
    <row r="35" spans="1:79" s="54" customFormat="1" ht="52.5" customHeight="1" x14ac:dyDescent="0.25">
      <c r="A35" s="1099"/>
      <c r="B35" s="972"/>
      <c r="C35" s="528" t="s">
        <v>236</v>
      </c>
      <c r="D35" s="499" t="s">
        <v>193</v>
      </c>
      <c r="E35" s="528" t="s">
        <v>149</v>
      </c>
      <c r="F35" s="503" t="s">
        <v>274</v>
      </c>
      <c r="G35" s="528" t="s">
        <v>239</v>
      </c>
      <c r="H35" s="503" t="s">
        <v>240</v>
      </c>
      <c r="I35" s="828"/>
      <c r="J35" s="715"/>
      <c r="K35" s="715"/>
      <c r="L35" s="1103"/>
      <c r="M35" s="539" t="s">
        <v>275</v>
      </c>
      <c r="N35" s="1085"/>
      <c r="O35" s="1085"/>
      <c r="P35" s="1085"/>
      <c r="Q35" s="1085"/>
      <c r="R35" s="1085"/>
      <c r="S35" s="1085"/>
      <c r="T35" s="1085"/>
      <c r="U35" s="1085"/>
      <c r="V35" s="1085"/>
      <c r="W35" s="1085"/>
      <c r="X35" s="1085"/>
      <c r="Y35" s="1085"/>
      <c r="Z35" s="1085"/>
      <c r="AA35" s="1085"/>
      <c r="AB35" s="1085"/>
      <c r="AC35" s="1085"/>
      <c r="AD35" s="1085"/>
      <c r="AE35" s="1085"/>
      <c r="AF35" s="1085"/>
      <c r="AG35" s="1085"/>
      <c r="AH35" s="1085"/>
      <c r="AI35" s="1237"/>
      <c r="AJ35" s="1085"/>
      <c r="AK35" s="1085"/>
      <c r="AL35" s="1085"/>
      <c r="AM35" s="1085"/>
      <c r="AN35" s="1085"/>
      <c r="AO35" s="1085"/>
      <c r="AP35" s="1085"/>
      <c r="AQ35" s="1085"/>
      <c r="AR35" s="1085"/>
      <c r="AS35" s="1085"/>
      <c r="AT35" s="1085"/>
      <c r="AU35" s="1085"/>
      <c r="AV35" s="1085"/>
      <c r="AW35" s="1085"/>
      <c r="AX35" s="1085"/>
      <c r="AY35" s="1085"/>
      <c r="AZ35" s="1085"/>
      <c r="BA35" s="756"/>
      <c r="BB35" s="755"/>
      <c r="BC35" s="755"/>
      <c r="BD35" s="755"/>
      <c r="BE35" s="715"/>
      <c r="BF35" s="501"/>
      <c r="BG35" s="501"/>
      <c r="BH35" s="501"/>
      <c r="BI35" s="501"/>
      <c r="BJ35" s="501"/>
      <c r="BK35" s="501"/>
      <c r="BL35" s="501"/>
      <c r="BM35" s="501"/>
      <c r="BN35" s="1087"/>
      <c r="BO35" s="1089"/>
      <c r="BP35" s="1058"/>
      <c r="BQ35" s="1091"/>
      <c r="BR35" s="1"/>
      <c r="BS35" s="1"/>
      <c r="BT35" s="1"/>
      <c r="BU35" s="1"/>
      <c r="BV35" s="1"/>
      <c r="BW35" s="1"/>
      <c r="BX35" s="1"/>
      <c r="BY35" s="1"/>
      <c r="BZ35" s="1"/>
      <c r="CA35" s="1"/>
    </row>
    <row r="36" spans="1:79" s="54" customFormat="1" ht="52.5" customHeight="1" x14ac:dyDescent="0.25">
      <c r="A36" s="1098" t="s">
        <v>276</v>
      </c>
      <c r="B36" s="970" t="s">
        <v>9</v>
      </c>
      <c r="C36" s="368" t="s">
        <v>277</v>
      </c>
      <c r="D36" s="369" t="s">
        <v>193</v>
      </c>
      <c r="E36" s="368" t="s">
        <v>149</v>
      </c>
      <c r="F36" s="347" t="s">
        <v>266</v>
      </c>
      <c r="G36" s="368" t="s">
        <v>267</v>
      </c>
      <c r="H36" s="347" t="s">
        <v>268</v>
      </c>
      <c r="I36" s="1100" t="s">
        <v>269</v>
      </c>
      <c r="J36" s="1082"/>
      <c r="K36" s="1082" t="s">
        <v>270</v>
      </c>
      <c r="L36" s="1102" t="s">
        <v>278</v>
      </c>
      <c r="M36" s="366" t="s">
        <v>279</v>
      </c>
      <c r="N36" s="1084"/>
      <c r="O36" s="1084"/>
      <c r="P36" s="1084"/>
      <c r="Q36" s="1084"/>
      <c r="R36" s="1084"/>
      <c r="S36" s="1084"/>
      <c r="T36" s="1084"/>
      <c r="U36" s="1084"/>
      <c r="V36" s="1084"/>
      <c r="W36" s="1084"/>
      <c r="X36" s="1084"/>
      <c r="Y36" s="1084"/>
      <c r="Z36" s="1084"/>
      <c r="AA36" s="1084"/>
      <c r="AB36" s="1084"/>
      <c r="AC36" s="1084"/>
      <c r="AD36" s="1084"/>
      <c r="AE36" s="1084"/>
      <c r="AF36" s="1084"/>
      <c r="AG36" s="1084"/>
      <c r="AH36" s="1084"/>
      <c r="AI36" s="1084"/>
      <c r="AJ36" s="1092" t="s">
        <v>154</v>
      </c>
      <c r="AK36" s="1084"/>
      <c r="AL36" s="1084"/>
      <c r="AM36" s="1084"/>
      <c r="AN36" s="1084"/>
      <c r="AO36" s="1084"/>
      <c r="AP36" s="1084"/>
      <c r="AQ36" s="1084"/>
      <c r="AR36" s="1084"/>
      <c r="AS36" s="1084"/>
      <c r="AT36" s="1084"/>
      <c r="AU36" s="1084"/>
      <c r="AV36" s="1084"/>
      <c r="AW36" s="1084"/>
      <c r="AX36" s="1084"/>
      <c r="AY36" s="1084"/>
      <c r="AZ36" s="1084"/>
      <c r="BA36" s="908"/>
      <c r="BB36" s="754"/>
      <c r="BC36" s="754"/>
      <c r="BD36" s="754"/>
      <c r="BE36" s="714" t="s">
        <v>157</v>
      </c>
      <c r="BF36" s="536"/>
      <c r="BG36" s="536"/>
      <c r="BH36" s="536"/>
      <c r="BI36" s="536"/>
      <c r="BJ36" s="536"/>
      <c r="BK36" s="536"/>
      <c r="BL36" s="536"/>
      <c r="BM36" s="536"/>
      <c r="BN36" s="1086" t="s">
        <v>4395</v>
      </c>
      <c r="BO36" s="1088" t="s">
        <v>4397</v>
      </c>
      <c r="BP36" s="1057" t="s">
        <v>561</v>
      </c>
      <c r="BQ36" s="1090" t="s">
        <v>280</v>
      </c>
      <c r="BR36" s="1"/>
      <c r="BS36" s="1"/>
      <c r="BT36" s="1"/>
      <c r="BU36" s="1"/>
      <c r="BV36" s="1"/>
      <c r="BW36" s="1"/>
      <c r="BX36" s="1"/>
      <c r="BY36" s="1"/>
      <c r="BZ36" s="1"/>
      <c r="CA36" s="1"/>
    </row>
    <row r="37" spans="1:79" s="54" customFormat="1" ht="52.5" customHeight="1" x14ac:dyDescent="0.25">
      <c r="A37" s="1099"/>
      <c r="B37" s="972"/>
      <c r="C37" s="368" t="s">
        <v>246</v>
      </c>
      <c r="D37" s="369" t="s">
        <v>193</v>
      </c>
      <c r="E37" s="368" t="s">
        <v>149</v>
      </c>
      <c r="F37" s="347" t="s">
        <v>274</v>
      </c>
      <c r="G37" s="368" t="s">
        <v>239</v>
      </c>
      <c r="H37" s="347" t="s">
        <v>240</v>
      </c>
      <c r="I37" s="1101"/>
      <c r="J37" s="1083"/>
      <c r="K37" s="1083"/>
      <c r="L37" s="1103"/>
      <c r="M37" s="366" t="s">
        <v>281</v>
      </c>
      <c r="N37" s="1085"/>
      <c r="O37" s="1085"/>
      <c r="P37" s="1085"/>
      <c r="Q37" s="1085"/>
      <c r="R37" s="1085"/>
      <c r="S37" s="1085"/>
      <c r="T37" s="1085"/>
      <c r="U37" s="1085"/>
      <c r="V37" s="1085"/>
      <c r="W37" s="1085"/>
      <c r="X37" s="1085"/>
      <c r="Y37" s="1085"/>
      <c r="Z37" s="1085"/>
      <c r="AA37" s="1085"/>
      <c r="AB37" s="1085"/>
      <c r="AC37" s="1085"/>
      <c r="AD37" s="1085"/>
      <c r="AE37" s="1085"/>
      <c r="AF37" s="1085"/>
      <c r="AG37" s="1085"/>
      <c r="AH37" s="1085"/>
      <c r="AI37" s="1085"/>
      <c r="AJ37" s="1093"/>
      <c r="AK37" s="1085"/>
      <c r="AL37" s="1085"/>
      <c r="AM37" s="1085"/>
      <c r="AN37" s="1085"/>
      <c r="AO37" s="1085"/>
      <c r="AP37" s="1085"/>
      <c r="AQ37" s="1085"/>
      <c r="AR37" s="1085"/>
      <c r="AS37" s="1085"/>
      <c r="AT37" s="1085"/>
      <c r="AU37" s="1085"/>
      <c r="AV37" s="1085"/>
      <c r="AW37" s="1085"/>
      <c r="AX37" s="1085"/>
      <c r="AY37" s="1085"/>
      <c r="AZ37" s="1085"/>
      <c r="BA37" s="756"/>
      <c r="BB37" s="755"/>
      <c r="BC37" s="755"/>
      <c r="BD37" s="755"/>
      <c r="BE37" s="715"/>
      <c r="BF37" s="501"/>
      <c r="BG37" s="501"/>
      <c r="BH37" s="501"/>
      <c r="BI37" s="501"/>
      <c r="BJ37" s="501"/>
      <c r="BK37" s="501"/>
      <c r="BL37" s="501"/>
      <c r="BM37" s="501"/>
      <c r="BN37" s="1087"/>
      <c r="BO37" s="1089"/>
      <c r="BP37" s="1058"/>
      <c r="BQ37" s="1091"/>
      <c r="BR37" s="1"/>
      <c r="BS37" s="1"/>
      <c r="BT37" s="1"/>
      <c r="BU37" s="1"/>
      <c r="BV37" s="1"/>
      <c r="BW37" s="1"/>
      <c r="BX37" s="1"/>
      <c r="BY37" s="1"/>
      <c r="BZ37" s="1"/>
      <c r="CA37" s="1"/>
    </row>
    <row r="38" spans="1:79" s="37" customFormat="1" ht="14.4" x14ac:dyDescent="0.25">
      <c r="A38" s="383" t="s">
        <v>295</v>
      </c>
      <c r="B38" s="493"/>
      <c r="C38" s="493"/>
      <c r="D38" s="495"/>
      <c r="E38" s="493"/>
      <c r="F38" s="493"/>
      <c r="G38" s="493"/>
      <c r="H38" s="493"/>
      <c r="I38" s="494"/>
      <c r="J38" s="493"/>
      <c r="K38" s="493"/>
      <c r="L38" s="493"/>
      <c r="M38" s="493"/>
      <c r="N38" s="495"/>
      <c r="O38" s="384"/>
      <c r="P38" s="384"/>
      <c r="Q38" s="384"/>
      <c r="R38" s="384"/>
      <c r="S38" s="384"/>
      <c r="T38" s="384"/>
      <c r="U38" s="384"/>
      <c r="V38" s="384"/>
      <c r="W38" s="384"/>
      <c r="X38" s="496"/>
      <c r="Y38" s="496"/>
      <c r="Z38" s="496"/>
      <c r="AA38" s="496"/>
      <c r="AB38" s="496"/>
      <c r="AC38" s="496"/>
      <c r="AD38" s="496" t="str">
        <f t="shared" ref="AD38:AD64" si="1">IF(ISBLANK(AA38),"",AA38)</f>
        <v/>
      </c>
      <c r="AE38" s="496" t="str">
        <f t="shared" ref="AE38:AE64" si="2">IF(ISBLANK(AA38),"",AA38)</f>
        <v/>
      </c>
      <c r="AF38" s="496" t="str">
        <f t="shared" ref="AF38:AF64" si="3">IF(ISBLANK(AD38),"",AD38)</f>
        <v/>
      </c>
      <c r="AG38" s="496"/>
      <c r="AH38" s="496"/>
      <c r="AI38" s="496"/>
      <c r="AJ38" s="496"/>
      <c r="AK38" s="496" t="str">
        <f>LEFT(IF(ISBLANK(N38),"",N38&amp;"*")&amp;IF(ISBLANK(O38),"",O38&amp;"*")&amp;IF(ISBLANK(P38),"",P38&amp;"*")&amp;IF(ISBLANK(Q38),"",Q38&amp;"*"),2)</f>
        <v/>
      </c>
      <c r="AL38" s="384"/>
      <c r="AM38" s="496"/>
      <c r="AN38" s="384"/>
      <c r="AO38" s="496"/>
      <c r="AP38" s="384"/>
      <c r="AQ38" s="496"/>
      <c r="AR38" s="384"/>
      <c r="AS38" s="496"/>
      <c r="AT38" s="496"/>
      <c r="AU38" s="496"/>
      <c r="AV38" s="496"/>
      <c r="AW38" s="496"/>
      <c r="AX38" s="496"/>
      <c r="AY38" s="496"/>
      <c r="AZ38" s="496"/>
      <c r="BA38" s="496"/>
      <c r="BB38" s="496"/>
      <c r="BC38" s="496"/>
      <c r="BD38" s="496" t="str">
        <f>LEFT(IF(ISBLANK(O38),"",O38&amp;"*")&amp;IF(ISBLANK(P38),"",P38&amp;"*")&amp;IF(ISBLANK(Q38),"",Q38&amp;"*")&amp;IF(ISBLANK(R38),"",R38&amp;"*"),2)</f>
        <v/>
      </c>
      <c r="BE38" s="493"/>
      <c r="BF38" s="493"/>
      <c r="BG38" s="493"/>
      <c r="BH38" s="493"/>
      <c r="BI38" s="493"/>
      <c r="BJ38" s="493"/>
      <c r="BK38" s="493"/>
      <c r="BL38" s="493"/>
      <c r="BM38" s="493"/>
      <c r="BN38" s="497"/>
      <c r="BO38" s="313"/>
      <c r="BP38" s="251"/>
      <c r="BQ38" s="104"/>
    </row>
    <row r="39" spans="1:79" s="1" customFormat="1" ht="14.4" x14ac:dyDescent="0.25">
      <c r="A39" s="1124" t="s">
        <v>296</v>
      </c>
      <c r="B39" s="970" t="s">
        <v>51</v>
      </c>
      <c r="C39" s="503" t="s">
        <v>297</v>
      </c>
      <c r="D39" s="499" t="s">
        <v>193</v>
      </c>
      <c r="E39" s="502" t="s">
        <v>298</v>
      </c>
      <c r="F39" s="503" t="s">
        <v>299</v>
      </c>
      <c r="G39" s="503" t="s">
        <v>196</v>
      </c>
      <c r="H39" s="503" t="s">
        <v>300</v>
      </c>
      <c r="I39" s="499" t="s">
        <v>149</v>
      </c>
      <c r="J39" s="499"/>
      <c r="K39" s="1065" t="s">
        <v>301</v>
      </c>
      <c r="L39" s="714" t="s">
        <v>302</v>
      </c>
      <c r="M39" s="499" t="s">
        <v>303</v>
      </c>
      <c r="N39" s="1074"/>
      <c r="O39" s="714" t="s">
        <v>154</v>
      </c>
      <c r="P39" s="714" t="s">
        <v>154</v>
      </c>
      <c r="Q39" s="714" t="s">
        <v>154</v>
      </c>
      <c r="R39" s="714" t="s">
        <v>154</v>
      </c>
      <c r="S39" s="1061" t="s">
        <v>199</v>
      </c>
      <c r="T39" s="1061" t="s">
        <v>199</v>
      </c>
      <c r="U39" s="1061" t="s">
        <v>199</v>
      </c>
      <c r="V39" s="1061" t="s">
        <v>199</v>
      </c>
      <c r="W39" s="1067"/>
      <c r="X39" s="1067"/>
      <c r="Y39" s="1067"/>
      <c r="Z39" s="1067"/>
      <c r="AA39" s="1067"/>
      <c r="AB39" s="1067"/>
      <c r="AC39" s="1067"/>
      <c r="AD39" s="1067"/>
      <c r="AE39" s="1067"/>
      <c r="AF39" s="1067"/>
      <c r="AG39" s="1067"/>
      <c r="AH39" s="1067"/>
      <c r="AI39" s="1067"/>
      <c r="AJ39" s="1067"/>
      <c r="AK39" s="1067"/>
      <c r="AL39" s="1067"/>
      <c r="AM39" s="1067"/>
      <c r="AN39" s="1067"/>
      <c r="AO39" s="1067"/>
      <c r="AP39" s="1067"/>
      <c r="AQ39" s="1067"/>
      <c r="AR39" s="1067"/>
      <c r="AS39" s="1067"/>
      <c r="AT39" s="1067"/>
      <c r="AU39" s="1067"/>
      <c r="AV39" s="1067"/>
      <c r="AW39" s="1067"/>
      <c r="AX39" s="1067"/>
      <c r="AY39" s="1067"/>
      <c r="AZ39" s="1067"/>
      <c r="BA39" s="1059"/>
      <c r="BB39" s="1061" t="s">
        <v>199</v>
      </c>
      <c r="BC39" s="1061" t="s">
        <v>199</v>
      </c>
      <c r="BD39" s="1063"/>
      <c r="BE39" s="1065" t="s">
        <v>157</v>
      </c>
      <c r="BF39" s="518"/>
      <c r="BG39" s="518"/>
      <c r="BH39" s="518"/>
      <c r="BI39" s="518"/>
      <c r="BJ39" s="518"/>
      <c r="BK39" s="518"/>
      <c r="BL39" s="518"/>
      <c r="BM39" s="518"/>
      <c r="BN39" s="1196" t="s">
        <v>4338</v>
      </c>
      <c r="BO39" s="1055" t="s">
        <v>4339</v>
      </c>
      <c r="BP39" s="1057" t="s">
        <v>561</v>
      </c>
      <c r="BQ39" s="774" t="s">
        <v>304</v>
      </c>
      <c r="BR39" s="786"/>
    </row>
    <row r="40" spans="1:79" s="1" customFormat="1" ht="14.4" x14ac:dyDescent="0.25">
      <c r="A40" s="1125"/>
      <c r="B40" s="972"/>
      <c r="C40" s="503" t="s">
        <v>305</v>
      </c>
      <c r="D40" s="499" t="s">
        <v>193</v>
      </c>
      <c r="E40" s="502" t="s">
        <v>298</v>
      </c>
      <c r="F40" s="503" t="s">
        <v>299</v>
      </c>
      <c r="G40" s="503" t="s">
        <v>196</v>
      </c>
      <c r="H40" s="503" t="s">
        <v>300</v>
      </c>
      <c r="I40" s="499" t="s">
        <v>149</v>
      </c>
      <c r="J40" s="499"/>
      <c r="K40" s="1066"/>
      <c r="L40" s="715"/>
      <c r="M40" s="499" t="s">
        <v>306</v>
      </c>
      <c r="N40" s="1075"/>
      <c r="O40" s="715"/>
      <c r="P40" s="715"/>
      <c r="Q40" s="715"/>
      <c r="R40" s="715"/>
      <c r="S40" s="1062"/>
      <c r="T40" s="1062"/>
      <c r="U40" s="1062"/>
      <c r="V40" s="1062"/>
      <c r="W40" s="1068"/>
      <c r="X40" s="1068"/>
      <c r="Y40" s="1068"/>
      <c r="Z40" s="1068"/>
      <c r="AA40" s="1068"/>
      <c r="AB40" s="1068"/>
      <c r="AC40" s="1068"/>
      <c r="AD40" s="1068"/>
      <c r="AE40" s="1068"/>
      <c r="AF40" s="1068"/>
      <c r="AG40" s="1068"/>
      <c r="AH40" s="1068"/>
      <c r="AI40" s="1068"/>
      <c r="AJ40" s="1068"/>
      <c r="AK40" s="1068"/>
      <c r="AL40" s="1068"/>
      <c r="AM40" s="1068"/>
      <c r="AN40" s="1068"/>
      <c r="AO40" s="1068"/>
      <c r="AP40" s="1068"/>
      <c r="AQ40" s="1068"/>
      <c r="AR40" s="1068"/>
      <c r="AS40" s="1068"/>
      <c r="AT40" s="1068"/>
      <c r="AU40" s="1068"/>
      <c r="AV40" s="1068"/>
      <c r="AW40" s="1068"/>
      <c r="AX40" s="1068"/>
      <c r="AY40" s="1068"/>
      <c r="AZ40" s="1068"/>
      <c r="BA40" s="1060"/>
      <c r="BB40" s="1062"/>
      <c r="BC40" s="1062"/>
      <c r="BD40" s="1064"/>
      <c r="BE40" s="1066"/>
      <c r="BF40" s="520"/>
      <c r="BG40" s="520"/>
      <c r="BH40" s="520"/>
      <c r="BI40" s="520"/>
      <c r="BJ40" s="520"/>
      <c r="BK40" s="520"/>
      <c r="BL40" s="520"/>
      <c r="BM40" s="520"/>
      <c r="BN40" s="896"/>
      <c r="BO40" s="1056"/>
      <c r="BP40" s="1058"/>
      <c r="BQ40" s="920"/>
      <c r="BR40" s="727"/>
    </row>
    <row r="41" spans="1:79" s="1" customFormat="1" ht="14.4" x14ac:dyDescent="0.25">
      <c r="A41" s="1124" t="s">
        <v>307</v>
      </c>
      <c r="B41" s="970" t="s">
        <v>51</v>
      </c>
      <c r="C41" s="503" t="s">
        <v>308</v>
      </c>
      <c r="D41" s="499" t="s">
        <v>193</v>
      </c>
      <c r="E41" s="502" t="s">
        <v>298</v>
      </c>
      <c r="F41" s="503" t="s">
        <v>299</v>
      </c>
      <c r="G41" s="503" t="s">
        <v>196</v>
      </c>
      <c r="H41" s="503" t="s">
        <v>300</v>
      </c>
      <c r="I41" s="499" t="s">
        <v>149</v>
      </c>
      <c r="J41" s="499"/>
      <c r="K41" s="1065" t="s">
        <v>301</v>
      </c>
      <c r="L41" s="714" t="s">
        <v>309</v>
      </c>
      <c r="M41" s="499" t="s">
        <v>303</v>
      </c>
      <c r="N41" s="1074"/>
      <c r="O41" s="714" t="s">
        <v>154</v>
      </c>
      <c r="P41" s="714" t="s">
        <v>154</v>
      </c>
      <c r="Q41" s="714" t="s">
        <v>154</v>
      </c>
      <c r="R41" s="714" t="s">
        <v>154</v>
      </c>
      <c r="S41" s="1061" t="s">
        <v>199</v>
      </c>
      <c r="T41" s="1061" t="s">
        <v>199</v>
      </c>
      <c r="U41" s="1061" t="s">
        <v>199</v>
      </c>
      <c r="V41" s="1061" t="s">
        <v>199</v>
      </c>
      <c r="W41" s="1067"/>
      <c r="X41" s="1067"/>
      <c r="Y41" s="1067"/>
      <c r="Z41" s="1067"/>
      <c r="AA41" s="1067"/>
      <c r="AB41" s="1067"/>
      <c r="AC41" s="1067"/>
      <c r="AD41" s="1067"/>
      <c r="AE41" s="1067"/>
      <c r="AF41" s="1067"/>
      <c r="AG41" s="1067"/>
      <c r="AH41" s="1067"/>
      <c r="AI41" s="1067"/>
      <c r="AJ41" s="1067"/>
      <c r="AK41" s="1067"/>
      <c r="AL41" s="1067"/>
      <c r="AM41" s="1067"/>
      <c r="AN41" s="1067"/>
      <c r="AO41" s="1067"/>
      <c r="AP41" s="1067"/>
      <c r="AQ41" s="1067"/>
      <c r="AR41" s="1067"/>
      <c r="AS41" s="1067"/>
      <c r="AT41" s="1067"/>
      <c r="AU41" s="1067"/>
      <c r="AV41" s="1067"/>
      <c r="AW41" s="1067"/>
      <c r="AX41" s="1067"/>
      <c r="AY41" s="1067"/>
      <c r="AZ41" s="1067"/>
      <c r="BA41" s="1059"/>
      <c r="BB41" s="1061" t="s">
        <v>199</v>
      </c>
      <c r="BC41" s="1061" t="s">
        <v>199</v>
      </c>
      <c r="BD41" s="1063"/>
      <c r="BE41" s="1065" t="s">
        <v>157</v>
      </c>
      <c r="BF41" s="518"/>
      <c r="BG41" s="518"/>
      <c r="BH41" s="518"/>
      <c r="BI41" s="518"/>
      <c r="BJ41" s="518"/>
      <c r="BK41" s="518"/>
      <c r="BL41" s="518"/>
      <c r="BM41" s="518"/>
      <c r="BN41" s="896"/>
      <c r="BO41" s="1055" t="s">
        <v>4339</v>
      </c>
      <c r="BP41" s="1057" t="s">
        <v>561</v>
      </c>
      <c r="BQ41" s="920"/>
      <c r="BR41" s="727"/>
    </row>
    <row r="42" spans="1:79" s="1" customFormat="1" ht="14.4" x14ac:dyDescent="0.25">
      <c r="A42" s="1125" t="s">
        <v>310</v>
      </c>
      <c r="B42" s="972" t="s">
        <v>45</v>
      </c>
      <c r="C42" s="503" t="s">
        <v>311</v>
      </c>
      <c r="D42" s="499" t="s">
        <v>193</v>
      </c>
      <c r="E42" s="502" t="s">
        <v>298</v>
      </c>
      <c r="F42" s="503" t="s">
        <v>299</v>
      </c>
      <c r="G42" s="503" t="s">
        <v>196</v>
      </c>
      <c r="H42" s="503" t="s">
        <v>300</v>
      </c>
      <c r="I42" s="499" t="s">
        <v>149</v>
      </c>
      <c r="J42" s="499"/>
      <c r="K42" s="1066" t="s">
        <v>151</v>
      </c>
      <c r="L42" s="715" t="s">
        <v>312</v>
      </c>
      <c r="M42" s="499" t="s">
        <v>306</v>
      </c>
      <c r="N42" s="1075"/>
      <c r="O42" s="715"/>
      <c r="P42" s="715"/>
      <c r="Q42" s="715"/>
      <c r="R42" s="715"/>
      <c r="S42" s="1062"/>
      <c r="T42" s="1062"/>
      <c r="U42" s="1062"/>
      <c r="V42" s="1062"/>
      <c r="W42" s="1068"/>
      <c r="X42" s="1068"/>
      <c r="Y42" s="1068"/>
      <c r="Z42" s="1068"/>
      <c r="AA42" s="1068"/>
      <c r="AB42" s="1068"/>
      <c r="AC42" s="1068"/>
      <c r="AD42" s="1068"/>
      <c r="AE42" s="1068"/>
      <c r="AF42" s="1068"/>
      <c r="AG42" s="1068"/>
      <c r="AH42" s="1068"/>
      <c r="AI42" s="1068"/>
      <c r="AJ42" s="1068"/>
      <c r="AK42" s="1068"/>
      <c r="AL42" s="1068"/>
      <c r="AM42" s="1068"/>
      <c r="AN42" s="1068"/>
      <c r="AO42" s="1068"/>
      <c r="AP42" s="1068"/>
      <c r="AQ42" s="1068"/>
      <c r="AR42" s="1068"/>
      <c r="AS42" s="1068"/>
      <c r="AT42" s="1068"/>
      <c r="AU42" s="1068"/>
      <c r="AV42" s="1068"/>
      <c r="AW42" s="1068"/>
      <c r="AX42" s="1068"/>
      <c r="AY42" s="1068"/>
      <c r="AZ42" s="1068"/>
      <c r="BA42" s="1060"/>
      <c r="BB42" s="1062"/>
      <c r="BC42" s="1062"/>
      <c r="BD42" s="1064"/>
      <c r="BE42" s="1066"/>
      <c r="BF42" s="520"/>
      <c r="BG42" s="520"/>
      <c r="BH42" s="520"/>
      <c r="BI42" s="520"/>
      <c r="BJ42" s="520"/>
      <c r="BK42" s="520"/>
      <c r="BL42" s="520"/>
      <c r="BM42" s="520"/>
      <c r="BN42" s="896"/>
      <c r="BO42" s="1056"/>
      <c r="BP42" s="1058"/>
      <c r="BQ42" s="920"/>
      <c r="BR42" s="727"/>
    </row>
    <row r="43" spans="1:79" s="1" customFormat="1" ht="14.4" x14ac:dyDescent="0.25">
      <c r="A43" s="1124" t="s">
        <v>313</v>
      </c>
      <c r="B43" s="970" t="s">
        <v>51</v>
      </c>
      <c r="C43" s="503" t="s">
        <v>314</v>
      </c>
      <c r="D43" s="499" t="s">
        <v>193</v>
      </c>
      <c r="E43" s="502" t="s">
        <v>298</v>
      </c>
      <c r="F43" s="503" t="s">
        <v>299</v>
      </c>
      <c r="G43" s="503" t="s">
        <v>196</v>
      </c>
      <c r="H43" s="503" t="s">
        <v>300</v>
      </c>
      <c r="I43" s="499" t="s">
        <v>149</v>
      </c>
      <c r="J43" s="499"/>
      <c r="K43" s="1065" t="s">
        <v>301</v>
      </c>
      <c r="L43" s="714" t="s">
        <v>315</v>
      </c>
      <c r="M43" s="499" t="s">
        <v>303</v>
      </c>
      <c r="N43" s="1074"/>
      <c r="O43" s="714" t="s">
        <v>154</v>
      </c>
      <c r="P43" s="714" t="s">
        <v>154</v>
      </c>
      <c r="Q43" s="714" t="s">
        <v>154</v>
      </c>
      <c r="R43" s="714" t="s">
        <v>154</v>
      </c>
      <c r="S43" s="1061" t="s">
        <v>199</v>
      </c>
      <c r="T43" s="1061" t="s">
        <v>199</v>
      </c>
      <c r="U43" s="1061" t="s">
        <v>199</v>
      </c>
      <c r="V43" s="1061" t="s">
        <v>199</v>
      </c>
      <c r="W43" s="1067"/>
      <c r="X43" s="1067"/>
      <c r="Y43" s="1067"/>
      <c r="Z43" s="1067"/>
      <c r="AA43" s="1067"/>
      <c r="AB43" s="1067"/>
      <c r="AC43" s="1067"/>
      <c r="AD43" s="1067"/>
      <c r="AE43" s="1067"/>
      <c r="AF43" s="1067"/>
      <c r="AG43" s="1067"/>
      <c r="AH43" s="1067"/>
      <c r="AI43" s="1067"/>
      <c r="AJ43" s="1067"/>
      <c r="AK43" s="1067"/>
      <c r="AL43" s="1067"/>
      <c r="AM43" s="1067"/>
      <c r="AN43" s="1067"/>
      <c r="AO43" s="1067"/>
      <c r="AP43" s="1067"/>
      <c r="AQ43" s="1067"/>
      <c r="AR43" s="1067"/>
      <c r="AS43" s="1067"/>
      <c r="AT43" s="1067"/>
      <c r="AU43" s="1067"/>
      <c r="AV43" s="1067"/>
      <c r="AW43" s="1067"/>
      <c r="AX43" s="1067"/>
      <c r="AY43" s="1067"/>
      <c r="AZ43" s="1067"/>
      <c r="BA43" s="1059"/>
      <c r="BB43" s="1061" t="s">
        <v>199</v>
      </c>
      <c r="BC43" s="1061" t="s">
        <v>199</v>
      </c>
      <c r="BD43" s="1063"/>
      <c r="BE43" s="1065" t="s">
        <v>157</v>
      </c>
      <c r="BF43" s="518"/>
      <c r="BG43" s="518"/>
      <c r="BH43" s="518"/>
      <c r="BI43" s="518"/>
      <c r="BJ43" s="518"/>
      <c r="BK43" s="518"/>
      <c r="BL43" s="518"/>
      <c r="BM43" s="518"/>
      <c r="BN43" s="896"/>
      <c r="BO43" s="1055" t="s">
        <v>4339</v>
      </c>
      <c r="BP43" s="1057" t="s">
        <v>561</v>
      </c>
      <c r="BQ43" s="920"/>
      <c r="BR43" s="727"/>
    </row>
    <row r="44" spans="1:79" s="1" customFormat="1" ht="14.4" x14ac:dyDescent="0.25">
      <c r="A44" s="1125" t="s">
        <v>316</v>
      </c>
      <c r="B44" s="972" t="s">
        <v>45</v>
      </c>
      <c r="C44" s="503" t="s">
        <v>317</v>
      </c>
      <c r="D44" s="499" t="s">
        <v>193</v>
      </c>
      <c r="E44" s="502" t="s">
        <v>298</v>
      </c>
      <c r="F44" s="503" t="s">
        <v>299</v>
      </c>
      <c r="G44" s="503" t="s">
        <v>196</v>
      </c>
      <c r="H44" s="503" t="s">
        <v>300</v>
      </c>
      <c r="I44" s="499" t="s">
        <v>149</v>
      </c>
      <c r="J44" s="499"/>
      <c r="K44" s="1066" t="s">
        <v>151</v>
      </c>
      <c r="L44" s="715" t="s">
        <v>318</v>
      </c>
      <c r="M44" s="499" t="s">
        <v>306</v>
      </c>
      <c r="N44" s="1075"/>
      <c r="O44" s="715"/>
      <c r="P44" s="715"/>
      <c r="Q44" s="715"/>
      <c r="R44" s="715"/>
      <c r="S44" s="1062"/>
      <c r="T44" s="1062"/>
      <c r="U44" s="1062"/>
      <c r="V44" s="1062"/>
      <c r="W44" s="1068"/>
      <c r="X44" s="1068"/>
      <c r="Y44" s="1068"/>
      <c r="Z44" s="1068"/>
      <c r="AA44" s="1068"/>
      <c r="AB44" s="1068"/>
      <c r="AC44" s="1068"/>
      <c r="AD44" s="1068"/>
      <c r="AE44" s="1068"/>
      <c r="AF44" s="1068"/>
      <c r="AG44" s="1068"/>
      <c r="AH44" s="1068"/>
      <c r="AI44" s="1068"/>
      <c r="AJ44" s="1068"/>
      <c r="AK44" s="1068"/>
      <c r="AL44" s="1068"/>
      <c r="AM44" s="1068"/>
      <c r="AN44" s="1068"/>
      <c r="AO44" s="1068"/>
      <c r="AP44" s="1068"/>
      <c r="AQ44" s="1068"/>
      <c r="AR44" s="1068"/>
      <c r="AS44" s="1068"/>
      <c r="AT44" s="1068"/>
      <c r="AU44" s="1068"/>
      <c r="AV44" s="1068"/>
      <c r="AW44" s="1068"/>
      <c r="AX44" s="1068"/>
      <c r="AY44" s="1068"/>
      <c r="AZ44" s="1068"/>
      <c r="BA44" s="1060"/>
      <c r="BB44" s="1062"/>
      <c r="BC44" s="1062"/>
      <c r="BD44" s="1064"/>
      <c r="BE44" s="1066"/>
      <c r="BF44" s="520"/>
      <c r="BG44" s="520"/>
      <c r="BH44" s="520"/>
      <c r="BI44" s="520"/>
      <c r="BJ44" s="520"/>
      <c r="BK44" s="520"/>
      <c r="BL44" s="520"/>
      <c r="BM44" s="520"/>
      <c r="BN44" s="896"/>
      <c r="BO44" s="1056"/>
      <c r="BP44" s="1058"/>
      <c r="BQ44" s="920"/>
      <c r="BR44" s="727"/>
    </row>
    <row r="45" spans="1:79" s="1" customFormat="1" ht="14.4" x14ac:dyDescent="0.25">
      <c r="A45" s="1124" t="s">
        <v>319</v>
      </c>
      <c r="B45" s="970" t="s">
        <v>51</v>
      </c>
      <c r="C45" s="503" t="s">
        <v>320</v>
      </c>
      <c r="D45" s="499" t="s">
        <v>193</v>
      </c>
      <c r="E45" s="502" t="s">
        <v>298</v>
      </c>
      <c r="F45" s="503" t="s">
        <v>299</v>
      </c>
      <c r="G45" s="503" t="s">
        <v>196</v>
      </c>
      <c r="H45" s="503" t="s">
        <v>300</v>
      </c>
      <c r="I45" s="499" t="s">
        <v>149</v>
      </c>
      <c r="J45" s="499"/>
      <c r="K45" s="1065" t="s">
        <v>301</v>
      </c>
      <c r="L45" s="714" t="s">
        <v>321</v>
      </c>
      <c r="M45" s="499" t="s">
        <v>303</v>
      </c>
      <c r="N45" s="1074"/>
      <c r="O45" s="714" t="s">
        <v>154</v>
      </c>
      <c r="P45" s="714" t="s">
        <v>154</v>
      </c>
      <c r="Q45" s="714" t="s">
        <v>154</v>
      </c>
      <c r="R45" s="714" t="s">
        <v>154</v>
      </c>
      <c r="S45" s="1061" t="s">
        <v>199</v>
      </c>
      <c r="T45" s="1061" t="s">
        <v>199</v>
      </c>
      <c r="U45" s="1061" t="s">
        <v>199</v>
      </c>
      <c r="V45" s="1061" t="s">
        <v>199</v>
      </c>
      <c r="W45" s="1067"/>
      <c r="X45" s="1067"/>
      <c r="Y45" s="1067"/>
      <c r="Z45" s="1067"/>
      <c r="AA45" s="1067"/>
      <c r="AB45" s="1067"/>
      <c r="AC45" s="1067"/>
      <c r="AD45" s="1067"/>
      <c r="AE45" s="1067"/>
      <c r="AF45" s="1067"/>
      <c r="AG45" s="1067"/>
      <c r="AH45" s="1067"/>
      <c r="AI45" s="1067"/>
      <c r="AJ45" s="1067"/>
      <c r="AK45" s="1067"/>
      <c r="AL45" s="1067"/>
      <c r="AM45" s="1067"/>
      <c r="AN45" s="1067"/>
      <c r="AO45" s="1067"/>
      <c r="AP45" s="1067"/>
      <c r="AQ45" s="1067"/>
      <c r="AR45" s="1067"/>
      <c r="AS45" s="1067"/>
      <c r="AT45" s="1067"/>
      <c r="AU45" s="1067"/>
      <c r="AV45" s="1067"/>
      <c r="AW45" s="1067"/>
      <c r="AX45" s="1067"/>
      <c r="AY45" s="1067"/>
      <c r="AZ45" s="1067"/>
      <c r="BA45" s="1059"/>
      <c r="BB45" s="1061" t="s">
        <v>199</v>
      </c>
      <c r="BC45" s="1061" t="s">
        <v>199</v>
      </c>
      <c r="BD45" s="1063"/>
      <c r="BE45" s="1065" t="s">
        <v>157</v>
      </c>
      <c r="BF45" s="518"/>
      <c r="BG45" s="518"/>
      <c r="BH45" s="518"/>
      <c r="BI45" s="518"/>
      <c r="BJ45" s="518"/>
      <c r="BK45" s="518"/>
      <c r="BL45" s="518"/>
      <c r="BM45" s="518"/>
      <c r="BN45" s="896"/>
      <c r="BO45" s="1055" t="s">
        <v>4339</v>
      </c>
      <c r="BP45" s="1057" t="s">
        <v>561</v>
      </c>
      <c r="BQ45" s="920"/>
      <c r="BR45" s="727"/>
    </row>
    <row r="46" spans="1:79" s="1" customFormat="1" ht="14.4" x14ac:dyDescent="0.25">
      <c r="A46" s="1125" t="s">
        <v>322</v>
      </c>
      <c r="B46" s="972" t="s">
        <v>45</v>
      </c>
      <c r="C46" s="503" t="s">
        <v>323</v>
      </c>
      <c r="D46" s="499" t="s">
        <v>193</v>
      </c>
      <c r="E46" s="502" t="s">
        <v>298</v>
      </c>
      <c r="F46" s="503" t="s">
        <v>299</v>
      </c>
      <c r="G46" s="503" t="s">
        <v>196</v>
      </c>
      <c r="H46" s="503" t="s">
        <v>300</v>
      </c>
      <c r="I46" s="499" t="s">
        <v>149</v>
      </c>
      <c r="J46" s="499"/>
      <c r="K46" s="1066" t="s">
        <v>151</v>
      </c>
      <c r="L46" s="715" t="s">
        <v>324</v>
      </c>
      <c r="M46" s="499" t="s">
        <v>306</v>
      </c>
      <c r="N46" s="1075"/>
      <c r="O46" s="715"/>
      <c r="P46" s="715"/>
      <c r="Q46" s="715"/>
      <c r="R46" s="715"/>
      <c r="S46" s="1062"/>
      <c r="T46" s="1062"/>
      <c r="U46" s="1062"/>
      <c r="V46" s="1062"/>
      <c r="W46" s="1068"/>
      <c r="X46" s="1068"/>
      <c r="Y46" s="1068"/>
      <c r="Z46" s="1068"/>
      <c r="AA46" s="1068"/>
      <c r="AB46" s="1068"/>
      <c r="AC46" s="1068"/>
      <c r="AD46" s="1068"/>
      <c r="AE46" s="1068"/>
      <c r="AF46" s="1068"/>
      <c r="AG46" s="1068"/>
      <c r="AH46" s="1068"/>
      <c r="AI46" s="1068"/>
      <c r="AJ46" s="1068"/>
      <c r="AK46" s="1068"/>
      <c r="AL46" s="1068"/>
      <c r="AM46" s="1068"/>
      <c r="AN46" s="1068"/>
      <c r="AO46" s="1068"/>
      <c r="AP46" s="1068"/>
      <c r="AQ46" s="1068"/>
      <c r="AR46" s="1068"/>
      <c r="AS46" s="1068"/>
      <c r="AT46" s="1068"/>
      <c r="AU46" s="1068"/>
      <c r="AV46" s="1068"/>
      <c r="AW46" s="1068"/>
      <c r="AX46" s="1068"/>
      <c r="AY46" s="1068"/>
      <c r="AZ46" s="1068"/>
      <c r="BA46" s="1060"/>
      <c r="BB46" s="1062"/>
      <c r="BC46" s="1062"/>
      <c r="BD46" s="1064"/>
      <c r="BE46" s="1066"/>
      <c r="BF46" s="520"/>
      <c r="BG46" s="520"/>
      <c r="BH46" s="520"/>
      <c r="BI46" s="520"/>
      <c r="BJ46" s="520"/>
      <c r="BK46" s="520"/>
      <c r="BL46" s="520"/>
      <c r="BM46" s="520"/>
      <c r="BN46" s="896"/>
      <c r="BO46" s="1056"/>
      <c r="BP46" s="1058"/>
      <c r="BQ46" s="920"/>
      <c r="BR46" s="727"/>
    </row>
    <row r="47" spans="1:79" s="1" customFormat="1" ht="14.4" x14ac:dyDescent="0.25">
      <c r="A47" s="1124" t="s">
        <v>325</v>
      </c>
      <c r="B47" s="970" t="s">
        <v>51</v>
      </c>
      <c r="C47" s="503" t="s">
        <v>326</v>
      </c>
      <c r="D47" s="499" t="s">
        <v>193</v>
      </c>
      <c r="E47" s="502" t="s">
        <v>298</v>
      </c>
      <c r="F47" s="503" t="s">
        <v>299</v>
      </c>
      <c r="G47" s="503" t="s">
        <v>196</v>
      </c>
      <c r="H47" s="503" t="s">
        <v>300</v>
      </c>
      <c r="I47" s="499" t="s">
        <v>149</v>
      </c>
      <c r="J47" s="499"/>
      <c r="K47" s="1065" t="s">
        <v>301</v>
      </c>
      <c r="L47" s="714" t="s">
        <v>327</v>
      </c>
      <c r="M47" s="499" t="s">
        <v>303</v>
      </c>
      <c r="N47" s="1074"/>
      <c r="O47" s="714" t="s">
        <v>154</v>
      </c>
      <c r="P47" s="714" t="s">
        <v>154</v>
      </c>
      <c r="Q47" s="714" t="s">
        <v>154</v>
      </c>
      <c r="R47" s="714" t="s">
        <v>154</v>
      </c>
      <c r="S47" s="1061" t="s">
        <v>199</v>
      </c>
      <c r="T47" s="1061" t="s">
        <v>199</v>
      </c>
      <c r="U47" s="1061" t="s">
        <v>199</v>
      </c>
      <c r="V47" s="1061" t="s">
        <v>199</v>
      </c>
      <c r="W47" s="1067"/>
      <c r="X47" s="1067"/>
      <c r="Y47" s="1067"/>
      <c r="Z47" s="1067"/>
      <c r="AA47" s="1067"/>
      <c r="AB47" s="1067"/>
      <c r="AC47" s="1067"/>
      <c r="AD47" s="1067"/>
      <c r="AE47" s="1067"/>
      <c r="AF47" s="1067"/>
      <c r="AG47" s="1067"/>
      <c r="AH47" s="1067"/>
      <c r="AI47" s="1067"/>
      <c r="AJ47" s="1067"/>
      <c r="AK47" s="1067"/>
      <c r="AL47" s="1067"/>
      <c r="AM47" s="1067"/>
      <c r="AN47" s="1067"/>
      <c r="AO47" s="1067"/>
      <c r="AP47" s="1067"/>
      <c r="AQ47" s="1067"/>
      <c r="AR47" s="1067"/>
      <c r="AS47" s="1067"/>
      <c r="AT47" s="1067"/>
      <c r="AU47" s="1067"/>
      <c r="AV47" s="1067"/>
      <c r="AW47" s="1067"/>
      <c r="AX47" s="1067"/>
      <c r="AY47" s="1067"/>
      <c r="AZ47" s="1067"/>
      <c r="BA47" s="1059"/>
      <c r="BB47" s="1061" t="s">
        <v>199</v>
      </c>
      <c r="BC47" s="1061" t="s">
        <v>199</v>
      </c>
      <c r="BD47" s="1063"/>
      <c r="BE47" s="1065" t="s">
        <v>157</v>
      </c>
      <c r="BF47" s="518"/>
      <c r="BG47" s="518"/>
      <c r="BH47" s="518"/>
      <c r="BI47" s="518"/>
      <c r="BJ47" s="518"/>
      <c r="BK47" s="518"/>
      <c r="BL47" s="518"/>
      <c r="BM47" s="518"/>
      <c r="BN47" s="896"/>
      <c r="BO47" s="1055" t="s">
        <v>4339</v>
      </c>
      <c r="BP47" s="1057" t="s">
        <v>561</v>
      </c>
      <c r="BQ47" s="920"/>
      <c r="BR47" s="727"/>
    </row>
    <row r="48" spans="1:79" s="1" customFormat="1" ht="14.4" x14ac:dyDescent="0.25">
      <c r="A48" s="1125" t="s">
        <v>328</v>
      </c>
      <c r="B48" s="972" t="s">
        <v>45</v>
      </c>
      <c r="C48" s="503" t="s">
        <v>329</v>
      </c>
      <c r="D48" s="499" t="s">
        <v>193</v>
      </c>
      <c r="E48" s="502" t="s">
        <v>298</v>
      </c>
      <c r="F48" s="503" t="s">
        <v>299</v>
      </c>
      <c r="G48" s="503" t="s">
        <v>196</v>
      </c>
      <c r="H48" s="503" t="s">
        <v>300</v>
      </c>
      <c r="I48" s="499" t="s">
        <v>149</v>
      </c>
      <c r="J48" s="499"/>
      <c r="K48" s="1066" t="s">
        <v>151</v>
      </c>
      <c r="L48" s="715" t="s">
        <v>330</v>
      </c>
      <c r="M48" s="499" t="s">
        <v>306</v>
      </c>
      <c r="N48" s="1075"/>
      <c r="O48" s="715"/>
      <c r="P48" s="715"/>
      <c r="Q48" s="715"/>
      <c r="R48" s="715"/>
      <c r="S48" s="1062"/>
      <c r="T48" s="1062"/>
      <c r="U48" s="1062"/>
      <c r="V48" s="1062"/>
      <c r="W48" s="1068"/>
      <c r="X48" s="1068"/>
      <c r="Y48" s="1068"/>
      <c r="Z48" s="1068"/>
      <c r="AA48" s="1068"/>
      <c r="AB48" s="1068"/>
      <c r="AC48" s="1068"/>
      <c r="AD48" s="1068"/>
      <c r="AE48" s="1068"/>
      <c r="AF48" s="1068"/>
      <c r="AG48" s="1068"/>
      <c r="AH48" s="1068"/>
      <c r="AI48" s="1068"/>
      <c r="AJ48" s="1068"/>
      <c r="AK48" s="1068"/>
      <c r="AL48" s="1068"/>
      <c r="AM48" s="1068"/>
      <c r="AN48" s="1068"/>
      <c r="AO48" s="1068"/>
      <c r="AP48" s="1068"/>
      <c r="AQ48" s="1068"/>
      <c r="AR48" s="1068"/>
      <c r="AS48" s="1068"/>
      <c r="AT48" s="1068"/>
      <c r="AU48" s="1068"/>
      <c r="AV48" s="1068"/>
      <c r="AW48" s="1068"/>
      <c r="AX48" s="1068"/>
      <c r="AY48" s="1068"/>
      <c r="AZ48" s="1068"/>
      <c r="BA48" s="1060"/>
      <c r="BB48" s="1062"/>
      <c r="BC48" s="1062"/>
      <c r="BD48" s="1064"/>
      <c r="BE48" s="1066"/>
      <c r="BF48" s="520"/>
      <c r="BG48" s="520"/>
      <c r="BH48" s="520"/>
      <c r="BI48" s="520"/>
      <c r="BJ48" s="520"/>
      <c r="BK48" s="520"/>
      <c r="BL48" s="520"/>
      <c r="BM48" s="520"/>
      <c r="BN48" s="896"/>
      <c r="BO48" s="1056"/>
      <c r="BP48" s="1058"/>
      <c r="BQ48" s="920"/>
      <c r="BR48" s="727"/>
    </row>
    <row r="49" spans="1:70" s="1" customFormat="1" ht="14.4" x14ac:dyDescent="0.25">
      <c r="A49" s="1124" t="s">
        <v>331</v>
      </c>
      <c r="B49" s="970" t="s">
        <v>51</v>
      </c>
      <c r="C49" s="503" t="s">
        <v>332</v>
      </c>
      <c r="D49" s="499" t="s">
        <v>193</v>
      </c>
      <c r="E49" s="502" t="s">
        <v>298</v>
      </c>
      <c r="F49" s="503" t="s">
        <v>299</v>
      </c>
      <c r="G49" s="503" t="s">
        <v>196</v>
      </c>
      <c r="H49" s="503" t="s">
        <v>300</v>
      </c>
      <c r="I49" s="499" t="s">
        <v>149</v>
      </c>
      <c r="J49" s="499"/>
      <c r="K49" s="1065" t="s">
        <v>301</v>
      </c>
      <c r="L49" s="714" t="s">
        <v>333</v>
      </c>
      <c r="M49" s="499" t="s">
        <v>303</v>
      </c>
      <c r="N49" s="1074"/>
      <c r="O49" s="714" t="s">
        <v>154</v>
      </c>
      <c r="P49" s="714" t="s">
        <v>154</v>
      </c>
      <c r="Q49" s="714" t="s">
        <v>154</v>
      </c>
      <c r="R49" s="714" t="s">
        <v>154</v>
      </c>
      <c r="S49" s="1061" t="s">
        <v>199</v>
      </c>
      <c r="T49" s="1061" t="s">
        <v>199</v>
      </c>
      <c r="U49" s="1061" t="s">
        <v>199</v>
      </c>
      <c r="V49" s="1061" t="s">
        <v>199</v>
      </c>
      <c r="W49" s="1067"/>
      <c r="X49" s="1067"/>
      <c r="Y49" s="1067"/>
      <c r="Z49" s="1067"/>
      <c r="AA49" s="1067"/>
      <c r="AB49" s="1067"/>
      <c r="AC49" s="1067"/>
      <c r="AD49" s="1067"/>
      <c r="AE49" s="1067"/>
      <c r="AF49" s="1067"/>
      <c r="AG49" s="1067"/>
      <c r="AH49" s="1067"/>
      <c r="AI49" s="1067"/>
      <c r="AJ49" s="1067"/>
      <c r="AK49" s="1067"/>
      <c r="AL49" s="1067"/>
      <c r="AM49" s="1067"/>
      <c r="AN49" s="1067"/>
      <c r="AO49" s="1067"/>
      <c r="AP49" s="1067"/>
      <c r="AQ49" s="1067"/>
      <c r="AR49" s="1067"/>
      <c r="AS49" s="1067"/>
      <c r="AT49" s="1067"/>
      <c r="AU49" s="1067"/>
      <c r="AV49" s="1067"/>
      <c r="AW49" s="1067"/>
      <c r="AX49" s="1067"/>
      <c r="AY49" s="1067"/>
      <c r="AZ49" s="1067"/>
      <c r="BA49" s="1059"/>
      <c r="BB49" s="1061" t="s">
        <v>199</v>
      </c>
      <c r="BC49" s="1061" t="s">
        <v>199</v>
      </c>
      <c r="BD49" s="1063"/>
      <c r="BE49" s="1065" t="s">
        <v>157</v>
      </c>
      <c r="BF49" s="518"/>
      <c r="BG49" s="518"/>
      <c r="BH49" s="518"/>
      <c r="BI49" s="518"/>
      <c r="BJ49" s="518"/>
      <c r="BK49" s="518"/>
      <c r="BL49" s="518"/>
      <c r="BM49" s="518"/>
      <c r="BN49" s="896"/>
      <c r="BO49" s="1055" t="s">
        <v>4339</v>
      </c>
      <c r="BP49" s="1057" t="s">
        <v>561</v>
      </c>
      <c r="BQ49" s="920"/>
      <c r="BR49" s="727"/>
    </row>
    <row r="50" spans="1:70" s="1" customFormat="1" ht="14.4" x14ac:dyDescent="0.25">
      <c r="A50" s="1125" t="s">
        <v>334</v>
      </c>
      <c r="B50" s="972" t="s">
        <v>45</v>
      </c>
      <c r="C50" s="503" t="s">
        <v>335</v>
      </c>
      <c r="D50" s="499" t="s">
        <v>193</v>
      </c>
      <c r="E50" s="502" t="s">
        <v>298</v>
      </c>
      <c r="F50" s="503" t="s">
        <v>299</v>
      </c>
      <c r="G50" s="677" t="s">
        <v>196</v>
      </c>
      <c r="H50" s="503" t="s">
        <v>300</v>
      </c>
      <c r="I50" s="499" t="s">
        <v>149</v>
      </c>
      <c r="J50" s="499"/>
      <c r="K50" s="1066" t="s">
        <v>151</v>
      </c>
      <c r="L50" s="715" t="s">
        <v>336</v>
      </c>
      <c r="M50" s="499" t="s">
        <v>306</v>
      </c>
      <c r="N50" s="1075"/>
      <c r="O50" s="715"/>
      <c r="P50" s="715"/>
      <c r="Q50" s="715"/>
      <c r="R50" s="715"/>
      <c r="S50" s="1062"/>
      <c r="T50" s="1062"/>
      <c r="U50" s="1062"/>
      <c r="V50" s="1062"/>
      <c r="W50" s="1068"/>
      <c r="X50" s="1068"/>
      <c r="Y50" s="1068"/>
      <c r="Z50" s="1068"/>
      <c r="AA50" s="1068"/>
      <c r="AB50" s="1068"/>
      <c r="AC50" s="1068"/>
      <c r="AD50" s="1068"/>
      <c r="AE50" s="1068"/>
      <c r="AF50" s="1068"/>
      <c r="AG50" s="1068"/>
      <c r="AH50" s="1068"/>
      <c r="AI50" s="1068"/>
      <c r="AJ50" s="1068"/>
      <c r="AK50" s="1068"/>
      <c r="AL50" s="1068"/>
      <c r="AM50" s="1068"/>
      <c r="AN50" s="1068"/>
      <c r="AO50" s="1068"/>
      <c r="AP50" s="1068"/>
      <c r="AQ50" s="1068"/>
      <c r="AR50" s="1068"/>
      <c r="AS50" s="1068"/>
      <c r="AT50" s="1068"/>
      <c r="AU50" s="1068"/>
      <c r="AV50" s="1068"/>
      <c r="AW50" s="1068"/>
      <c r="AX50" s="1068"/>
      <c r="AY50" s="1068"/>
      <c r="AZ50" s="1068"/>
      <c r="BA50" s="1060"/>
      <c r="BB50" s="1062"/>
      <c r="BC50" s="1062"/>
      <c r="BD50" s="1064"/>
      <c r="BE50" s="1066"/>
      <c r="BF50" s="520"/>
      <c r="BG50" s="520"/>
      <c r="BH50" s="520"/>
      <c r="BI50" s="520"/>
      <c r="BJ50" s="520"/>
      <c r="BK50" s="520"/>
      <c r="BL50" s="520"/>
      <c r="BM50" s="520"/>
      <c r="BN50" s="896"/>
      <c r="BO50" s="1056"/>
      <c r="BP50" s="1058"/>
      <c r="BQ50" s="1161"/>
      <c r="BR50" s="899"/>
    </row>
    <row r="51" spans="1:70" s="37" customFormat="1" ht="14.4" x14ac:dyDescent="0.25">
      <c r="A51" s="383" t="s">
        <v>337</v>
      </c>
      <c r="B51" s="493"/>
      <c r="C51" s="493"/>
      <c r="D51" s="495"/>
      <c r="E51" s="493"/>
      <c r="F51" s="493"/>
      <c r="G51" s="493"/>
      <c r="H51" s="493"/>
      <c r="I51" s="494"/>
      <c r="J51" s="493"/>
      <c r="K51" s="493"/>
      <c r="L51" s="493"/>
      <c r="M51" s="493"/>
      <c r="N51" s="495"/>
      <c r="O51" s="384"/>
      <c r="P51" s="384"/>
      <c r="Q51" s="384"/>
      <c r="R51" s="384"/>
      <c r="S51" s="384"/>
      <c r="T51" s="384"/>
      <c r="U51" s="384"/>
      <c r="V51" s="384"/>
      <c r="W51" s="384"/>
      <c r="X51" s="496"/>
      <c r="Y51" s="496"/>
      <c r="Z51" s="496"/>
      <c r="AA51" s="496"/>
      <c r="AB51" s="496"/>
      <c r="AC51" s="496"/>
      <c r="AD51" s="496" t="str">
        <f t="shared" ref="AD51" si="4">IF(ISBLANK(AA51),"",AA51)</f>
        <v/>
      </c>
      <c r="AE51" s="496" t="str">
        <f t="shared" ref="AE51" si="5">IF(ISBLANK(AA51),"",AA51)</f>
        <v/>
      </c>
      <c r="AF51" s="496" t="str">
        <f t="shared" ref="AF51" si="6">IF(ISBLANK(AD51),"",AD51)</f>
        <v/>
      </c>
      <c r="AG51" s="496"/>
      <c r="AH51" s="496"/>
      <c r="AI51" s="496"/>
      <c r="AJ51" s="496"/>
      <c r="AK51" s="496" t="str">
        <f>LEFT(IF(ISBLANK(N51),"",N51&amp;"*")&amp;IF(ISBLANK(O51),"",O51&amp;"*")&amp;IF(ISBLANK(P51),"",P51&amp;"*")&amp;IF(ISBLANK(Q51),"",Q51&amp;"*"),2)</f>
        <v/>
      </c>
      <c r="AL51" s="384"/>
      <c r="AM51" s="496"/>
      <c r="AN51" s="384"/>
      <c r="AO51" s="496"/>
      <c r="AP51" s="384"/>
      <c r="AQ51" s="496"/>
      <c r="AR51" s="384"/>
      <c r="AS51" s="496"/>
      <c r="AT51" s="496"/>
      <c r="AU51" s="496"/>
      <c r="AV51" s="496"/>
      <c r="AW51" s="496"/>
      <c r="AX51" s="496"/>
      <c r="AY51" s="496"/>
      <c r="AZ51" s="496"/>
      <c r="BA51" s="496"/>
      <c r="BB51" s="496"/>
      <c r="BC51" s="496"/>
      <c r="BD51" s="496" t="str">
        <f>LEFT(IF(ISBLANK(O51),"",O51&amp;"*")&amp;IF(ISBLANK(P51),"",P51&amp;"*")&amp;IF(ISBLANK(Q51),"",Q51&amp;"*")&amp;IF(ISBLANK(R51),"",R51&amp;"*"),2)</f>
        <v/>
      </c>
      <c r="BE51" s="493"/>
      <c r="BF51" s="493"/>
      <c r="BG51" s="493"/>
      <c r="BH51" s="493"/>
      <c r="BI51" s="493"/>
      <c r="BJ51" s="493"/>
      <c r="BK51" s="493"/>
      <c r="BL51" s="493"/>
      <c r="BM51" s="493"/>
      <c r="BN51" s="497"/>
      <c r="BO51" s="313"/>
      <c r="BP51" s="251"/>
      <c r="BQ51" s="104"/>
    </row>
    <row r="52" spans="1:70" s="1" customFormat="1" ht="14.4" x14ac:dyDescent="0.25">
      <c r="A52" s="1076" t="s">
        <v>4346</v>
      </c>
      <c r="B52" s="1078" t="s">
        <v>9</v>
      </c>
      <c r="C52" s="503" t="s">
        <v>297</v>
      </c>
      <c r="D52" s="499" t="s">
        <v>193</v>
      </c>
      <c r="E52" s="502" t="s">
        <v>338</v>
      </c>
      <c r="F52" s="503" t="s">
        <v>339</v>
      </c>
      <c r="G52" s="503" t="s">
        <v>196</v>
      </c>
      <c r="H52" s="503" t="s">
        <v>300</v>
      </c>
      <c r="I52" s="499" t="s">
        <v>340</v>
      </c>
      <c r="J52" s="499"/>
      <c r="K52" s="1080" t="s">
        <v>301</v>
      </c>
      <c r="L52" s="1082" t="s">
        <v>4340</v>
      </c>
      <c r="M52" s="499" t="s">
        <v>303</v>
      </c>
      <c r="N52" s="1074"/>
      <c r="O52" s="714" t="s">
        <v>154</v>
      </c>
      <c r="P52" s="714" t="s">
        <v>154</v>
      </c>
      <c r="Q52" s="714" t="s">
        <v>154</v>
      </c>
      <c r="R52" s="714" t="s">
        <v>154</v>
      </c>
      <c r="S52" s="1067"/>
      <c r="T52" s="1067"/>
      <c r="U52" s="1067"/>
      <c r="V52" s="1067"/>
      <c r="W52" s="1067"/>
      <c r="X52" s="1067"/>
      <c r="Y52" s="1067"/>
      <c r="Z52" s="1067"/>
      <c r="AA52" s="1067"/>
      <c r="AB52" s="1067"/>
      <c r="AC52" s="1067"/>
      <c r="AD52" s="1067"/>
      <c r="AE52" s="1067"/>
      <c r="AF52" s="1067"/>
      <c r="AG52" s="1067"/>
      <c r="AH52" s="1067"/>
      <c r="AI52" s="1067"/>
      <c r="AJ52" s="1067"/>
      <c r="AK52" s="1067"/>
      <c r="AL52" s="1067"/>
      <c r="AM52" s="1067"/>
      <c r="AN52" s="1067"/>
      <c r="AO52" s="1067"/>
      <c r="AP52" s="1067"/>
      <c r="AQ52" s="1067"/>
      <c r="AR52" s="1067"/>
      <c r="AS52" s="1067"/>
      <c r="AT52" s="1067"/>
      <c r="AU52" s="1067"/>
      <c r="AV52" s="1067"/>
      <c r="AW52" s="1067"/>
      <c r="AX52" s="1067"/>
      <c r="AY52" s="1067"/>
      <c r="AZ52" s="1067"/>
      <c r="BA52" s="1059"/>
      <c r="BB52" s="1061" t="s">
        <v>199</v>
      </c>
      <c r="BC52" s="1061" t="s">
        <v>199</v>
      </c>
      <c r="BD52" s="1063"/>
      <c r="BE52" s="1065" t="s">
        <v>157</v>
      </c>
      <c r="BF52" s="502"/>
      <c r="BG52" s="502"/>
      <c r="BH52" s="502"/>
      <c r="BI52" s="502"/>
      <c r="BJ52" s="502"/>
      <c r="BK52" s="502"/>
      <c r="BL52" s="502"/>
      <c r="BM52" s="502"/>
      <c r="BN52" s="896" t="s">
        <v>342</v>
      </c>
      <c r="BO52" s="1055" t="s">
        <v>4404</v>
      </c>
      <c r="BP52" s="1057" t="s">
        <v>561</v>
      </c>
      <c r="BQ52" s="739" t="s">
        <v>4403</v>
      </c>
      <c r="BR52" s="786"/>
    </row>
    <row r="53" spans="1:70" s="1" customFormat="1" ht="14.4" x14ac:dyDescent="0.25">
      <c r="A53" s="1077"/>
      <c r="B53" s="1079" t="s">
        <v>45</v>
      </c>
      <c r="C53" s="503" t="s">
        <v>305</v>
      </c>
      <c r="D53" s="499" t="s">
        <v>193</v>
      </c>
      <c r="E53" s="502" t="s">
        <v>338</v>
      </c>
      <c r="F53" s="503" t="s">
        <v>339</v>
      </c>
      <c r="G53" s="503" t="s">
        <v>196</v>
      </c>
      <c r="H53" s="503" t="s">
        <v>300</v>
      </c>
      <c r="I53" s="499" t="s">
        <v>340</v>
      </c>
      <c r="J53" s="499"/>
      <c r="K53" s="1081"/>
      <c r="L53" s="1083"/>
      <c r="M53" s="499" t="s">
        <v>306</v>
      </c>
      <c r="N53" s="1075"/>
      <c r="O53" s="715"/>
      <c r="P53" s="715"/>
      <c r="Q53" s="715"/>
      <c r="R53" s="715"/>
      <c r="S53" s="1068"/>
      <c r="T53" s="1068"/>
      <c r="U53" s="1068"/>
      <c r="V53" s="1068"/>
      <c r="W53" s="1068"/>
      <c r="X53" s="1068"/>
      <c r="Y53" s="1068"/>
      <c r="Z53" s="1068"/>
      <c r="AA53" s="1068"/>
      <c r="AB53" s="1068"/>
      <c r="AC53" s="1068"/>
      <c r="AD53" s="1068"/>
      <c r="AE53" s="1068"/>
      <c r="AF53" s="1068"/>
      <c r="AG53" s="1068"/>
      <c r="AH53" s="1068"/>
      <c r="AI53" s="1068"/>
      <c r="AJ53" s="1068"/>
      <c r="AK53" s="1068"/>
      <c r="AL53" s="1068"/>
      <c r="AM53" s="1068"/>
      <c r="AN53" s="1068"/>
      <c r="AO53" s="1068"/>
      <c r="AP53" s="1068"/>
      <c r="AQ53" s="1068"/>
      <c r="AR53" s="1068"/>
      <c r="AS53" s="1068"/>
      <c r="AT53" s="1068"/>
      <c r="AU53" s="1068"/>
      <c r="AV53" s="1068"/>
      <c r="AW53" s="1068"/>
      <c r="AX53" s="1068"/>
      <c r="AY53" s="1068"/>
      <c r="AZ53" s="1068"/>
      <c r="BA53" s="1060"/>
      <c r="BB53" s="1062"/>
      <c r="BC53" s="1062"/>
      <c r="BD53" s="1064"/>
      <c r="BE53" s="1066"/>
      <c r="BF53" s="502"/>
      <c r="BG53" s="502"/>
      <c r="BH53" s="502"/>
      <c r="BI53" s="502"/>
      <c r="BJ53" s="502"/>
      <c r="BK53" s="502"/>
      <c r="BL53" s="502"/>
      <c r="BM53" s="502"/>
      <c r="BN53" s="896"/>
      <c r="BO53" s="1056"/>
      <c r="BP53" s="1058"/>
      <c r="BQ53" s="1126"/>
      <c r="BR53" s="727"/>
    </row>
    <row r="54" spans="1:70" s="1" customFormat="1" ht="14.4" x14ac:dyDescent="0.25">
      <c r="A54" s="1076" t="s">
        <v>4347</v>
      </c>
      <c r="B54" s="1078" t="s">
        <v>9</v>
      </c>
      <c r="C54" s="503" t="s">
        <v>308</v>
      </c>
      <c r="D54" s="499" t="s">
        <v>193</v>
      </c>
      <c r="E54" s="502" t="s">
        <v>338</v>
      </c>
      <c r="F54" s="503" t="s">
        <v>339</v>
      </c>
      <c r="G54" s="503" t="s">
        <v>196</v>
      </c>
      <c r="H54" s="503" t="s">
        <v>300</v>
      </c>
      <c r="I54" s="499" t="s">
        <v>340</v>
      </c>
      <c r="J54" s="499"/>
      <c r="K54" s="1080" t="s">
        <v>301</v>
      </c>
      <c r="L54" s="1082" t="s">
        <v>4341</v>
      </c>
      <c r="M54" s="499" t="s">
        <v>303</v>
      </c>
      <c r="N54" s="1074"/>
      <c r="O54" s="714" t="s">
        <v>154</v>
      </c>
      <c r="P54" s="714" t="s">
        <v>154</v>
      </c>
      <c r="Q54" s="714" t="s">
        <v>154</v>
      </c>
      <c r="R54" s="714" t="s">
        <v>154</v>
      </c>
      <c r="S54" s="1067"/>
      <c r="T54" s="1067"/>
      <c r="U54" s="1067"/>
      <c r="V54" s="1067"/>
      <c r="W54" s="1067"/>
      <c r="X54" s="1067"/>
      <c r="Y54" s="1067"/>
      <c r="Z54" s="1067"/>
      <c r="AA54" s="1067"/>
      <c r="AB54" s="1067"/>
      <c r="AC54" s="1067"/>
      <c r="AD54" s="1067"/>
      <c r="AE54" s="1067"/>
      <c r="AF54" s="1067"/>
      <c r="AG54" s="1067"/>
      <c r="AH54" s="1067"/>
      <c r="AI54" s="1067"/>
      <c r="AJ54" s="1067"/>
      <c r="AK54" s="1067"/>
      <c r="AL54" s="1067"/>
      <c r="AM54" s="1067"/>
      <c r="AN54" s="1067"/>
      <c r="AO54" s="1067"/>
      <c r="AP54" s="1067"/>
      <c r="AQ54" s="1067"/>
      <c r="AR54" s="1067"/>
      <c r="AS54" s="1067"/>
      <c r="AT54" s="1067"/>
      <c r="AU54" s="1067"/>
      <c r="AV54" s="1067"/>
      <c r="AW54" s="1067"/>
      <c r="AX54" s="1067"/>
      <c r="AY54" s="1067"/>
      <c r="AZ54" s="1067"/>
      <c r="BA54" s="1059"/>
      <c r="BB54" s="1061" t="s">
        <v>199</v>
      </c>
      <c r="BC54" s="1061" t="s">
        <v>199</v>
      </c>
      <c r="BD54" s="1063"/>
      <c r="BE54" s="1065" t="s">
        <v>157</v>
      </c>
      <c r="BF54" s="502"/>
      <c r="BG54" s="502"/>
      <c r="BH54" s="502"/>
      <c r="BI54" s="502"/>
      <c r="BJ54" s="502"/>
      <c r="BK54" s="502"/>
      <c r="BL54" s="502"/>
      <c r="BM54" s="502"/>
      <c r="BN54" s="896"/>
      <c r="BO54" s="1055" t="s">
        <v>4404</v>
      </c>
      <c r="BP54" s="1057" t="s">
        <v>561</v>
      </c>
      <c r="BQ54" s="1126"/>
      <c r="BR54" s="727"/>
    </row>
    <row r="55" spans="1:70" s="1" customFormat="1" ht="14.4" x14ac:dyDescent="0.25">
      <c r="A55" s="1077" t="s">
        <v>310</v>
      </c>
      <c r="B55" s="1079" t="s">
        <v>45</v>
      </c>
      <c r="C55" s="503" t="s">
        <v>311</v>
      </c>
      <c r="D55" s="499" t="s">
        <v>193</v>
      </c>
      <c r="E55" s="502" t="s">
        <v>338</v>
      </c>
      <c r="F55" s="503" t="s">
        <v>339</v>
      </c>
      <c r="G55" s="503" t="s">
        <v>196</v>
      </c>
      <c r="H55" s="503" t="s">
        <v>300</v>
      </c>
      <c r="I55" s="499" t="s">
        <v>340</v>
      </c>
      <c r="J55" s="499"/>
      <c r="K55" s="1081" t="s">
        <v>151</v>
      </c>
      <c r="L55" s="1083" t="s">
        <v>312</v>
      </c>
      <c r="M55" s="499" t="s">
        <v>306</v>
      </c>
      <c r="N55" s="1075"/>
      <c r="O55" s="715"/>
      <c r="P55" s="715"/>
      <c r="Q55" s="715"/>
      <c r="R55" s="715"/>
      <c r="S55" s="1068"/>
      <c r="T55" s="1068"/>
      <c r="U55" s="1068"/>
      <c r="V55" s="1068"/>
      <c r="W55" s="1068"/>
      <c r="X55" s="1068"/>
      <c r="Y55" s="1068"/>
      <c r="Z55" s="1068"/>
      <c r="AA55" s="1068"/>
      <c r="AB55" s="1068"/>
      <c r="AC55" s="1068"/>
      <c r="AD55" s="1068"/>
      <c r="AE55" s="1068"/>
      <c r="AF55" s="1068"/>
      <c r="AG55" s="1068"/>
      <c r="AH55" s="1068"/>
      <c r="AI55" s="1068"/>
      <c r="AJ55" s="1068"/>
      <c r="AK55" s="1068"/>
      <c r="AL55" s="1068"/>
      <c r="AM55" s="1068"/>
      <c r="AN55" s="1068"/>
      <c r="AO55" s="1068"/>
      <c r="AP55" s="1068"/>
      <c r="AQ55" s="1068"/>
      <c r="AR55" s="1068"/>
      <c r="AS55" s="1068"/>
      <c r="AT55" s="1068"/>
      <c r="AU55" s="1068"/>
      <c r="AV55" s="1068"/>
      <c r="AW55" s="1068"/>
      <c r="AX55" s="1068"/>
      <c r="AY55" s="1068"/>
      <c r="AZ55" s="1068"/>
      <c r="BA55" s="1060"/>
      <c r="BB55" s="1062"/>
      <c r="BC55" s="1062"/>
      <c r="BD55" s="1064"/>
      <c r="BE55" s="1066"/>
      <c r="BF55" s="502"/>
      <c r="BG55" s="502"/>
      <c r="BH55" s="502"/>
      <c r="BI55" s="502"/>
      <c r="BJ55" s="502"/>
      <c r="BK55" s="502"/>
      <c r="BL55" s="502"/>
      <c r="BM55" s="502"/>
      <c r="BN55" s="896"/>
      <c r="BO55" s="1056"/>
      <c r="BP55" s="1058"/>
      <c r="BQ55" s="1126"/>
      <c r="BR55" s="727"/>
    </row>
    <row r="56" spans="1:70" s="1" customFormat="1" ht="14.4" x14ac:dyDescent="0.25">
      <c r="A56" s="1076" t="s">
        <v>4348</v>
      </c>
      <c r="B56" s="1078" t="s">
        <v>9</v>
      </c>
      <c r="C56" s="503" t="s">
        <v>314</v>
      </c>
      <c r="D56" s="499" t="s">
        <v>193</v>
      </c>
      <c r="E56" s="502" t="s">
        <v>338</v>
      </c>
      <c r="F56" s="503" t="s">
        <v>339</v>
      </c>
      <c r="G56" s="503" t="s">
        <v>196</v>
      </c>
      <c r="H56" s="503" t="s">
        <v>300</v>
      </c>
      <c r="I56" s="499" t="s">
        <v>340</v>
      </c>
      <c r="J56" s="499"/>
      <c r="K56" s="1080" t="s">
        <v>301</v>
      </c>
      <c r="L56" s="1082" t="s">
        <v>4342</v>
      </c>
      <c r="M56" s="499" t="s">
        <v>303</v>
      </c>
      <c r="N56" s="1074"/>
      <c r="O56" s="714" t="s">
        <v>154</v>
      </c>
      <c r="P56" s="714" t="s">
        <v>154</v>
      </c>
      <c r="Q56" s="714" t="s">
        <v>154</v>
      </c>
      <c r="R56" s="714" t="s">
        <v>154</v>
      </c>
      <c r="S56" s="1067"/>
      <c r="T56" s="1067"/>
      <c r="U56" s="1067"/>
      <c r="V56" s="1067"/>
      <c r="W56" s="1067"/>
      <c r="X56" s="1067"/>
      <c r="Y56" s="1067"/>
      <c r="Z56" s="1067"/>
      <c r="AA56" s="1067"/>
      <c r="AB56" s="1067"/>
      <c r="AC56" s="1067"/>
      <c r="AD56" s="1067"/>
      <c r="AE56" s="1067"/>
      <c r="AF56" s="1067"/>
      <c r="AG56" s="1067"/>
      <c r="AH56" s="1067"/>
      <c r="AI56" s="1067"/>
      <c r="AJ56" s="1067"/>
      <c r="AK56" s="1067"/>
      <c r="AL56" s="1067"/>
      <c r="AM56" s="1067"/>
      <c r="AN56" s="1067"/>
      <c r="AO56" s="1067"/>
      <c r="AP56" s="1067"/>
      <c r="AQ56" s="1067"/>
      <c r="AR56" s="1067"/>
      <c r="AS56" s="1067"/>
      <c r="AT56" s="1067"/>
      <c r="AU56" s="1067"/>
      <c r="AV56" s="1067"/>
      <c r="AW56" s="1067"/>
      <c r="AX56" s="1067"/>
      <c r="AY56" s="1067"/>
      <c r="AZ56" s="1067"/>
      <c r="BA56" s="1059"/>
      <c r="BB56" s="1061" t="s">
        <v>199</v>
      </c>
      <c r="BC56" s="1061" t="s">
        <v>199</v>
      </c>
      <c r="BD56" s="1063"/>
      <c r="BE56" s="1065" t="s">
        <v>157</v>
      </c>
      <c r="BF56" s="502"/>
      <c r="BG56" s="502"/>
      <c r="BH56" s="502"/>
      <c r="BI56" s="502"/>
      <c r="BJ56" s="502"/>
      <c r="BK56" s="502"/>
      <c r="BL56" s="502"/>
      <c r="BM56" s="502"/>
      <c r="BN56" s="896"/>
      <c r="BO56" s="1055" t="s">
        <v>4404</v>
      </c>
      <c r="BP56" s="1057" t="s">
        <v>561</v>
      </c>
      <c r="BQ56" s="1126"/>
      <c r="BR56" s="727"/>
    </row>
    <row r="57" spans="1:70" s="1" customFormat="1" ht="14.4" x14ac:dyDescent="0.25">
      <c r="A57" s="1077" t="s">
        <v>316</v>
      </c>
      <c r="B57" s="1079" t="s">
        <v>45</v>
      </c>
      <c r="C57" s="503" t="s">
        <v>317</v>
      </c>
      <c r="D57" s="499" t="s">
        <v>193</v>
      </c>
      <c r="E57" s="502" t="s">
        <v>338</v>
      </c>
      <c r="F57" s="503" t="s">
        <v>339</v>
      </c>
      <c r="G57" s="503" t="s">
        <v>196</v>
      </c>
      <c r="H57" s="503" t="s">
        <v>300</v>
      </c>
      <c r="I57" s="499" t="s">
        <v>340</v>
      </c>
      <c r="J57" s="499"/>
      <c r="K57" s="1081" t="s">
        <v>151</v>
      </c>
      <c r="L57" s="1083" t="s">
        <v>318</v>
      </c>
      <c r="M57" s="499" t="s">
        <v>306</v>
      </c>
      <c r="N57" s="1075"/>
      <c r="O57" s="715"/>
      <c r="P57" s="715"/>
      <c r="Q57" s="715"/>
      <c r="R57" s="715"/>
      <c r="S57" s="1068"/>
      <c r="T57" s="1068"/>
      <c r="U57" s="1068"/>
      <c r="V57" s="1068"/>
      <c r="W57" s="1068"/>
      <c r="X57" s="1068"/>
      <c r="Y57" s="1068"/>
      <c r="Z57" s="1068"/>
      <c r="AA57" s="1068"/>
      <c r="AB57" s="1068"/>
      <c r="AC57" s="1068"/>
      <c r="AD57" s="1068"/>
      <c r="AE57" s="1068"/>
      <c r="AF57" s="1068"/>
      <c r="AG57" s="1068"/>
      <c r="AH57" s="1068"/>
      <c r="AI57" s="1068"/>
      <c r="AJ57" s="1068"/>
      <c r="AK57" s="1068"/>
      <c r="AL57" s="1068"/>
      <c r="AM57" s="1068"/>
      <c r="AN57" s="1068"/>
      <c r="AO57" s="1068"/>
      <c r="AP57" s="1068"/>
      <c r="AQ57" s="1068"/>
      <c r="AR57" s="1068"/>
      <c r="AS57" s="1068"/>
      <c r="AT57" s="1068"/>
      <c r="AU57" s="1068"/>
      <c r="AV57" s="1068"/>
      <c r="AW57" s="1068"/>
      <c r="AX57" s="1068"/>
      <c r="AY57" s="1068"/>
      <c r="AZ57" s="1068"/>
      <c r="BA57" s="1060"/>
      <c r="BB57" s="1062"/>
      <c r="BC57" s="1062"/>
      <c r="BD57" s="1064"/>
      <c r="BE57" s="1066"/>
      <c r="BF57" s="502"/>
      <c r="BG57" s="502"/>
      <c r="BH57" s="502"/>
      <c r="BI57" s="502"/>
      <c r="BJ57" s="502"/>
      <c r="BK57" s="502"/>
      <c r="BL57" s="502"/>
      <c r="BM57" s="502"/>
      <c r="BN57" s="896"/>
      <c r="BO57" s="1056"/>
      <c r="BP57" s="1058"/>
      <c r="BQ57" s="1126"/>
      <c r="BR57" s="727"/>
    </row>
    <row r="58" spans="1:70" s="1" customFormat="1" ht="14.4" x14ac:dyDescent="0.25">
      <c r="A58" s="1076" t="s">
        <v>4349</v>
      </c>
      <c r="B58" s="1078" t="s">
        <v>9</v>
      </c>
      <c r="C58" s="503" t="s">
        <v>320</v>
      </c>
      <c r="D58" s="499" t="s">
        <v>193</v>
      </c>
      <c r="E58" s="502" t="s">
        <v>338</v>
      </c>
      <c r="F58" s="503" t="s">
        <v>339</v>
      </c>
      <c r="G58" s="503" t="s">
        <v>196</v>
      </c>
      <c r="H58" s="503" t="s">
        <v>300</v>
      </c>
      <c r="I58" s="499" t="s">
        <v>340</v>
      </c>
      <c r="J58" s="499"/>
      <c r="K58" s="1080" t="s">
        <v>301</v>
      </c>
      <c r="L58" s="1082" t="s">
        <v>4343</v>
      </c>
      <c r="M58" s="499" t="s">
        <v>303</v>
      </c>
      <c r="N58" s="1074"/>
      <c r="O58" s="714" t="s">
        <v>154</v>
      </c>
      <c r="P58" s="714" t="s">
        <v>154</v>
      </c>
      <c r="Q58" s="714" t="s">
        <v>154</v>
      </c>
      <c r="R58" s="714" t="s">
        <v>154</v>
      </c>
      <c r="S58" s="1067"/>
      <c r="T58" s="1067"/>
      <c r="U58" s="1067"/>
      <c r="V58" s="1067"/>
      <c r="W58" s="1067"/>
      <c r="X58" s="1067"/>
      <c r="Y58" s="1067"/>
      <c r="Z58" s="1067"/>
      <c r="AA58" s="1067"/>
      <c r="AB58" s="1067"/>
      <c r="AC58" s="1067"/>
      <c r="AD58" s="1067"/>
      <c r="AE58" s="1067"/>
      <c r="AF58" s="1067"/>
      <c r="AG58" s="1067"/>
      <c r="AH58" s="1067"/>
      <c r="AI58" s="1067"/>
      <c r="AJ58" s="1067"/>
      <c r="AK58" s="1067"/>
      <c r="AL58" s="1067"/>
      <c r="AM58" s="1067"/>
      <c r="AN58" s="1067"/>
      <c r="AO58" s="1067"/>
      <c r="AP58" s="1067"/>
      <c r="AQ58" s="1067"/>
      <c r="AR58" s="1067"/>
      <c r="AS58" s="1067"/>
      <c r="AT58" s="1067"/>
      <c r="AU58" s="1067"/>
      <c r="AV58" s="1067"/>
      <c r="AW58" s="1067"/>
      <c r="AX58" s="1067"/>
      <c r="AY58" s="1067"/>
      <c r="AZ58" s="1067"/>
      <c r="BA58" s="1059"/>
      <c r="BB58" s="1061" t="s">
        <v>199</v>
      </c>
      <c r="BC58" s="1061" t="s">
        <v>199</v>
      </c>
      <c r="BD58" s="1063"/>
      <c r="BE58" s="1065" t="s">
        <v>157</v>
      </c>
      <c r="BF58" s="502"/>
      <c r="BG58" s="502"/>
      <c r="BH58" s="502"/>
      <c r="BI58" s="502"/>
      <c r="BJ58" s="502"/>
      <c r="BK58" s="502"/>
      <c r="BL58" s="502"/>
      <c r="BM58" s="502"/>
      <c r="BN58" s="896"/>
      <c r="BO58" s="1055" t="s">
        <v>4404</v>
      </c>
      <c r="BP58" s="1057" t="s">
        <v>561</v>
      </c>
      <c r="BQ58" s="1126"/>
      <c r="BR58" s="727"/>
    </row>
    <row r="59" spans="1:70" s="1" customFormat="1" ht="14.4" x14ac:dyDescent="0.25">
      <c r="A59" s="1077" t="s">
        <v>322</v>
      </c>
      <c r="B59" s="1079" t="s">
        <v>45</v>
      </c>
      <c r="C59" s="503" t="s">
        <v>323</v>
      </c>
      <c r="D59" s="499" t="s">
        <v>193</v>
      </c>
      <c r="E59" s="502" t="s">
        <v>338</v>
      </c>
      <c r="F59" s="503" t="s">
        <v>339</v>
      </c>
      <c r="G59" s="503" t="s">
        <v>196</v>
      </c>
      <c r="H59" s="503" t="s">
        <v>300</v>
      </c>
      <c r="I59" s="499" t="s">
        <v>340</v>
      </c>
      <c r="J59" s="499"/>
      <c r="K59" s="1081" t="s">
        <v>151</v>
      </c>
      <c r="L59" s="1083" t="s">
        <v>324</v>
      </c>
      <c r="M59" s="499" t="s">
        <v>306</v>
      </c>
      <c r="N59" s="1075"/>
      <c r="O59" s="715"/>
      <c r="P59" s="715"/>
      <c r="Q59" s="715"/>
      <c r="R59" s="715"/>
      <c r="S59" s="1068"/>
      <c r="T59" s="1068"/>
      <c r="U59" s="1068"/>
      <c r="V59" s="1068"/>
      <c r="W59" s="1068"/>
      <c r="X59" s="1068"/>
      <c r="Y59" s="1068"/>
      <c r="Z59" s="1068"/>
      <c r="AA59" s="1068"/>
      <c r="AB59" s="1068"/>
      <c r="AC59" s="1068"/>
      <c r="AD59" s="1068"/>
      <c r="AE59" s="1068"/>
      <c r="AF59" s="1068"/>
      <c r="AG59" s="1068"/>
      <c r="AH59" s="1068"/>
      <c r="AI59" s="1068"/>
      <c r="AJ59" s="1068"/>
      <c r="AK59" s="1068"/>
      <c r="AL59" s="1068"/>
      <c r="AM59" s="1068"/>
      <c r="AN59" s="1068"/>
      <c r="AO59" s="1068"/>
      <c r="AP59" s="1068"/>
      <c r="AQ59" s="1068"/>
      <c r="AR59" s="1068"/>
      <c r="AS59" s="1068"/>
      <c r="AT59" s="1068"/>
      <c r="AU59" s="1068"/>
      <c r="AV59" s="1068"/>
      <c r="AW59" s="1068"/>
      <c r="AX59" s="1068"/>
      <c r="AY59" s="1068"/>
      <c r="AZ59" s="1068"/>
      <c r="BA59" s="1060"/>
      <c r="BB59" s="1062"/>
      <c r="BC59" s="1062"/>
      <c r="BD59" s="1064"/>
      <c r="BE59" s="1066"/>
      <c r="BF59" s="502"/>
      <c r="BG59" s="502"/>
      <c r="BH59" s="502"/>
      <c r="BI59" s="502"/>
      <c r="BJ59" s="502"/>
      <c r="BK59" s="502"/>
      <c r="BL59" s="502"/>
      <c r="BM59" s="502"/>
      <c r="BN59" s="896"/>
      <c r="BO59" s="1056"/>
      <c r="BP59" s="1058"/>
      <c r="BQ59" s="1126"/>
      <c r="BR59" s="727"/>
    </row>
    <row r="60" spans="1:70" s="1" customFormat="1" ht="14.4" x14ac:dyDescent="0.25">
      <c r="A60" s="1076" t="s">
        <v>4350</v>
      </c>
      <c r="B60" s="1078" t="s">
        <v>9</v>
      </c>
      <c r="C60" s="503" t="s">
        <v>326</v>
      </c>
      <c r="D60" s="499" t="s">
        <v>193</v>
      </c>
      <c r="E60" s="502" t="s">
        <v>338</v>
      </c>
      <c r="F60" s="503" t="s">
        <v>339</v>
      </c>
      <c r="G60" s="503" t="s">
        <v>196</v>
      </c>
      <c r="H60" s="503" t="s">
        <v>300</v>
      </c>
      <c r="I60" s="499" t="s">
        <v>340</v>
      </c>
      <c r="J60" s="499"/>
      <c r="K60" s="1080" t="s">
        <v>301</v>
      </c>
      <c r="L60" s="1082" t="s">
        <v>4344</v>
      </c>
      <c r="M60" s="499" t="s">
        <v>303</v>
      </c>
      <c r="N60" s="1074"/>
      <c r="O60" s="714" t="s">
        <v>154</v>
      </c>
      <c r="P60" s="714" t="s">
        <v>154</v>
      </c>
      <c r="Q60" s="714" t="s">
        <v>154</v>
      </c>
      <c r="R60" s="714" t="s">
        <v>154</v>
      </c>
      <c r="S60" s="1067"/>
      <c r="T60" s="1067"/>
      <c r="U60" s="1067"/>
      <c r="V60" s="1067"/>
      <c r="W60" s="1067"/>
      <c r="X60" s="1067"/>
      <c r="Y60" s="1067"/>
      <c r="Z60" s="1067"/>
      <c r="AA60" s="1067"/>
      <c r="AB60" s="1067"/>
      <c r="AC60" s="1067"/>
      <c r="AD60" s="1067"/>
      <c r="AE60" s="1067"/>
      <c r="AF60" s="1067"/>
      <c r="AG60" s="1067"/>
      <c r="AH60" s="1067"/>
      <c r="AI60" s="1067"/>
      <c r="AJ60" s="1067"/>
      <c r="AK60" s="1067"/>
      <c r="AL60" s="1067"/>
      <c r="AM60" s="1067"/>
      <c r="AN60" s="1067"/>
      <c r="AO60" s="1067"/>
      <c r="AP60" s="1067"/>
      <c r="AQ60" s="1067"/>
      <c r="AR60" s="1067"/>
      <c r="AS60" s="1067"/>
      <c r="AT60" s="1067"/>
      <c r="AU60" s="1067"/>
      <c r="AV60" s="1067"/>
      <c r="AW60" s="1067"/>
      <c r="AX60" s="1067"/>
      <c r="AY60" s="1067"/>
      <c r="AZ60" s="1067"/>
      <c r="BA60" s="1059"/>
      <c r="BB60" s="1061" t="s">
        <v>199</v>
      </c>
      <c r="BC60" s="1061" t="s">
        <v>199</v>
      </c>
      <c r="BD60" s="1063"/>
      <c r="BE60" s="1065" t="s">
        <v>157</v>
      </c>
      <c r="BF60" s="502"/>
      <c r="BG60" s="502"/>
      <c r="BH60" s="502"/>
      <c r="BI60" s="502"/>
      <c r="BJ60" s="502"/>
      <c r="BK60" s="502"/>
      <c r="BL60" s="502"/>
      <c r="BM60" s="502"/>
      <c r="BN60" s="896"/>
      <c r="BO60" s="1055" t="s">
        <v>4404</v>
      </c>
      <c r="BP60" s="1057" t="s">
        <v>561</v>
      </c>
      <c r="BQ60" s="1126"/>
      <c r="BR60" s="727"/>
    </row>
    <row r="61" spans="1:70" s="1" customFormat="1" ht="14.4" x14ac:dyDescent="0.25">
      <c r="A61" s="1077" t="s">
        <v>328</v>
      </c>
      <c r="B61" s="1079" t="s">
        <v>45</v>
      </c>
      <c r="C61" s="503" t="s">
        <v>329</v>
      </c>
      <c r="D61" s="499" t="s">
        <v>193</v>
      </c>
      <c r="E61" s="502" t="s">
        <v>338</v>
      </c>
      <c r="F61" s="503" t="s">
        <v>339</v>
      </c>
      <c r="G61" s="503" t="s">
        <v>196</v>
      </c>
      <c r="H61" s="503" t="s">
        <v>300</v>
      </c>
      <c r="I61" s="499" t="s">
        <v>340</v>
      </c>
      <c r="J61" s="499"/>
      <c r="K61" s="1081" t="s">
        <v>151</v>
      </c>
      <c r="L61" s="1083" t="s">
        <v>330</v>
      </c>
      <c r="M61" s="499" t="s">
        <v>306</v>
      </c>
      <c r="N61" s="1075"/>
      <c r="O61" s="715"/>
      <c r="P61" s="715"/>
      <c r="Q61" s="715"/>
      <c r="R61" s="715"/>
      <c r="S61" s="1068"/>
      <c r="T61" s="1068"/>
      <c r="U61" s="1068"/>
      <c r="V61" s="1068"/>
      <c r="W61" s="1068"/>
      <c r="X61" s="1068"/>
      <c r="Y61" s="1068"/>
      <c r="Z61" s="1068"/>
      <c r="AA61" s="1068"/>
      <c r="AB61" s="1068"/>
      <c r="AC61" s="1068"/>
      <c r="AD61" s="1068"/>
      <c r="AE61" s="1068"/>
      <c r="AF61" s="1068"/>
      <c r="AG61" s="1068"/>
      <c r="AH61" s="1068"/>
      <c r="AI61" s="1068"/>
      <c r="AJ61" s="1068"/>
      <c r="AK61" s="1068"/>
      <c r="AL61" s="1068"/>
      <c r="AM61" s="1068"/>
      <c r="AN61" s="1068"/>
      <c r="AO61" s="1068"/>
      <c r="AP61" s="1068"/>
      <c r="AQ61" s="1068"/>
      <c r="AR61" s="1068"/>
      <c r="AS61" s="1068"/>
      <c r="AT61" s="1068"/>
      <c r="AU61" s="1068"/>
      <c r="AV61" s="1068"/>
      <c r="AW61" s="1068"/>
      <c r="AX61" s="1068"/>
      <c r="AY61" s="1068"/>
      <c r="AZ61" s="1068"/>
      <c r="BA61" s="1060"/>
      <c r="BB61" s="1062"/>
      <c r="BC61" s="1062"/>
      <c r="BD61" s="1064"/>
      <c r="BE61" s="1066"/>
      <c r="BF61" s="502"/>
      <c r="BG61" s="502"/>
      <c r="BH61" s="502"/>
      <c r="BI61" s="502"/>
      <c r="BJ61" s="502"/>
      <c r="BK61" s="502"/>
      <c r="BL61" s="502"/>
      <c r="BM61" s="502"/>
      <c r="BN61" s="896"/>
      <c r="BO61" s="1056"/>
      <c r="BP61" s="1058"/>
      <c r="BQ61" s="1126"/>
      <c r="BR61" s="727"/>
    </row>
    <row r="62" spans="1:70" s="1" customFormat="1" ht="14.4" x14ac:dyDescent="0.25">
      <c r="A62" s="1076" t="s">
        <v>4351</v>
      </c>
      <c r="B62" s="1078" t="s">
        <v>9</v>
      </c>
      <c r="C62" s="503" t="s">
        <v>332</v>
      </c>
      <c r="D62" s="499" t="s">
        <v>193</v>
      </c>
      <c r="E62" s="502" t="s">
        <v>338</v>
      </c>
      <c r="F62" s="503" t="s">
        <v>339</v>
      </c>
      <c r="G62" s="503" t="s">
        <v>196</v>
      </c>
      <c r="H62" s="503" t="s">
        <v>300</v>
      </c>
      <c r="I62" s="499" t="s">
        <v>340</v>
      </c>
      <c r="J62" s="499"/>
      <c r="K62" s="1080" t="s">
        <v>301</v>
      </c>
      <c r="L62" s="1082" t="s">
        <v>4345</v>
      </c>
      <c r="M62" s="499" t="s">
        <v>303</v>
      </c>
      <c r="N62" s="1074"/>
      <c r="O62" s="714" t="s">
        <v>154</v>
      </c>
      <c r="P62" s="714" t="s">
        <v>154</v>
      </c>
      <c r="Q62" s="714" t="s">
        <v>154</v>
      </c>
      <c r="R62" s="714" t="s">
        <v>154</v>
      </c>
      <c r="S62" s="1067"/>
      <c r="T62" s="1067"/>
      <c r="U62" s="1067"/>
      <c r="V62" s="1067"/>
      <c r="W62" s="1067"/>
      <c r="X62" s="1067"/>
      <c r="Y62" s="1067"/>
      <c r="Z62" s="1067"/>
      <c r="AA62" s="1067"/>
      <c r="AB62" s="1067"/>
      <c r="AC62" s="1067"/>
      <c r="AD62" s="1067"/>
      <c r="AE62" s="1067"/>
      <c r="AF62" s="1067"/>
      <c r="AG62" s="1067"/>
      <c r="AH62" s="1067"/>
      <c r="AI62" s="1067"/>
      <c r="AJ62" s="1067"/>
      <c r="AK62" s="1067"/>
      <c r="AL62" s="1067"/>
      <c r="AM62" s="1067"/>
      <c r="AN62" s="1067"/>
      <c r="AO62" s="1067"/>
      <c r="AP62" s="1067"/>
      <c r="AQ62" s="1067"/>
      <c r="AR62" s="1067"/>
      <c r="AS62" s="1067"/>
      <c r="AT62" s="1067"/>
      <c r="AU62" s="1067"/>
      <c r="AV62" s="1067"/>
      <c r="AW62" s="1067"/>
      <c r="AX62" s="1067"/>
      <c r="AY62" s="1067"/>
      <c r="AZ62" s="1067"/>
      <c r="BA62" s="1059"/>
      <c r="BB62" s="1061" t="s">
        <v>199</v>
      </c>
      <c r="BC62" s="1061" t="s">
        <v>199</v>
      </c>
      <c r="BD62" s="1063"/>
      <c r="BE62" s="1065" t="s">
        <v>157</v>
      </c>
      <c r="BF62" s="502"/>
      <c r="BG62" s="502"/>
      <c r="BH62" s="502"/>
      <c r="BI62" s="502"/>
      <c r="BJ62" s="502"/>
      <c r="BK62" s="502"/>
      <c r="BL62" s="502"/>
      <c r="BM62" s="502"/>
      <c r="BN62" s="896"/>
      <c r="BO62" s="1055" t="s">
        <v>4404</v>
      </c>
      <c r="BP62" s="1057" t="s">
        <v>561</v>
      </c>
      <c r="BQ62" s="1126"/>
      <c r="BR62" s="727"/>
    </row>
    <row r="63" spans="1:70" s="1" customFormat="1" ht="14.4" x14ac:dyDescent="0.25">
      <c r="A63" s="1077" t="s">
        <v>334</v>
      </c>
      <c r="B63" s="1079" t="s">
        <v>45</v>
      </c>
      <c r="C63" s="503" t="s">
        <v>335</v>
      </c>
      <c r="D63" s="499" t="s">
        <v>193</v>
      </c>
      <c r="E63" s="502" t="s">
        <v>338</v>
      </c>
      <c r="F63" s="503" t="s">
        <v>339</v>
      </c>
      <c r="G63" s="503" t="s">
        <v>196</v>
      </c>
      <c r="H63" s="503" t="s">
        <v>300</v>
      </c>
      <c r="I63" s="499" t="s">
        <v>340</v>
      </c>
      <c r="J63" s="499"/>
      <c r="K63" s="1081" t="s">
        <v>151</v>
      </c>
      <c r="L63" s="1083" t="s">
        <v>336</v>
      </c>
      <c r="M63" s="499" t="s">
        <v>306</v>
      </c>
      <c r="N63" s="1075"/>
      <c r="O63" s="715"/>
      <c r="P63" s="715"/>
      <c r="Q63" s="715"/>
      <c r="R63" s="715"/>
      <c r="S63" s="1068"/>
      <c r="T63" s="1068"/>
      <c r="U63" s="1068"/>
      <c r="V63" s="1068"/>
      <c r="W63" s="1068"/>
      <c r="X63" s="1068"/>
      <c r="Y63" s="1068"/>
      <c r="Z63" s="1068"/>
      <c r="AA63" s="1068"/>
      <c r="AB63" s="1068"/>
      <c r="AC63" s="1068"/>
      <c r="AD63" s="1068"/>
      <c r="AE63" s="1068"/>
      <c r="AF63" s="1068"/>
      <c r="AG63" s="1068"/>
      <c r="AH63" s="1068"/>
      <c r="AI63" s="1068"/>
      <c r="AJ63" s="1068"/>
      <c r="AK63" s="1068"/>
      <c r="AL63" s="1068"/>
      <c r="AM63" s="1068"/>
      <c r="AN63" s="1068"/>
      <c r="AO63" s="1068"/>
      <c r="AP63" s="1068"/>
      <c r="AQ63" s="1068"/>
      <c r="AR63" s="1068"/>
      <c r="AS63" s="1068"/>
      <c r="AT63" s="1068"/>
      <c r="AU63" s="1068"/>
      <c r="AV63" s="1068"/>
      <c r="AW63" s="1068"/>
      <c r="AX63" s="1068"/>
      <c r="AY63" s="1068"/>
      <c r="AZ63" s="1068"/>
      <c r="BA63" s="1060"/>
      <c r="BB63" s="1062"/>
      <c r="BC63" s="1062"/>
      <c r="BD63" s="1064"/>
      <c r="BE63" s="1066"/>
      <c r="BF63" s="502"/>
      <c r="BG63" s="502"/>
      <c r="BH63" s="502"/>
      <c r="BI63" s="502"/>
      <c r="BJ63" s="502"/>
      <c r="BK63" s="502"/>
      <c r="BL63" s="502"/>
      <c r="BM63" s="502"/>
      <c r="BN63" s="896"/>
      <c r="BO63" s="1056"/>
      <c r="BP63" s="1058"/>
      <c r="BQ63" s="1127"/>
      <c r="BR63" s="899"/>
    </row>
    <row r="64" spans="1:70" s="37" customFormat="1" ht="14.4" x14ac:dyDescent="0.25">
      <c r="A64" s="383" t="s">
        <v>343</v>
      </c>
      <c r="B64" s="493"/>
      <c r="C64" s="493"/>
      <c r="D64" s="495"/>
      <c r="E64" s="493"/>
      <c r="F64" s="493"/>
      <c r="G64" s="493"/>
      <c r="H64" s="493"/>
      <c r="I64" s="494"/>
      <c r="J64" s="493"/>
      <c r="K64" s="493"/>
      <c r="L64" s="493"/>
      <c r="M64" s="493"/>
      <c r="N64" s="495"/>
      <c r="O64" s="384"/>
      <c r="P64" s="384"/>
      <c r="Q64" s="384"/>
      <c r="R64" s="384"/>
      <c r="S64" s="384"/>
      <c r="T64" s="384"/>
      <c r="U64" s="384"/>
      <c r="V64" s="384"/>
      <c r="W64" s="496"/>
      <c r="X64" s="496"/>
      <c r="Y64" s="496"/>
      <c r="Z64" s="496"/>
      <c r="AA64" s="496"/>
      <c r="AB64" s="496"/>
      <c r="AC64" s="496"/>
      <c r="AD64" s="496" t="str">
        <f t="shared" si="1"/>
        <v/>
      </c>
      <c r="AE64" s="496" t="str">
        <f t="shared" si="2"/>
        <v/>
      </c>
      <c r="AF64" s="496" t="str">
        <f t="shared" si="3"/>
        <v/>
      </c>
      <c r="AG64" s="496"/>
      <c r="AH64" s="496"/>
      <c r="AI64" s="496"/>
      <c r="AJ64" s="496"/>
      <c r="AK64" s="496" t="str">
        <f>LEFT(IF(ISBLANK(N64),"",N64&amp;"*")&amp;IF(ISBLANK(O64),"",O64&amp;"*")&amp;IF(ISBLANK(P64),"",P64&amp;"*")&amp;IF(ISBLANK(Q64),"",Q64&amp;"*"),2)</f>
        <v/>
      </c>
      <c r="AL64" s="384"/>
      <c r="AM64" s="496"/>
      <c r="AN64" s="384"/>
      <c r="AO64" s="496"/>
      <c r="AP64" s="384"/>
      <c r="AQ64" s="496"/>
      <c r="AR64" s="384"/>
      <c r="AS64" s="496"/>
      <c r="AT64" s="496"/>
      <c r="AU64" s="496"/>
      <c r="AV64" s="496"/>
      <c r="AW64" s="496"/>
      <c r="AX64" s="496"/>
      <c r="AY64" s="496"/>
      <c r="AZ64" s="496"/>
      <c r="BA64" s="496"/>
      <c r="BB64" s="496"/>
      <c r="BC64" s="496"/>
      <c r="BD64" s="496" t="str">
        <f>LEFT(IF(ISBLANK(O64),"",O64&amp;"*")&amp;IF(ISBLANK(P64),"",P64&amp;"*")&amp;IF(ISBLANK(Q64),"",Q64&amp;"*")&amp;IF(ISBLANK(R64),"",R64&amp;"*"),2)</f>
        <v/>
      </c>
      <c r="BE64" s="493"/>
      <c r="BF64" s="493"/>
      <c r="BG64" s="493"/>
      <c r="BH64" s="493"/>
      <c r="BI64" s="493"/>
      <c r="BJ64" s="493"/>
      <c r="BK64" s="493"/>
      <c r="BL64" s="493"/>
      <c r="BM64" s="493"/>
      <c r="BN64" s="497" t="s">
        <v>344</v>
      </c>
      <c r="BO64" s="313"/>
      <c r="BP64" s="251"/>
      <c r="BQ64" s="104"/>
    </row>
    <row r="65" spans="1:69" s="115" customFormat="1" ht="100.95" customHeight="1" x14ac:dyDescent="0.25">
      <c r="A65" s="1201" t="s">
        <v>345</v>
      </c>
      <c r="B65" s="970" t="s">
        <v>9</v>
      </c>
      <c r="C65" s="503" t="s">
        <v>346</v>
      </c>
      <c r="D65" s="503" t="s">
        <v>193</v>
      </c>
      <c r="E65" s="403"/>
      <c r="F65" s="366" t="s">
        <v>347</v>
      </c>
      <c r="G65" s="539">
        <v>1000</v>
      </c>
      <c r="H65" s="539" t="s">
        <v>348</v>
      </c>
      <c r="I65" s="539" t="s">
        <v>149</v>
      </c>
      <c r="J65" s="404"/>
      <c r="K65" s="719" t="s">
        <v>349</v>
      </c>
      <c r="L65" s="817" t="s">
        <v>350</v>
      </c>
      <c r="M65" s="550" t="s">
        <v>351</v>
      </c>
      <c r="N65" s="817"/>
      <c r="O65" s="1105"/>
      <c r="P65" s="1105"/>
      <c r="Q65" s="1105"/>
      <c r="R65" s="1105"/>
      <c r="S65" s="1105"/>
      <c r="T65" s="1105"/>
      <c r="U65" s="1105"/>
      <c r="V65" s="1105"/>
      <c r="W65" s="733"/>
      <c r="X65" s="733"/>
      <c r="Y65" s="714"/>
      <c r="Z65" s="733" t="s">
        <v>14</v>
      </c>
      <c r="AA65" s="1065"/>
      <c r="AB65" s="1065"/>
      <c r="AC65" s="1065"/>
      <c r="AD65" s="1065"/>
      <c r="AE65" s="1065"/>
      <c r="AF65" s="1065"/>
      <c r="AG65" s="1065"/>
      <c r="AH65" s="1065"/>
      <c r="AI65" s="1065"/>
      <c r="AJ65" s="1065"/>
      <c r="AK65" s="733"/>
      <c r="AL65" s="1105"/>
      <c r="AM65" s="733"/>
      <c r="AN65" s="1105"/>
      <c r="AO65" s="733"/>
      <c r="AP65" s="810"/>
      <c r="AQ65" s="714"/>
      <c r="AR65" s="1173"/>
      <c r="AS65" s="1177"/>
      <c r="AT65" s="1174"/>
      <c r="AU65" s="1174"/>
      <c r="AV65" s="719"/>
      <c r="AW65" s="1188" t="s">
        <v>352</v>
      </c>
      <c r="AX65" s="719"/>
      <c r="AY65" s="719"/>
      <c r="AZ65" s="719"/>
      <c r="BA65" s="753"/>
      <c r="BB65" s="743"/>
      <c r="BC65" s="743"/>
      <c r="BD65" s="743"/>
      <c r="BE65" s="719" t="s">
        <v>157</v>
      </c>
      <c r="BF65" s="549"/>
      <c r="BG65" s="549"/>
      <c r="BH65" s="549"/>
      <c r="BI65" s="549"/>
      <c r="BJ65" s="549"/>
      <c r="BK65" s="549"/>
      <c r="BL65" s="549"/>
      <c r="BM65" s="549"/>
      <c r="BN65" s="1010" t="s">
        <v>353</v>
      </c>
      <c r="BO65" s="1244" t="s">
        <v>4357</v>
      </c>
      <c r="BP65" s="1057" t="s">
        <v>561</v>
      </c>
      <c r="BQ65" s="739" t="s">
        <v>354</v>
      </c>
    </row>
    <row r="66" spans="1:69" s="115" customFormat="1" ht="116.25" customHeight="1" x14ac:dyDescent="0.25">
      <c r="A66" s="1202"/>
      <c r="B66" s="1123"/>
      <c r="C66" s="503" t="s">
        <v>355</v>
      </c>
      <c r="D66" s="503" t="s">
        <v>193</v>
      </c>
      <c r="E66" s="403"/>
      <c r="F66" s="366" t="s">
        <v>347</v>
      </c>
      <c r="G66" s="539">
        <v>1000</v>
      </c>
      <c r="H66" s="539" t="s">
        <v>348</v>
      </c>
      <c r="I66" s="539" t="s">
        <v>149</v>
      </c>
      <c r="J66" s="404"/>
      <c r="K66" s="746"/>
      <c r="L66" s="817"/>
      <c r="M66" s="550" t="s">
        <v>356</v>
      </c>
      <c r="N66" s="817"/>
      <c r="O66" s="1105"/>
      <c r="P66" s="1105"/>
      <c r="Q66" s="1105"/>
      <c r="R66" s="1105"/>
      <c r="S66" s="1105"/>
      <c r="T66" s="1105"/>
      <c r="U66" s="1105"/>
      <c r="V66" s="1105"/>
      <c r="W66" s="733"/>
      <c r="X66" s="733"/>
      <c r="Y66" s="730"/>
      <c r="Z66" s="733"/>
      <c r="AA66" s="1104"/>
      <c r="AB66" s="1104"/>
      <c r="AC66" s="1104"/>
      <c r="AD66" s="1104"/>
      <c r="AE66" s="1104"/>
      <c r="AF66" s="1104"/>
      <c r="AG66" s="1104"/>
      <c r="AH66" s="1104"/>
      <c r="AI66" s="1104"/>
      <c r="AJ66" s="1104"/>
      <c r="AK66" s="733"/>
      <c r="AL66" s="1105"/>
      <c r="AM66" s="733"/>
      <c r="AN66" s="1105"/>
      <c r="AO66" s="733"/>
      <c r="AP66" s="811"/>
      <c r="AQ66" s="730"/>
      <c r="AR66" s="1173"/>
      <c r="AS66" s="1177"/>
      <c r="AT66" s="1174"/>
      <c r="AU66" s="1174"/>
      <c r="AV66" s="1195"/>
      <c r="AW66" s="1188"/>
      <c r="AX66" s="720"/>
      <c r="AY66" s="720"/>
      <c r="AZ66" s="746"/>
      <c r="BA66" s="753"/>
      <c r="BB66" s="743"/>
      <c r="BC66" s="743"/>
      <c r="BD66" s="743"/>
      <c r="BE66" s="720"/>
      <c r="BF66" s="554"/>
      <c r="BG66" s="554"/>
      <c r="BH66" s="554"/>
      <c r="BI66" s="554"/>
      <c r="BJ66" s="554"/>
      <c r="BK66" s="554"/>
      <c r="BL66" s="554"/>
      <c r="BM66" s="554"/>
      <c r="BN66" s="1010"/>
      <c r="BO66" s="1245"/>
      <c r="BP66" s="1058"/>
      <c r="BQ66" s="1160"/>
    </row>
    <row r="67" spans="1:69" s="52" customFormat="1" ht="60" customHeight="1" x14ac:dyDescent="0.25">
      <c r="A67" s="1201" t="s">
        <v>357</v>
      </c>
      <c r="B67" s="970" t="s">
        <v>9</v>
      </c>
      <c r="C67" s="503" t="s">
        <v>346</v>
      </c>
      <c r="D67" s="503" t="s">
        <v>193</v>
      </c>
      <c r="E67" s="555" t="s">
        <v>149</v>
      </c>
      <c r="F67" s="366" t="s">
        <v>358</v>
      </c>
      <c r="G67" s="539">
        <v>1000</v>
      </c>
      <c r="H67" s="539" t="s">
        <v>348</v>
      </c>
      <c r="I67" s="539" t="s">
        <v>149</v>
      </c>
      <c r="J67" s="404"/>
      <c r="K67" s="719" t="s">
        <v>349</v>
      </c>
      <c r="L67" s="817" t="s">
        <v>359</v>
      </c>
      <c r="M67" s="550" t="s">
        <v>351</v>
      </c>
      <c r="N67" s="1215"/>
      <c r="O67" s="733" t="s">
        <v>154</v>
      </c>
      <c r="P67" s="733" t="s">
        <v>154</v>
      </c>
      <c r="Q67" s="733" t="s">
        <v>154</v>
      </c>
      <c r="R67" s="733" t="s">
        <v>154</v>
      </c>
      <c r="S67" s="1118" t="s">
        <v>199</v>
      </c>
      <c r="T67" s="1118" t="s">
        <v>199</v>
      </c>
      <c r="U67" s="1118" t="s">
        <v>199</v>
      </c>
      <c r="V67" s="1118" t="s">
        <v>199</v>
      </c>
      <c r="W67" s="733"/>
      <c r="X67" s="733"/>
      <c r="Y67" s="714"/>
      <c r="Z67" s="1171" t="s">
        <v>154</v>
      </c>
      <c r="AA67" s="1170" t="s">
        <v>155</v>
      </c>
      <c r="AB67" s="1170" t="s">
        <v>155</v>
      </c>
      <c r="AC67" s="1170" t="s">
        <v>155</v>
      </c>
      <c r="AD67" s="1170" t="s">
        <v>155</v>
      </c>
      <c r="AE67" s="1170" t="s">
        <v>155</v>
      </c>
      <c r="AF67" s="1170" t="s">
        <v>155</v>
      </c>
      <c r="AG67" s="1170" t="s">
        <v>155</v>
      </c>
      <c r="AH67" s="1170" t="s">
        <v>155</v>
      </c>
      <c r="AI67" s="1105"/>
      <c r="AJ67" s="1105"/>
      <c r="AK67" s="1105"/>
      <c r="AL67" s="1105"/>
      <c r="AM67" s="733"/>
      <c r="AN67" s="1105"/>
      <c r="AO67" s="733"/>
      <c r="AP67" s="810"/>
      <c r="AQ67" s="714"/>
      <c r="AR67" s="1173"/>
      <c r="AS67" s="1177"/>
      <c r="AT67" s="1174"/>
      <c r="AU67" s="1174"/>
      <c r="AV67" s="746" t="s">
        <v>199</v>
      </c>
      <c r="AW67" s="1188" t="s">
        <v>341</v>
      </c>
      <c r="AX67" s="1189"/>
      <c r="AY67" s="1189"/>
      <c r="AZ67" s="1174"/>
      <c r="BA67" s="1150"/>
      <c r="BB67" s="1118" t="s">
        <v>199</v>
      </c>
      <c r="BC67" s="1118" t="s">
        <v>199</v>
      </c>
      <c r="BD67" s="1184"/>
      <c r="BE67" s="719" t="s">
        <v>157</v>
      </c>
      <c r="BF67" s="549"/>
      <c r="BG67" s="549"/>
      <c r="BH67" s="549"/>
      <c r="BI67" s="549"/>
      <c r="BJ67" s="549"/>
      <c r="BK67" s="549"/>
      <c r="BL67" s="549"/>
      <c r="BM67" s="549"/>
      <c r="BN67" s="1010" t="s">
        <v>360</v>
      </c>
      <c r="BO67" s="1244" t="s">
        <v>4357</v>
      </c>
      <c r="BP67" s="1057" t="s">
        <v>561</v>
      </c>
      <c r="BQ67" s="1159" t="s">
        <v>4352</v>
      </c>
    </row>
    <row r="68" spans="1:69" s="52" customFormat="1" ht="139.5" customHeight="1" x14ac:dyDescent="0.25">
      <c r="A68" s="1203"/>
      <c r="B68" s="1123"/>
      <c r="C68" s="503" t="s">
        <v>355</v>
      </c>
      <c r="D68" s="503" t="s">
        <v>193</v>
      </c>
      <c r="E68" s="555" t="s">
        <v>149</v>
      </c>
      <c r="F68" s="366" t="s">
        <v>358</v>
      </c>
      <c r="G68" s="539">
        <v>1000</v>
      </c>
      <c r="H68" s="539" t="s">
        <v>348</v>
      </c>
      <c r="I68" s="539" t="s">
        <v>149</v>
      </c>
      <c r="J68" s="403"/>
      <c r="K68" s="720"/>
      <c r="L68" s="817"/>
      <c r="M68" s="550" t="s">
        <v>356</v>
      </c>
      <c r="N68" s="1215"/>
      <c r="O68" s="733"/>
      <c r="P68" s="733"/>
      <c r="Q68" s="733"/>
      <c r="R68" s="733"/>
      <c r="S68" s="1118"/>
      <c r="T68" s="1118"/>
      <c r="U68" s="1118"/>
      <c r="V68" s="1118"/>
      <c r="W68" s="733"/>
      <c r="X68" s="733"/>
      <c r="Y68" s="715"/>
      <c r="Z68" s="1171"/>
      <c r="AA68" s="1171"/>
      <c r="AB68" s="1171"/>
      <c r="AC68" s="1171"/>
      <c r="AD68" s="1171"/>
      <c r="AE68" s="1171"/>
      <c r="AF68" s="1171"/>
      <c r="AG68" s="1171"/>
      <c r="AH68" s="1171"/>
      <c r="AI68" s="1105"/>
      <c r="AJ68" s="1105"/>
      <c r="AK68" s="1105"/>
      <c r="AL68" s="1105"/>
      <c r="AM68" s="733"/>
      <c r="AN68" s="1105"/>
      <c r="AO68" s="733"/>
      <c r="AP68" s="812"/>
      <c r="AQ68" s="715"/>
      <c r="AR68" s="1173"/>
      <c r="AS68" s="1177"/>
      <c r="AT68" s="1174"/>
      <c r="AU68" s="1174"/>
      <c r="AV68" s="746"/>
      <c r="AW68" s="1188"/>
      <c r="AX68" s="1190"/>
      <c r="AY68" s="1190"/>
      <c r="AZ68" s="1174"/>
      <c r="BA68" s="1150"/>
      <c r="BB68" s="1118"/>
      <c r="BC68" s="1118"/>
      <c r="BD68" s="1184"/>
      <c r="BE68" s="720"/>
      <c r="BF68" s="554"/>
      <c r="BG68" s="554"/>
      <c r="BH68" s="554"/>
      <c r="BI68" s="554"/>
      <c r="BJ68" s="554"/>
      <c r="BK68" s="554"/>
      <c r="BL68" s="554"/>
      <c r="BM68" s="554"/>
      <c r="BN68" s="1010"/>
      <c r="BO68" s="1245"/>
      <c r="BP68" s="1058"/>
      <c r="BQ68" s="1160"/>
    </row>
    <row r="69" spans="1:69" s="53" customFormat="1" ht="29.4" customHeight="1" x14ac:dyDescent="0.25">
      <c r="A69" s="1201" t="s">
        <v>361</v>
      </c>
      <c r="B69" s="1122" t="s">
        <v>9</v>
      </c>
      <c r="C69" s="503" t="s">
        <v>362</v>
      </c>
      <c r="D69" s="503" t="s">
        <v>363</v>
      </c>
      <c r="E69" s="555" t="s">
        <v>149</v>
      </c>
      <c r="F69" s="539">
        <v>0</v>
      </c>
      <c r="G69" s="539" t="s">
        <v>149</v>
      </c>
      <c r="H69" s="539" t="s">
        <v>364</v>
      </c>
      <c r="I69" s="539" t="s">
        <v>149</v>
      </c>
      <c r="J69" s="719"/>
      <c r="K69" s="719" t="s">
        <v>365</v>
      </c>
      <c r="L69" s="719" t="s">
        <v>366</v>
      </c>
      <c r="M69" s="550" t="s">
        <v>367</v>
      </c>
      <c r="N69" s="1210"/>
      <c r="O69" s="810"/>
      <c r="P69" s="810"/>
      <c r="Q69" s="810"/>
      <c r="R69" s="810"/>
      <c r="S69" s="810"/>
      <c r="T69" s="810"/>
      <c r="U69" s="810"/>
      <c r="V69" s="810"/>
      <c r="W69" s="810"/>
      <c r="X69" s="810"/>
      <c r="Y69" s="810"/>
      <c r="Z69" s="810"/>
      <c r="AA69" s="810"/>
      <c r="AB69" s="810"/>
      <c r="AC69" s="810"/>
      <c r="AD69" s="810"/>
      <c r="AE69" s="810"/>
      <c r="AF69" s="810"/>
      <c r="AG69" s="810"/>
      <c r="AH69" s="810"/>
      <c r="AI69" s="810"/>
      <c r="AJ69" s="810"/>
      <c r="AK69" s="810"/>
      <c r="AL69" s="810"/>
      <c r="AM69" s="810"/>
      <c r="AN69" s="810"/>
      <c r="AO69" s="810"/>
      <c r="AP69" s="810"/>
      <c r="AQ69" s="810"/>
      <c r="AR69" s="810"/>
      <c r="AS69" s="810"/>
      <c r="AT69" s="810"/>
      <c r="AU69" s="810"/>
      <c r="AV69" s="810"/>
      <c r="AW69" s="810" t="s">
        <v>341</v>
      </c>
      <c r="AX69" s="714" t="s">
        <v>172</v>
      </c>
      <c r="AY69" s="714" t="s">
        <v>172</v>
      </c>
      <c r="AZ69" s="810"/>
      <c r="BA69" s="1059"/>
      <c r="BB69" s="1063"/>
      <c r="BC69" s="1063"/>
      <c r="BD69" s="1063"/>
      <c r="BE69" s="719" t="s">
        <v>157</v>
      </c>
      <c r="BF69" s="549"/>
      <c r="BG69" s="549"/>
      <c r="BH69" s="549"/>
      <c r="BI69" s="549"/>
      <c r="BJ69" s="549"/>
      <c r="BK69" s="549"/>
      <c r="BL69" s="549"/>
      <c r="BM69" s="549"/>
      <c r="BN69" s="1185" t="s">
        <v>368</v>
      </c>
      <c r="BO69" s="1279" t="s">
        <v>4339</v>
      </c>
      <c r="BP69" s="1282" t="s">
        <v>561</v>
      </c>
      <c r="BQ69" s="1154" t="s">
        <v>369</v>
      </c>
    </row>
    <row r="70" spans="1:69" s="53" customFormat="1" ht="18.600000000000001" customHeight="1" x14ac:dyDescent="0.25">
      <c r="A70" s="1202"/>
      <c r="B70" s="1199"/>
      <c r="C70" s="503" t="s">
        <v>370</v>
      </c>
      <c r="D70" s="503" t="s">
        <v>371</v>
      </c>
      <c r="E70" s="555" t="s">
        <v>149</v>
      </c>
      <c r="F70" s="539">
        <v>0</v>
      </c>
      <c r="G70" s="539" t="s">
        <v>149</v>
      </c>
      <c r="H70" s="539" t="s">
        <v>364</v>
      </c>
      <c r="I70" s="539" t="s">
        <v>372</v>
      </c>
      <c r="J70" s="978"/>
      <c r="K70" s="746"/>
      <c r="L70" s="746"/>
      <c r="M70" s="550" t="s">
        <v>373</v>
      </c>
      <c r="N70" s="1211"/>
      <c r="O70" s="811"/>
      <c r="P70" s="811"/>
      <c r="Q70" s="811"/>
      <c r="R70" s="811"/>
      <c r="S70" s="811"/>
      <c r="T70" s="811"/>
      <c r="U70" s="811"/>
      <c r="V70" s="811"/>
      <c r="W70" s="811"/>
      <c r="X70" s="811"/>
      <c r="Y70" s="811"/>
      <c r="Z70" s="811"/>
      <c r="AA70" s="811"/>
      <c r="AB70" s="811"/>
      <c r="AC70" s="811"/>
      <c r="AD70" s="811"/>
      <c r="AE70" s="811"/>
      <c r="AF70" s="811"/>
      <c r="AG70" s="811"/>
      <c r="AH70" s="811"/>
      <c r="AI70" s="811"/>
      <c r="AJ70" s="811"/>
      <c r="AK70" s="811"/>
      <c r="AL70" s="811"/>
      <c r="AM70" s="811"/>
      <c r="AN70" s="811"/>
      <c r="AO70" s="811"/>
      <c r="AP70" s="811"/>
      <c r="AQ70" s="811"/>
      <c r="AR70" s="811"/>
      <c r="AS70" s="811"/>
      <c r="AT70" s="811"/>
      <c r="AU70" s="811"/>
      <c r="AV70" s="811"/>
      <c r="AW70" s="811"/>
      <c r="AX70" s="730"/>
      <c r="AY70" s="730"/>
      <c r="AZ70" s="811"/>
      <c r="BA70" s="1149"/>
      <c r="BB70" s="1116"/>
      <c r="BC70" s="1116"/>
      <c r="BD70" s="1116"/>
      <c r="BE70" s="746"/>
      <c r="BF70" s="552"/>
      <c r="BG70" s="552"/>
      <c r="BH70" s="552"/>
      <c r="BI70" s="552"/>
      <c r="BJ70" s="552"/>
      <c r="BK70" s="552"/>
      <c r="BL70" s="552"/>
      <c r="BM70" s="552"/>
      <c r="BN70" s="795"/>
      <c r="BO70" s="1280"/>
      <c r="BP70" s="1283"/>
      <c r="BQ70" s="1155"/>
    </row>
    <row r="71" spans="1:69" s="52" customFormat="1" ht="18" customHeight="1" x14ac:dyDescent="0.25">
      <c r="A71" s="1202"/>
      <c r="B71" s="1199"/>
      <c r="C71" s="503" t="s">
        <v>346</v>
      </c>
      <c r="D71" s="503" t="s">
        <v>374</v>
      </c>
      <c r="E71" s="555" t="s">
        <v>149</v>
      </c>
      <c r="F71" s="539">
        <v>1</v>
      </c>
      <c r="G71" s="555" t="s">
        <v>149</v>
      </c>
      <c r="H71" s="539" t="s">
        <v>364</v>
      </c>
      <c r="I71" s="539" t="s">
        <v>149</v>
      </c>
      <c r="J71" s="978"/>
      <c r="K71" s="746"/>
      <c r="L71" s="746"/>
      <c r="M71" s="550" t="s">
        <v>375</v>
      </c>
      <c r="N71" s="1211"/>
      <c r="O71" s="811"/>
      <c r="P71" s="811"/>
      <c r="Q71" s="811"/>
      <c r="R71" s="811"/>
      <c r="S71" s="811"/>
      <c r="T71" s="811"/>
      <c r="U71" s="811"/>
      <c r="V71" s="811"/>
      <c r="W71" s="811"/>
      <c r="X71" s="811"/>
      <c r="Y71" s="811"/>
      <c r="Z71" s="811"/>
      <c r="AA71" s="811"/>
      <c r="AB71" s="811"/>
      <c r="AC71" s="811"/>
      <c r="AD71" s="811"/>
      <c r="AE71" s="811"/>
      <c r="AF71" s="811"/>
      <c r="AG71" s="811"/>
      <c r="AH71" s="811"/>
      <c r="AI71" s="811"/>
      <c r="AJ71" s="811"/>
      <c r="AK71" s="811"/>
      <c r="AL71" s="811"/>
      <c r="AM71" s="811"/>
      <c r="AN71" s="811"/>
      <c r="AO71" s="811"/>
      <c r="AP71" s="811"/>
      <c r="AQ71" s="811"/>
      <c r="AR71" s="811"/>
      <c r="AS71" s="811"/>
      <c r="AT71" s="811"/>
      <c r="AU71" s="811"/>
      <c r="AV71" s="811"/>
      <c r="AW71" s="811"/>
      <c r="AX71" s="730"/>
      <c r="AY71" s="730"/>
      <c r="AZ71" s="811"/>
      <c r="BA71" s="1149"/>
      <c r="BB71" s="1116"/>
      <c r="BC71" s="1116"/>
      <c r="BD71" s="1116"/>
      <c r="BE71" s="746"/>
      <c r="BF71" s="552"/>
      <c r="BG71" s="552"/>
      <c r="BH71" s="552"/>
      <c r="BI71" s="552"/>
      <c r="BJ71" s="552"/>
      <c r="BK71" s="552"/>
      <c r="BL71" s="552"/>
      <c r="BM71" s="552"/>
      <c r="BN71" s="795"/>
      <c r="BO71" s="1280"/>
      <c r="BP71" s="1283"/>
      <c r="BQ71" s="1155"/>
    </row>
    <row r="72" spans="1:69" s="52" customFormat="1" ht="18" customHeight="1" x14ac:dyDescent="0.25">
      <c r="A72" s="1202"/>
      <c r="B72" s="1199"/>
      <c r="C72" s="503" t="s">
        <v>346</v>
      </c>
      <c r="D72" s="503" t="s">
        <v>148</v>
      </c>
      <c r="E72" s="555" t="s">
        <v>149</v>
      </c>
      <c r="F72" s="539">
        <v>0</v>
      </c>
      <c r="G72" s="539" t="s">
        <v>149</v>
      </c>
      <c r="H72" s="539" t="s">
        <v>364</v>
      </c>
      <c r="I72" s="539" t="s">
        <v>149</v>
      </c>
      <c r="J72" s="978"/>
      <c r="K72" s="746"/>
      <c r="L72" s="746"/>
      <c r="M72" s="550" t="s">
        <v>376</v>
      </c>
      <c r="N72" s="1211"/>
      <c r="O72" s="811"/>
      <c r="P72" s="811"/>
      <c r="Q72" s="811"/>
      <c r="R72" s="811"/>
      <c r="S72" s="811"/>
      <c r="T72" s="811"/>
      <c r="U72" s="811"/>
      <c r="V72" s="811"/>
      <c r="W72" s="811"/>
      <c r="X72" s="811"/>
      <c r="Y72" s="811"/>
      <c r="Z72" s="811"/>
      <c r="AA72" s="811"/>
      <c r="AB72" s="811"/>
      <c r="AC72" s="811"/>
      <c r="AD72" s="811"/>
      <c r="AE72" s="811"/>
      <c r="AF72" s="811"/>
      <c r="AG72" s="811"/>
      <c r="AH72" s="811"/>
      <c r="AI72" s="811"/>
      <c r="AJ72" s="811"/>
      <c r="AK72" s="811"/>
      <c r="AL72" s="811"/>
      <c r="AM72" s="811"/>
      <c r="AN72" s="811"/>
      <c r="AO72" s="811"/>
      <c r="AP72" s="811"/>
      <c r="AQ72" s="811"/>
      <c r="AR72" s="811"/>
      <c r="AS72" s="811"/>
      <c r="AT72" s="811"/>
      <c r="AU72" s="811"/>
      <c r="AV72" s="811"/>
      <c r="AW72" s="811"/>
      <c r="AX72" s="730"/>
      <c r="AY72" s="730"/>
      <c r="AZ72" s="811"/>
      <c r="BA72" s="1149"/>
      <c r="BB72" s="1116"/>
      <c r="BC72" s="1116"/>
      <c r="BD72" s="1116"/>
      <c r="BE72" s="746"/>
      <c r="BF72" s="552"/>
      <c r="BG72" s="552"/>
      <c r="BH72" s="552"/>
      <c r="BI72" s="552"/>
      <c r="BJ72" s="552"/>
      <c r="BK72" s="552"/>
      <c r="BL72" s="552"/>
      <c r="BM72" s="552"/>
      <c r="BN72" s="795"/>
      <c r="BO72" s="1280"/>
      <c r="BP72" s="1283"/>
      <c r="BQ72" s="1155"/>
    </row>
    <row r="73" spans="1:69" s="52" customFormat="1" ht="30" customHeight="1" x14ac:dyDescent="0.25">
      <c r="A73" s="1202"/>
      <c r="B73" s="1199"/>
      <c r="C73" s="503" t="s">
        <v>377</v>
      </c>
      <c r="D73" s="503" t="s">
        <v>193</v>
      </c>
      <c r="E73" s="503" t="s">
        <v>378</v>
      </c>
      <c r="F73" s="500" t="s">
        <v>379</v>
      </c>
      <c r="G73" s="503" t="s">
        <v>149</v>
      </c>
      <c r="H73" s="503" t="s">
        <v>380</v>
      </c>
      <c r="I73" s="539" t="s">
        <v>381</v>
      </c>
      <c r="J73" s="978"/>
      <c r="K73" s="746"/>
      <c r="L73" s="746"/>
      <c r="M73" s="550" t="s">
        <v>382</v>
      </c>
      <c r="N73" s="1211"/>
      <c r="O73" s="811"/>
      <c r="P73" s="811"/>
      <c r="Q73" s="811"/>
      <c r="R73" s="811"/>
      <c r="S73" s="811"/>
      <c r="T73" s="811"/>
      <c r="U73" s="811"/>
      <c r="V73" s="811"/>
      <c r="W73" s="811"/>
      <c r="X73" s="811"/>
      <c r="Y73" s="811"/>
      <c r="Z73" s="811"/>
      <c r="AA73" s="811"/>
      <c r="AB73" s="811"/>
      <c r="AC73" s="811"/>
      <c r="AD73" s="811"/>
      <c r="AE73" s="811"/>
      <c r="AF73" s="811"/>
      <c r="AG73" s="811"/>
      <c r="AH73" s="811"/>
      <c r="AI73" s="811"/>
      <c r="AJ73" s="811"/>
      <c r="AK73" s="811"/>
      <c r="AL73" s="811"/>
      <c r="AM73" s="811"/>
      <c r="AN73" s="811"/>
      <c r="AO73" s="811"/>
      <c r="AP73" s="811"/>
      <c r="AQ73" s="811"/>
      <c r="AR73" s="811"/>
      <c r="AS73" s="811"/>
      <c r="AT73" s="811"/>
      <c r="AU73" s="811"/>
      <c r="AV73" s="811"/>
      <c r="AW73" s="811"/>
      <c r="AX73" s="730"/>
      <c r="AY73" s="730"/>
      <c r="AZ73" s="811"/>
      <c r="BA73" s="1149"/>
      <c r="BB73" s="1116"/>
      <c r="BC73" s="1116"/>
      <c r="BD73" s="1116"/>
      <c r="BE73" s="746"/>
      <c r="BF73" s="552"/>
      <c r="BG73" s="552"/>
      <c r="BH73" s="552"/>
      <c r="BI73" s="552"/>
      <c r="BJ73" s="552"/>
      <c r="BK73" s="552"/>
      <c r="BL73" s="552"/>
      <c r="BM73" s="552"/>
      <c r="BN73" s="795"/>
      <c r="BO73" s="1280"/>
      <c r="BP73" s="1283"/>
      <c r="BQ73" s="1155"/>
    </row>
    <row r="74" spans="1:69" s="52" customFormat="1" ht="30" customHeight="1" x14ac:dyDescent="0.25">
      <c r="A74" s="1202"/>
      <c r="B74" s="1199"/>
      <c r="C74" s="503" t="s">
        <v>377</v>
      </c>
      <c r="D74" s="503" t="s">
        <v>193</v>
      </c>
      <c r="E74" s="503" t="s">
        <v>383</v>
      </c>
      <c r="F74" s="500" t="s">
        <v>384</v>
      </c>
      <c r="G74" s="503" t="s">
        <v>149</v>
      </c>
      <c r="H74" s="503" t="s">
        <v>380</v>
      </c>
      <c r="I74" s="539" t="s">
        <v>381</v>
      </c>
      <c r="J74" s="978"/>
      <c r="K74" s="746"/>
      <c r="L74" s="746"/>
      <c r="M74" s="550" t="s">
        <v>385</v>
      </c>
      <c r="N74" s="1211"/>
      <c r="O74" s="811"/>
      <c r="P74" s="811"/>
      <c r="Q74" s="811"/>
      <c r="R74" s="811"/>
      <c r="S74" s="811"/>
      <c r="T74" s="811"/>
      <c r="U74" s="811"/>
      <c r="V74" s="811"/>
      <c r="W74" s="811"/>
      <c r="X74" s="811"/>
      <c r="Y74" s="811"/>
      <c r="Z74" s="811"/>
      <c r="AA74" s="811"/>
      <c r="AB74" s="811"/>
      <c r="AC74" s="811"/>
      <c r="AD74" s="811"/>
      <c r="AE74" s="811"/>
      <c r="AF74" s="811"/>
      <c r="AG74" s="811"/>
      <c r="AH74" s="811"/>
      <c r="AI74" s="811"/>
      <c r="AJ74" s="811"/>
      <c r="AK74" s="811"/>
      <c r="AL74" s="811"/>
      <c r="AM74" s="811"/>
      <c r="AN74" s="811"/>
      <c r="AO74" s="811"/>
      <c r="AP74" s="811"/>
      <c r="AQ74" s="811"/>
      <c r="AR74" s="811"/>
      <c r="AS74" s="811"/>
      <c r="AT74" s="811"/>
      <c r="AU74" s="811"/>
      <c r="AV74" s="811"/>
      <c r="AW74" s="811"/>
      <c r="AX74" s="730"/>
      <c r="AY74" s="730"/>
      <c r="AZ74" s="811"/>
      <c r="BA74" s="1149"/>
      <c r="BB74" s="1116"/>
      <c r="BC74" s="1116"/>
      <c r="BD74" s="1116"/>
      <c r="BE74" s="746"/>
      <c r="BF74" s="552"/>
      <c r="BG74" s="552"/>
      <c r="BH74" s="552"/>
      <c r="BI74" s="552"/>
      <c r="BJ74" s="552"/>
      <c r="BK74" s="552"/>
      <c r="BL74" s="552"/>
      <c r="BM74" s="552"/>
      <c r="BN74" s="795"/>
      <c r="BO74" s="1281"/>
      <c r="BP74" s="1284"/>
      <c r="BQ74" s="1155"/>
    </row>
    <row r="75" spans="1:69" s="53" customFormat="1" ht="30.6" customHeight="1" x14ac:dyDescent="0.25">
      <c r="A75" s="1201" t="s">
        <v>386</v>
      </c>
      <c r="B75" s="1122" t="s">
        <v>9</v>
      </c>
      <c r="C75" s="503" t="s">
        <v>387</v>
      </c>
      <c r="D75" s="503" t="s">
        <v>363</v>
      </c>
      <c r="E75" s="555" t="s">
        <v>149</v>
      </c>
      <c r="F75" s="539">
        <v>0</v>
      </c>
      <c r="G75" s="539" t="s">
        <v>149</v>
      </c>
      <c r="H75" s="539" t="s">
        <v>364</v>
      </c>
      <c r="I75" s="539" t="s">
        <v>149</v>
      </c>
      <c r="J75" s="719"/>
      <c r="K75" s="719" t="s">
        <v>365</v>
      </c>
      <c r="L75" s="719" t="s">
        <v>388</v>
      </c>
      <c r="M75" s="550" t="s">
        <v>367</v>
      </c>
      <c r="N75" s="1210"/>
      <c r="O75" s="810"/>
      <c r="P75" s="810"/>
      <c r="Q75" s="810"/>
      <c r="R75" s="810"/>
      <c r="S75" s="1231"/>
      <c r="T75" s="1213"/>
      <c r="U75" s="1238"/>
      <c r="V75" s="1175"/>
      <c r="W75" s="810"/>
      <c r="X75" s="810"/>
      <c r="Y75" s="810"/>
      <c r="Z75" s="810"/>
      <c r="AA75" s="810"/>
      <c r="AB75" s="810"/>
      <c r="AC75" s="810"/>
      <c r="AD75" s="810"/>
      <c r="AE75" s="810"/>
      <c r="AF75" s="810"/>
      <c r="AG75" s="810"/>
      <c r="AH75" s="810"/>
      <c r="AI75" s="810"/>
      <c r="AJ75" s="810"/>
      <c r="AK75" s="810"/>
      <c r="AL75" s="810"/>
      <c r="AM75" s="810"/>
      <c r="AN75" s="810"/>
      <c r="AO75" s="810"/>
      <c r="AP75" s="810"/>
      <c r="AQ75" s="810"/>
      <c r="AR75" s="810"/>
      <c r="AS75" s="810"/>
      <c r="AT75" s="810"/>
      <c r="AU75" s="810"/>
      <c r="AV75" s="810"/>
      <c r="AW75" s="810"/>
      <c r="AX75" s="714" t="s">
        <v>172</v>
      </c>
      <c r="AY75" s="714" t="s">
        <v>172</v>
      </c>
      <c r="AZ75" s="810"/>
      <c r="BA75" s="1059"/>
      <c r="BB75" s="1063"/>
      <c r="BC75" s="1063"/>
      <c r="BD75" s="1063"/>
      <c r="BE75" s="719" t="s">
        <v>157</v>
      </c>
      <c r="BF75" s="552"/>
      <c r="BG75" s="552"/>
      <c r="BH75" s="552"/>
      <c r="BI75" s="552"/>
      <c r="BJ75" s="552"/>
      <c r="BK75" s="552"/>
      <c r="BL75" s="552"/>
      <c r="BM75" s="552"/>
      <c r="BN75" s="795"/>
      <c r="BO75" s="1279" t="s">
        <v>4339</v>
      </c>
      <c r="BP75" s="1282" t="s">
        <v>561</v>
      </c>
      <c r="BQ75" s="1156"/>
    </row>
    <row r="76" spans="1:69" s="53" customFormat="1" ht="16.95" customHeight="1" x14ac:dyDescent="0.25">
      <c r="A76" s="1202"/>
      <c r="B76" s="1199"/>
      <c r="C76" s="503" t="s">
        <v>389</v>
      </c>
      <c r="D76" s="503" t="s">
        <v>371</v>
      </c>
      <c r="E76" s="555" t="s">
        <v>149</v>
      </c>
      <c r="F76" s="539">
        <v>0</v>
      </c>
      <c r="G76" s="539" t="s">
        <v>149</v>
      </c>
      <c r="H76" s="539" t="s">
        <v>364</v>
      </c>
      <c r="I76" s="539" t="s">
        <v>372</v>
      </c>
      <c r="J76" s="978"/>
      <c r="K76" s="746"/>
      <c r="L76" s="746"/>
      <c r="M76" s="550" t="s">
        <v>390</v>
      </c>
      <c r="N76" s="1211"/>
      <c r="O76" s="811"/>
      <c r="P76" s="811"/>
      <c r="Q76" s="811"/>
      <c r="R76" s="811"/>
      <c r="S76" s="1232"/>
      <c r="T76" s="1213"/>
      <c r="U76" s="1239"/>
      <c r="V76" s="1176"/>
      <c r="W76" s="811"/>
      <c r="X76" s="811"/>
      <c r="Y76" s="811"/>
      <c r="Z76" s="811"/>
      <c r="AA76" s="811"/>
      <c r="AB76" s="811"/>
      <c r="AC76" s="811"/>
      <c r="AD76" s="811"/>
      <c r="AE76" s="811"/>
      <c r="AF76" s="811"/>
      <c r="AG76" s="811"/>
      <c r="AH76" s="811"/>
      <c r="AI76" s="811"/>
      <c r="AJ76" s="811"/>
      <c r="AK76" s="811"/>
      <c r="AL76" s="811"/>
      <c r="AM76" s="811"/>
      <c r="AN76" s="811"/>
      <c r="AO76" s="811"/>
      <c r="AP76" s="811"/>
      <c r="AQ76" s="811"/>
      <c r="AR76" s="811"/>
      <c r="AS76" s="811"/>
      <c r="AT76" s="811"/>
      <c r="AU76" s="811"/>
      <c r="AV76" s="811"/>
      <c r="AW76" s="811"/>
      <c r="AX76" s="730"/>
      <c r="AY76" s="730"/>
      <c r="AZ76" s="811"/>
      <c r="BA76" s="1149"/>
      <c r="BB76" s="1116"/>
      <c r="BC76" s="1116"/>
      <c r="BD76" s="1116"/>
      <c r="BE76" s="746"/>
      <c r="BF76" s="552"/>
      <c r="BG76" s="552"/>
      <c r="BH76" s="552"/>
      <c r="BI76" s="552"/>
      <c r="BJ76" s="552"/>
      <c r="BK76" s="552"/>
      <c r="BL76" s="552"/>
      <c r="BM76" s="552"/>
      <c r="BN76" s="795"/>
      <c r="BO76" s="1280"/>
      <c r="BP76" s="1283"/>
      <c r="BQ76" s="1156"/>
    </row>
    <row r="77" spans="1:69" s="52" customFormat="1" ht="18" customHeight="1" x14ac:dyDescent="0.25">
      <c r="A77" s="1202"/>
      <c r="B77" s="1199"/>
      <c r="C77" s="503" t="s">
        <v>355</v>
      </c>
      <c r="D77" s="503" t="s">
        <v>374</v>
      </c>
      <c r="E77" s="555" t="s">
        <v>149</v>
      </c>
      <c r="F77" s="539">
        <v>1</v>
      </c>
      <c r="G77" s="555" t="s">
        <v>149</v>
      </c>
      <c r="H77" s="539" t="s">
        <v>364</v>
      </c>
      <c r="I77" s="539" t="s">
        <v>149</v>
      </c>
      <c r="J77" s="978"/>
      <c r="K77" s="746"/>
      <c r="L77" s="746"/>
      <c r="M77" s="550" t="s">
        <v>391</v>
      </c>
      <c r="N77" s="1211"/>
      <c r="O77" s="811"/>
      <c r="P77" s="811"/>
      <c r="Q77" s="811"/>
      <c r="R77" s="811"/>
      <c r="S77" s="1232"/>
      <c r="T77" s="1213"/>
      <c r="U77" s="1239"/>
      <c r="V77" s="1176"/>
      <c r="W77" s="811"/>
      <c r="X77" s="811"/>
      <c r="Y77" s="811"/>
      <c r="Z77" s="811"/>
      <c r="AA77" s="811"/>
      <c r="AB77" s="811"/>
      <c r="AC77" s="811"/>
      <c r="AD77" s="811"/>
      <c r="AE77" s="811"/>
      <c r="AF77" s="811"/>
      <c r="AG77" s="811"/>
      <c r="AH77" s="811"/>
      <c r="AI77" s="811"/>
      <c r="AJ77" s="811"/>
      <c r="AK77" s="811"/>
      <c r="AL77" s="811"/>
      <c r="AM77" s="811"/>
      <c r="AN77" s="811"/>
      <c r="AO77" s="811"/>
      <c r="AP77" s="811"/>
      <c r="AQ77" s="811"/>
      <c r="AR77" s="811"/>
      <c r="AS77" s="811"/>
      <c r="AT77" s="811"/>
      <c r="AU77" s="811"/>
      <c r="AV77" s="811"/>
      <c r="AW77" s="811"/>
      <c r="AX77" s="730"/>
      <c r="AY77" s="730"/>
      <c r="AZ77" s="811"/>
      <c r="BA77" s="1149"/>
      <c r="BB77" s="1116"/>
      <c r="BC77" s="1116"/>
      <c r="BD77" s="1116"/>
      <c r="BE77" s="746"/>
      <c r="BF77" s="552"/>
      <c r="BG77" s="552"/>
      <c r="BH77" s="552"/>
      <c r="BI77" s="552"/>
      <c r="BJ77" s="552"/>
      <c r="BK77" s="552"/>
      <c r="BL77" s="552"/>
      <c r="BM77" s="552"/>
      <c r="BN77" s="795"/>
      <c r="BO77" s="1280"/>
      <c r="BP77" s="1283"/>
      <c r="BQ77" s="1156"/>
    </row>
    <row r="78" spans="1:69" s="52" customFormat="1" ht="18" customHeight="1" x14ac:dyDescent="0.25">
      <c r="A78" s="1202"/>
      <c r="B78" s="1199"/>
      <c r="C78" s="503" t="s">
        <v>355</v>
      </c>
      <c r="D78" s="503" t="s">
        <v>148</v>
      </c>
      <c r="E78" s="555" t="s">
        <v>149</v>
      </c>
      <c r="F78" s="539">
        <v>0</v>
      </c>
      <c r="G78" s="539" t="s">
        <v>149</v>
      </c>
      <c r="H78" s="539" t="s">
        <v>364</v>
      </c>
      <c r="I78" s="539" t="s">
        <v>149</v>
      </c>
      <c r="J78" s="978"/>
      <c r="K78" s="746"/>
      <c r="L78" s="746"/>
      <c r="M78" s="550" t="s">
        <v>392</v>
      </c>
      <c r="N78" s="1211"/>
      <c r="O78" s="811"/>
      <c r="P78" s="811"/>
      <c r="Q78" s="811"/>
      <c r="R78" s="811"/>
      <c r="S78" s="1232"/>
      <c r="T78" s="1213"/>
      <c r="U78" s="1239"/>
      <c r="V78" s="1176"/>
      <c r="W78" s="811"/>
      <c r="X78" s="811"/>
      <c r="Y78" s="811"/>
      <c r="Z78" s="811"/>
      <c r="AA78" s="811"/>
      <c r="AB78" s="811"/>
      <c r="AC78" s="811"/>
      <c r="AD78" s="811"/>
      <c r="AE78" s="811"/>
      <c r="AF78" s="811"/>
      <c r="AG78" s="811"/>
      <c r="AH78" s="811"/>
      <c r="AI78" s="811"/>
      <c r="AJ78" s="811"/>
      <c r="AK78" s="811"/>
      <c r="AL78" s="811"/>
      <c r="AM78" s="811"/>
      <c r="AN78" s="811"/>
      <c r="AO78" s="811"/>
      <c r="AP78" s="811"/>
      <c r="AQ78" s="811"/>
      <c r="AR78" s="811"/>
      <c r="AS78" s="811"/>
      <c r="AT78" s="811"/>
      <c r="AU78" s="811"/>
      <c r="AV78" s="811"/>
      <c r="AW78" s="811"/>
      <c r="AX78" s="730"/>
      <c r="AY78" s="730"/>
      <c r="AZ78" s="811"/>
      <c r="BA78" s="1149"/>
      <c r="BB78" s="1116"/>
      <c r="BC78" s="1116"/>
      <c r="BD78" s="1116"/>
      <c r="BE78" s="746"/>
      <c r="BF78" s="552"/>
      <c r="BG78" s="552"/>
      <c r="BH78" s="552"/>
      <c r="BI78" s="552"/>
      <c r="BJ78" s="552"/>
      <c r="BK78" s="552"/>
      <c r="BL78" s="552"/>
      <c r="BM78" s="552"/>
      <c r="BN78" s="795"/>
      <c r="BO78" s="1280"/>
      <c r="BP78" s="1283"/>
      <c r="BQ78" s="1156"/>
    </row>
    <row r="79" spans="1:69" s="52" customFormat="1" ht="28.8" x14ac:dyDescent="0.25">
      <c r="A79" s="1202"/>
      <c r="B79" s="1199"/>
      <c r="C79" s="503" t="s">
        <v>393</v>
      </c>
      <c r="D79" s="503" t="s">
        <v>193</v>
      </c>
      <c r="E79" s="503" t="s">
        <v>378</v>
      </c>
      <c r="F79" s="500" t="s">
        <v>379</v>
      </c>
      <c r="G79" s="503" t="s">
        <v>149</v>
      </c>
      <c r="H79" s="503" t="s">
        <v>380</v>
      </c>
      <c r="I79" s="539" t="s">
        <v>381</v>
      </c>
      <c r="J79" s="978"/>
      <c r="K79" s="746"/>
      <c r="L79" s="746"/>
      <c r="M79" s="550" t="s">
        <v>394</v>
      </c>
      <c r="N79" s="1211"/>
      <c r="O79" s="811"/>
      <c r="P79" s="811"/>
      <c r="Q79" s="811"/>
      <c r="R79" s="811"/>
      <c r="S79" s="1232"/>
      <c r="T79" s="1213"/>
      <c r="U79" s="1239"/>
      <c r="V79" s="1176"/>
      <c r="W79" s="811"/>
      <c r="X79" s="811"/>
      <c r="Y79" s="811"/>
      <c r="Z79" s="811"/>
      <c r="AA79" s="811"/>
      <c r="AB79" s="811"/>
      <c r="AC79" s="811"/>
      <c r="AD79" s="811"/>
      <c r="AE79" s="811"/>
      <c r="AF79" s="811"/>
      <c r="AG79" s="811"/>
      <c r="AH79" s="811"/>
      <c r="AI79" s="811"/>
      <c r="AJ79" s="811"/>
      <c r="AK79" s="811"/>
      <c r="AL79" s="811"/>
      <c r="AM79" s="811"/>
      <c r="AN79" s="811"/>
      <c r="AO79" s="811"/>
      <c r="AP79" s="811"/>
      <c r="AQ79" s="811"/>
      <c r="AR79" s="811"/>
      <c r="AS79" s="811"/>
      <c r="AT79" s="811"/>
      <c r="AU79" s="811"/>
      <c r="AV79" s="811"/>
      <c r="AW79" s="811"/>
      <c r="AX79" s="730"/>
      <c r="AY79" s="730"/>
      <c r="AZ79" s="811"/>
      <c r="BA79" s="1149"/>
      <c r="BB79" s="1116"/>
      <c r="BC79" s="1116"/>
      <c r="BD79" s="1116"/>
      <c r="BE79" s="746"/>
      <c r="BF79" s="552"/>
      <c r="BG79" s="552"/>
      <c r="BH79" s="552"/>
      <c r="BI79" s="552"/>
      <c r="BJ79" s="552"/>
      <c r="BK79" s="552"/>
      <c r="BL79" s="552"/>
      <c r="BM79" s="552"/>
      <c r="BN79" s="795"/>
      <c r="BO79" s="1280"/>
      <c r="BP79" s="1283"/>
      <c r="BQ79" s="1156"/>
    </row>
    <row r="80" spans="1:69" s="52" customFormat="1" ht="28.8" x14ac:dyDescent="0.25">
      <c r="A80" s="1202"/>
      <c r="B80" s="1199"/>
      <c r="C80" s="503" t="s">
        <v>393</v>
      </c>
      <c r="D80" s="503" t="s">
        <v>193</v>
      </c>
      <c r="E80" s="503" t="s">
        <v>383</v>
      </c>
      <c r="F80" s="500" t="s">
        <v>384</v>
      </c>
      <c r="G80" s="503" t="s">
        <v>149</v>
      </c>
      <c r="H80" s="503" t="s">
        <v>380</v>
      </c>
      <c r="I80" s="539" t="s">
        <v>381</v>
      </c>
      <c r="J80" s="978"/>
      <c r="K80" s="746"/>
      <c r="L80" s="746"/>
      <c r="M80" s="550" t="s">
        <v>395</v>
      </c>
      <c r="N80" s="1211"/>
      <c r="O80" s="1162"/>
      <c r="P80" s="1162"/>
      <c r="Q80" s="1162"/>
      <c r="R80" s="1162"/>
      <c r="S80" s="1232"/>
      <c r="T80" s="1213"/>
      <c r="U80" s="1239"/>
      <c r="V80" s="1176"/>
      <c r="W80" s="811"/>
      <c r="X80" s="811"/>
      <c r="Y80" s="811"/>
      <c r="Z80" s="811"/>
      <c r="AA80" s="811"/>
      <c r="AB80" s="811"/>
      <c r="AC80" s="811"/>
      <c r="AD80" s="811"/>
      <c r="AE80" s="811"/>
      <c r="AF80" s="811"/>
      <c r="AG80" s="811"/>
      <c r="AH80" s="811"/>
      <c r="AI80" s="811"/>
      <c r="AJ80" s="811"/>
      <c r="AK80" s="811"/>
      <c r="AL80" s="811"/>
      <c r="AM80" s="811"/>
      <c r="AN80" s="811"/>
      <c r="AO80" s="811"/>
      <c r="AP80" s="811"/>
      <c r="AQ80" s="811"/>
      <c r="AR80" s="811"/>
      <c r="AS80" s="811"/>
      <c r="AT80" s="811"/>
      <c r="AU80" s="811"/>
      <c r="AV80" s="811"/>
      <c r="AW80" s="811"/>
      <c r="AX80" s="730"/>
      <c r="AY80" s="730"/>
      <c r="AZ80" s="811"/>
      <c r="BA80" s="1149"/>
      <c r="BB80" s="1116"/>
      <c r="BC80" s="1116"/>
      <c r="BD80" s="1116"/>
      <c r="BE80" s="746"/>
      <c r="BF80" s="552"/>
      <c r="BG80" s="552"/>
      <c r="BH80" s="552"/>
      <c r="BI80" s="552"/>
      <c r="BJ80" s="552"/>
      <c r="BK80" s="552"/>
      <c r="BL80" s="552"/>
      <c r="BM80" s="552"/>
      <c r="BN80" s="795"/>
      <c r="BO80" s="1281"/>
      <c r="BP80" s="1284"/>
      <c r="BQ80" s="1156"/>
    </row>
    <row r="81" spans="1:69" s="53" customFormat="1" ht="14.4" customHeight="1" x14ac:dyDescent="0.25">
      <c r="A81" s="1201" t="s">
        <v>396</v>
      </c>
      <c r="B81" s="1122" t="s">
        <v>36</v>
      </c>
      <c r="C81" s="503" t="s">
        <v>397</v>
      </c>
      <c r="D81" s="502" t="s">
        <v>363</v>
      </c>
      <c r="E81" s="817" t="s">
        <v>149</v>
      </c>
      <c r="F81" s="817">
        <v>0</v>
      </c>
      <c r="G81" s="817" t="s">
        <v>149</v>
      </c>
      <c r="H81" s="817" t="s">
        <v>150</v>
      </c>
      <c r="I81" s="817" t="s">
        <v>398</v>
      </c>
      <c r="J81" s="1197"/>
      <c r="K81" s="1197" t="s">
        <v>399</v>
      </c>
      <c r="L81" s="817" t="s">
        <v>400</v>
      </c>
      <c r="M81" s="817" t="s">
        <v>401</v>
      </c>
      <c r="N81" s="1209"/>
      <c r="O81" s="730" t="s">
        <v>154</v>
      </c>
      <c r="P81" s="730" t="s">
        <v>154</v>
      </c>
      <c r="Q81" s="730" t="s">
        <v>154</v>
      </c>
      <c r="R81" s="730" t="s">
        <v>154</v>
      </c>
      <c r="S81" s="1192"/>
      <c r="T81" s="1075"/>
      <c r="U81" s="1192"/>
      <c r="V81" s="1192"/>
      <c r="W81" s="733"/>
      <c r="X81" s="733"/>
      <c r="Y81" s="714"/>
      <c r="Z81" s="733" t="str">
        <f t="shared" ref="Z81:Z88" si="7">IF(ISBLANK(Y81),"",Y81)</f>
        <v/>
      </c>
      <c r="AA81" s="733"/>
      <c r="AB81" s="733"/>
      <c r="AC81" s="733"/>
      <c r="AD81" s="733"/>
      <c r="AE81" s="733" t="str">
        <f t="shared" ref="AE81:AE88" si="8">IF(ISBLANK(Y81),"",Y81&amp;"*")</f>
        <v/>
      </c>
      <c r="AF81" s="733" t="str">
        <f t="shared" ref="AF81:AF88" si="9">IF(ISBLANK(AA81),"",AA81&amp;"*")</f>
        <v/>
      </c>
      <c r="AG81" s="733"/>
      <c r="AH81" s="733"/>
      <c r="AI81" s="733"/>
      <c r="AJ81" s="733"/>
      <c r="AK81" s="1105"/>
      <c r="AL81" s="1105"/>
      <c r="AM81" s="733"/>
      <c r="AN81" s="1105"/>
      <c r="AO81" s="733"/>
      <c r="AP81" s="1105"/>
      <c r="AQ81" s="733"/>
      <c r="AR81" s="1105"/>
      <c r="AS81" s="733"/>
      <c r="AT81" s="733"/>
      <c r="AU81" s="733"/>
      <c r="AV81" s="733"/>
      <c r="AW81" s="733" t="s">
        <v>341</v>
      </c>
      <c r="AX81" s="733"/>
      <c r="AY81" s="733"/>
      <c r="AZ81" s="733"/>
      <c r="BA81" s="1150"/>
      <c r="BB81" s="730" t="s">
        <v>154</v>
      </c>
      <c r="BC81" s="730" t="s">
        <v>154</v>
      </c>
      <c r="BD81" s="1184"/>
      <c r="BE81" s="1197" t="s">
        <v>157</v>
      </c>
      <c r="BF81" s="502"/>
      <c r="BG81" s="502"/>
      <c r="BH81" s="502"/>
      <c r="BI81" s="502"/>
      <c r="BJ81" s="502"/>
      <c r="BK81" s="502"/>
      <c r="BL81" s="502"/>
      <c r="BM81" s="502"/>
      <c r="BN81" s="896" t="s">
        <v>402</v>
      </c>
      <c r="BO81" s="1244" t="s">
        <v>4356</v>
      </c>
      <c r="BP81" s="1057" t="s">
        <v>561</v>
      </c>
      <c r="BQ81" s="739" t="s">
        <v>403</v>
      </c>
    </row>
    <row r="82" spans="1:69" s="53" customFormat="1" ht="14.4" x14ac:dyDescent="0.25">
      <c r="A82" s="1207"/>
      <c r="B82" s="1199"/>
      <c r="C82" s="503" t="s">
        <v>404</v>
      </c>
      <c r="D82" s="502" t="s">
        <v>363</v>
      </c>
      <c r="E82" s="817"/>
      <c r="F82" s="817" t="s">
        <v>405</v>
      </c>
      <c r="G82" s="817"/>
      <c r="H82" s="817" t="s">
        <v>406</v>
      </c>
      <c r="I82" s="817" t="s">
        <v>407</v>
      </c>
      <c r="J82" s="1197"/>
      <c r="K82" s="1197"/>
      <c r="L82" s="817" t="s">
        <v>408</v>
      </c>
      <c r="M82" s="817"/>
      <c r="N82" s="1209"/>
      <c r="O82" s="730"/>
      <c r="P82" s="730"/>
      <c r="Q82" s="730"/>
      <c r="R82" s="730"/>
      <c r="S82" s="1192"/>
      <c r="T82" s="1192"/>
      <c r="U82" s="1192"/>
      <c r="V82" s="1192"/>
      <c r="W82" s="733"/>
      <c r="X82" s="733"/>
      <c r="Y82" s="730"/>
      <c r="Z82" s="733" t="str">
        <f t="shared" si="7"/>
        <v/>
      </c>
      <c r="AA82" s="733"/>
      <c r="AB82" s="733"/>
      <c r="AC82" s="733"/>
      <c r="AD82" s="733"/>
      <c r="AE82" s="733" t="str">
        <f t="shared" si="8"/>
        <v/>
      </c>
      <c r="AF82" s="733" t="str">
        <f t="shared" si="9"/>
        <v/>
      </c>
      <c r="AG82" s="733"/>
      <c r="AH82" s="733"/>
      <c r="AI82" s="733"/>
      <c r="AJ82" s="733"/>
      <c r="AK82" s="1105"/>
      <c r="AL82" s="1105"/>
      <c r="AM82" s="733"/>
      <c r="AN82" s="1105"/>
      <c r="AO82" s="733"/>
      <c r="AP82" s="1105"/>
      <c r="AQ82" s="733"/>
      <c r="AR82" s="1105"/>
      <c r="AS82" s="733"/>
      <c r="AT82" s="733"/>
      <c r="AU82" s="733"/>
      <c r="AV82" s="733"/>
      <c r="AW82" s="733"/>
      <c r="AX82" s="733"/>
      <c r="AY82" s="733"/>
      <c r="AZ82" s="733"/>
      <c r="BA82" s="1150"/>
      <c r="BB82" s="730"/>
      <c r="BC82" s="730"/>
      <c r="BD82" s="1184"/>
      <c r="BE82" s="1197"/>
      <c r="BF82" s="502"/>
      <c r="BG82" s="502"/>
      <c r="BH82" s="502"/>
      <c r="BI82" s="502"/>
      <c r="BJ82" s="502"/>
      <c r="BK82" s="502"/>
      <c r="BL82" s="502"/>
      <c r="BM82" s="502"/>
      <c r="BN82" s="896"/>
      <c r="BO82" s="1270"/>
      <c r="BP82" s="1271"/>
      <c r="BQ82" s="1126"/>
    </row>
    <row r="83" spans="1:69" s="53" customFormat="1" ht="14.4" x14ac:dyDescent="0.25">
      <c r="A83" s="1207"/>
      <c r="B83" s="1199"/>
      <c r="C83" s="503" t="s">
        <v>409</v>
      </c>
      <c r="D83" s="502" t="s">
        <v>363</v>
      </c>
      <c r="E83" s="817"/>
      <c r="F83" s="817" t="s">
        <v>405</v>
      </c>
      <c r="G83" s="817"/>
      <c r="H83" s="817" t="s">
        <v>406</v>
      </c>
      <c r="I83" s="817" t="s">
        <v>407</v>
      </c>
      <c r="J83" s="1197"/>
      <c r="K83" s="1197"/>
      <c r="L83" s="817" t="s">
        <v>408</v>
      </c>
      <c r="M83" s="817"/>
      <c r="N83" s="1209"/>
      <c r="O83" s="730"/>
      <c r="P83" s="730"/>
      <c r="Q83" s="730"/>
      <c r="R83" s="730"/>
      <c r="S83" s="1192"/>
      <c r="T83" s="1192"/>
      <c r="U83" s="1192"/>
      <c r="V83" s="1192"/>
      <c r="W83" s="733"/>
      <c r="X83" s="733"/>
      <c r="Y83" s="730"/>
      <c r="Z83" s="733" t="str">
        <f t="shared" si="7"/>
        <v/>
      </c>
      <c r="AA83" s="733"/>
      <c r="AB83" s="733"/>
      <c r="AC83" s="733"/>
      <c r="AD83" s="733"/>
      <c r="AE83" s="733" t="str">
        <f t="shared" si="8"/>
        <v/>
      </c>
      <c r="AF83" s="733" t="str">
        <f t="shared" si="9"/>
        <v/>
      </c>
      <c r="AG83" s="733"/>
      <c r="AH83" s="733"/>
      <c r="AI83" s="733"/>
      <c r="AJ83" s="733"/>
      <c r="AK83" s="1105"/>
      <c r="AL83" s="1105"/>
      <c r="AM83" s="733"/>
      <c r="AN83" s="1105"/>
      <c r="AO83" s="733"/>
      <c r="AP83" s="1105"/>
      <c r="AQ83" s="733"/>
      <c r="AR83" s="1105"/>
      <c r="AS83" s="733"/>
      <c r="AT83" s="733"/>
      <c r="AU83" s="733"/>
      <c r="AV83" s="733"/>
      <c r="AW83" s="733"/>
      <c r="AX83" s="733"/>
      <c r="AY83" s="733"/>
      <c r="AZ83" s="733"/>
      <c r="BA83" s="1150"/>
      <c r="BB83" s="730"/>
      <c r="BC83" s="730"/>
      <c r="BD83" s="1184"/>
      <c r="BE83" s="1197"/>
      <c r="BF83" s="502"/>
      <c r="BG83" s="502"/>
      <c r="BH83" s="502"/>
      <c r="BI83" s="502"/>
      <c r="BJ83" s="502"/>
      <c r="BK83" s="502"/>
      <c r="BL83" s="502"/>
      <c r="BM83" s="502"/>
      <c r="BN83" s="896"/>
      <c r="BO83" s="1270"/>
      <c r="BP83" s="1271"/>
      <c r="BQ83" s="1126"/>
    </row>
    <row r="84" spans="1:69" s="53" customFormat="1" ht="14.4" x14ac:dyDescent="0.25">
      <c r="A84" s="1207"/>
      <c r="B84" s="1199"/>
      <c r="C84" s="503" t="s">
        <v>410</v>
      </c>
      <c r="D84" s="502" t="s">
        <v>363</v>
      </c>
      <c r="E84" s="817"/>
      <c r="F84" s="817" t="s">
        <v>405</v>
      </c>
      <c r="G84" s="817"/>
      <c r="H84" s="817" t="s">
        <v>406</v>
      </c>
      <c r="I84" s="817" t="s">
        <v>407</v>
      </c>
      <c r="J84" s="1197"/>
      <c r="K84" s="1197"/>
      <c r="L84" s="817" t="s">
        <v>408</v>
      </c>
      <c r="M84" s="817"/>
      <c r="N84" s="1209"/>
      <c r="O84" s="730"/>
      <c r="P84" s="730"/>
      <c r="Q84" s="730"/>
      <c r="R84" s="730"/>
      <c r="S84" s="1192"/>
      <c r="T84" s="1192"/>
      <c r="U84" s="1192"/>
      <c r="V84" s="1192"/>
      <c r="W84" s="733"/>
      <c r="X84" s="733"/>
      <c r="Y84" s="730"/>
      <c r="Z84" s="733" t="str">
        <f t="shared" si="7"/>
        <v/>
      </c>
      <c r="AA84" s="733"/>
      <c r="AB84" s="733"/>
      <c r="AC84" s="733"/>
      <c r="AD84" s="733"/>
      <c r="AE84" s="733" t="str">
        <f t="shared" si="8"/>
        <v/>
      </c>
      <c r="AF84" s="733" t="str">
        <f t="shared" si="9"/>
        <v/>
      </c>
      <c r="AG84" s="733"/>
      <c r="AH84" s="733"/>
      <c r="AI84" s="733"/>
      <c r="AJ84" s="733"/>
      <c r="AK84" s="1105"/>
      <c r="AL84" s="1105"/>
      <c r="AM84" s="733"/>
      <c r="AN84" s="1105"/>
      <c r="AO84" s="733"/>
      <c r="AP84" s="1105"/>
      <c r="AQ84" s="733"/>
      <c r="AR84" s="1105"/>
      <c r="AS84" s="733"/>
      <c r="AT84" s="733"/>
      <c r="AU84" s="733"/>
      <c r="AV84" s="733"/>
      <c r="AW84" s="733"/>
      <c r="AX84" s="733"/>
      <c r="AY84" s="733"/>
      <c r="AZ84" s="733"/>
      <c r="BA84" s="1150"/>
      <c r="BB84" s="730"/>
      <c r="BC84" s="730"/>
      <c r="BD84" s="1184"/>
      <c r="BE84" s="1197"/>
      <c r="BF84" s="502"/>
      <c r="BG84" s="502"/>
      <c r="BH84" s="502"/>
      <c r="BI84" s="502"/>
      <c r="BJ84" s="502"/>
      <c r="BK84" s="502"/>
      <c r="BL84" s="502"/>
      <c r="BM84" s="502"/>
      <c r="BN84" s="896"/>
      <c r="BO84" s="1270"/>
      <c r="BP84" s="1271"/>
      <c r="BQ84" s="1126"/>
    </row>
    <row r="85" spans="1:69" s="53" customFormat="1" ht="14.4" x14ac:dyDescent="0.25">
      <c r="A85" s="1207"/>
      <c r="B85" s="1199"/>
      <c r="C85" s="503" t="s">
        <v>411</v>
      </c>
      <c r="D85" s="502" t="s">
        <v>363</v>
      </c>
      <c r="E85" s="817"/>
      <c r="F85" s="817" t="s">
        <v>405</v>
      </c>
      <c r="G85" s="817"/>
      <c r="H85" s="817" t="s">
        <v>406</v>
      </c>
      <c r="I85" s="817" t="s">
        <v>407</v>
      </c>
      <c r="J85" s="1197"/>
      <c r="K85" s="1197"/>
      <c r="L85" s="817" t="s">
        <v>408</v>
      </c>
      <c r="M85" s="817"/>
      <c r="N85" s="1209"/>
      <c r="O85" s="730"/>
      <c r="P85" s="730"/>
      <c r="Q85" s="730"/>
      <c r="R85" s="730"/>
      <c r="S85" s="1192"/>
      <c r="T85" s="1192"/>
      <c r="U85" s="1192"/>
      <c r="V85" s="1192"/>
      <c r="W85" s="733"/>
      <c r="X85" s="733"/>
      <c r="Y85" s="730"/>
      <c r="Z85" s="733" t="str">
        <f t="shared" si="7"/>
        <v/>
      </c>
      <c r="AA85" s="733"/>
      <c r="AB85" s="733"/>
      <c r="AC85" s="733"/>
      <c r="AD85" s="733"/>
      <c r="AE85" s="733" t="str">
        <f t="shared" si="8"/>
        <v/>
      </c>
      <c r="AF85" s="733" t="str">
        <f t="shared" si="9"/>
        <v/>
      </c>
      <c r="AG85" s="733"/>
      <c r="AH85" s="733"/>
      <c r="AI85" s="733"/>
      <c r="AJ85" s="733"/>
      <c r="AK85" s="1105"/>
      <c r="AL85" s="1105"/>
      <c r="AM85" s="733"/>
      <c r="AN85" s="1105"/>
      <c r="AO85" s="733"/>
      <c r="AP85" s="1105"/>
      <c r="AQ85" s="733"/>
      <c r="AR85" s="1105"/>
      <c r="AS85" s="733"/>
      <c r="AT85" s="733"/>
      <c r="AU85" s="733"/>
      <c r="AV85" s="733"/>
      <c r="AW85" s="733"/>
      <c r="AX85" s="733"/>
      <c r="AY85" s="733"/>
      <c r="AZ85" s="733"/>
      <c r="BA85" s="1150"/>
      <c r="BB85" s="730"/>
      <c r="BC85" s="730"/>
      <c r="BD85" s="1184"/>
      <c r="BE85" s="1197"/>
      <c r="BF85" s="502"/>
      <c r="BG85" s="502"/>
      <c r="BH85" s="502"/>
      <c r="BI85" s="502"/>
      <c r="BJ85" s="502"/>
      <c r="BK85" s="502"/>
      <c r="BL85" s="502"/>
      <c r="BM85" s="502"/>
      <c r="BN85" s="896"/>
      <c r="BO85" s="1270"/>
      <c r="BP85" s="1271"/>
      <c r="BQ85" s="1126"/>
    </row>
    <row r="86" spans="1:69" s="53" customFormat="1" ht="14.4" x14ac:dyDescent="0.25">
      <c r="A86" s="1207"/>
      <c r="B86" s="1199"/>
      <c r="C86" s="503" t="s">
        <v>412</v>
      </c>
      <c r="D86" s="502" t="s">
        <v>363</v>
      </c>
      <c r="E86" s="817"/>
      <c r="F86" s="817" t="s">
        <v>405</v>
      </c>
      <c r="G86" s="817"/>
      <c r="H86" s="817" t="s">
        <v>406</v>
      </c>
      <c r="I86" s="817" t="s">
        <v>407</v>
      </c>
      <c r="J86" s="1197"/>
      <c r="K86" s="1197"/>
      <c r="L86" s="817" t="s">
        <v>408</v>
      </c>
      <c r="M86" s="817"/>
      <c r="N86" s="1209"/>
      <c r="O86" s="730"/>
      <c r="P86" s="730"/>
      <c r="Q86" s="730"/>
      <c r="R86" s="730"/>
      <c r="S86" s="1192"/>
      <c r="T86" s="1192"/>
      <c r="U86" s="1192"/>
      <c r="V86" s="1192"/>
      <c r="W86" s="733"/>
      <c r="X86" s="733"/>
      <c r="Y86" s="730"/>
      <c r="Z86" s="733" t="str">
        <f t="shared" si="7"/>
        <v/>
      </c>
      <c r="AA86" s="733"/>
      <c r="AB86" s="733"/>
      <c r="AC86" s="733"/>
      <c r="AD86" s="733"/>
      <c r="AE86" s="733" t="str">
        <f t="shared" si="8"/>
        <v/>
      </c>
      <c r="AF86" s="733" t="str">
        <f t="shared" si="9"/>
        <v/>
      </c>
      <c r="AG86" s="733"/>
      <c r="AH86" s="733"/>
      <c r="AI86" s="733"/>
      <c r="AJ86" s="733"/>
      <c r="AK86" s="1105"/>
      <c r="AL86" s="1105"/>
      <c r="AM86" s="733"/>
      <c r="AN86" s="1105"/>
      <c r="AO86" s="733"/>
      <c r="AP86" s="1105"/>
      <c r="AQ86" s="733"/>
      <c r="AR86" s="1105"/>
      <c r="AS86" s="733"/>
      <c r="AT86" s="733"/>
      <c r="AU86" s="733"/>
      <c r="AV86" s="733"/>
      <c r="AW86" s="733"/>
      <c r="AX86" s="733"/>
      <c r="AY86" s="733"/>
      <c r="AZ86" s="733"/>
      <c r="BA86" s="1150"/>
      <c r="BB86" s="730"/>
      <c r="BC86" s="730"/>
      <c r="BD86" s="1184"/>
      <c r="BE86" s="1197"/>
      <c r="BF86" s="502"/>
      <c r="BG86" s="502"/>
      <c r="BH86" s="502"/>
      <c r="BI86" s="502"/>
      <c r="BJ86" s="502"/>
      <c r="BK86" s="502"/>
      <c r="BL86" s="502"/>
      <c r="BM86" s="502"/>
      <c r="BN86" s="896"/>
      <c r="BO86" s="1270"/>
      <c r="BP86" s="1271"/>
      <c r="BQ86" s="1126"/>
    </row>
    <row r="87" spans="1:69" s="53" customFormat="1" ht="14.4" x14ac:dyDescent="0.25">
      <c r="A87" s="1207"/>
      <c r="B87" s="1199"/>
      <c r="C87" s="503" t="s">
        <v>413</v>
      </c>
      <c r="D87" s="502" t="s">
        <v>363</v>
      </c>
      <c r="E87" s="817"/>
      <c r="F87" s="817" t="s">
        <v>405</v>
      </c>
      <c r="G87" s="817"/>
      <c r="H87" s="817" t="s">
        <v>406</v>
      </c>
      <c r="I87" s="817" t="s">
        <v>407</v>
      </c>
      <c r="J87" s="1197"/>
      <c r="K87" s="1197"/>
      <c r="L87" s="817" t="s">
        <v>408</v>
      </c>
      <c r="M87" s="817"/>
      <c r="N87" s="1209"/>
      <c r="O87" s="730"/>
      <c r="P87" s="730"/>
      <c r="Q87" s="730"/>
      <c r="R87" s="730"/>
      <c r="S87" s="1192"/>
      <c r="T87" s="1192"/>
      <c r="U87" s="1192"/>
      <c r="V87" s="1192"/>
      <c r="W87" s="733"/>
      <c r="X87" s="733"/>
      <c r="Y87" s="730"/>
      <c r="Z87" s="733" t="str">
        <f t="shared" si="7"/>
        <v/>
      </c>
      <c r="AA87" s="733"/>
      <c r="AB87" s="733"/>
      <c r="AC87" s="733"/>
      <c r="AD87" s="733"/>
      <c r="AE87" s="733" t="str">
        <f t="shared" si="8"/>
        <v/>
      </c>
      <c r="AF87" s="733" t="str">
        <f t="shared" si="9"/>
        <v/>
      </c>
      <c r="AG87" s="733"/>
      <c r="AH87" s="733"/>
      <c r="AI87" s="733"/>
      <c r="AJ87" s="733"/>
      <c r="AK87" s="1105"/>
      <c r="AL87" s="1105"/>
      <c r="AM87" s="733"/>
      <c r="AN87" s="1105"/>
      <c r="AO87" s="733"/>
      <c r="AP87" s="1105"/>
      <c r="AQ87" s="733"/>
      <c r="AR87" s="1105"/>
      <c r="AS87" s="733"/>
      <c r="AT87" s="733"/>
      <c r="AU87" s="733"/>
      <c r="AV87" s="733"/>
      <c r="AW87" s="733"/>
      <c r="AX87" s="733"/>
      <c r="AY87" s="733"/>
      <c r="AZ87" s="733"/>
      <c r="BA87" s="1150"/>
      <c r="BB87" s="730"/>
      <c r="BC87" s="730"/>
      <c r="BD87" s="1184"/>
      <c r="BE87" s="1197"/>
      <c r="BF87" s="502"/>
      <c r="BG87" s="502"/>
      <c r="BH87" s="502"/>
      <c r="BI87" s="502"/>
      <c r="BJ87" s="502"/>
      <c r="BK87" s="502"/>
      <c r="BL87" s="502"/>
      <c r="BM87" s="502"/>
      <c r="BN87" s="896"/>
      <c r="BO87" s="1270"/>
      <c r="BP87" s="1271"/>
      <c r="BQ87" s="1126"/>
    </row>
    <row r="88" spans="1:69" s="53" customFormat="1" ht="14.4" x14ac:dyDescent="0.25">
      <c r="A88" s="1208"/>
      <c r="B88" s="1123"/>
      <c r="C88" s="503" t="s">
        <v>414</v>
      </c>
      <c r="D88" s="502" t="s">
        <v>363</v>
      </c>
      <c r="E88" s="817"/>
      <c r="F88" s="817" t="s">
        <v>405</v>
      </c>
      <c r="G88" s="817"/>
      <c r="H88" s="817" t="s">
        <v>406</v>
      </c>
      <c r="I88" s="817" t="s">
        <v>407</v>
      </c>
      <c r="J88" s="1197"/>
      <c r="K88" s="1197"/>
      <c r="L88" s="817" t="s">
        <v>408</v>
      </c>
      <c r="M88" s="817"/>
      <c r="N88" s="1209"/>
      <c r="O88" s="715"/>
      <c r="P88" s="715"/>
      <c r="Q88" s="715"/>
      <c r="R88" s="715"/>
      <c r="S88" s="1192"/>
      <c r="T88" s="1192"/>
      <c r="U88" s="1192"/>
      <c r="V88" s="1192"/>
      <c r="W88" s="733"/>
      <c r="X88" s="733"/>
      <c r="Y88" s="715"/>
      <c r="Z88" s="733" t="str">
        <f t="shared" si="7"/>
        <v/>
      </c>
      <c r="AA88" s="733"/>
      <c r="AB88" s="733"/>
      <c r="AC88" s="733"/>
      <c r="AD88" s="733"/>
      <c r="AE88" s="733" t="str">
        <f t="shared" si="8"/>
        <v/>
      </c>
      <c r="AF88" s="733" t="str">
        <f t="shared" si="9"/>
        <v/>
      </c>
      <c r="AG88" s="733"/>
      <c r="AH88" s="733"/>
      <c r="AI88" s="733"/>
      <c r="AJ88" s="733"/>
      <c r="AK88" s="1105"/>
      <c r="AL88" s="1105"/>
      <c r="AM88" s="733"/>
      <c r="AN88" s="1105"/>
      <c r="AO88" s="733"/>
      <c r="AP88" s="1105"/>
      <c r="AQ88" s="733"/>
      <c r="AR88" s="1105"/>
      <c r="AS88" s="733"/>
      <c r="AT88" s="733"/>
      <c r="AU88" s="733"/>
      <c r="AV88" s="733"/>
      <c r="AW88" s="733"/>
      <c r="AX88" s="733"/>
      <c r="AY88" s="733"/>
      <c r="AZ88" s="733"/>
      <c r="BA88" s="1150"/>
      <c r="BB88" s="715"/>
      <c r="BC88" s="715"/>
      <c r="BD88" s="1184"/>
      <c r="BE88" s="1197"/>
      <c r="BF88" s="502"/>
      <c r="BG88" s="502"/>
      <c r="BH88" s="502"/>
      <c r="BI88" s="502"/>
      <c r="BJ88" s="502"/>
      <c r="BK88" s="502"/>
      <c r="BL88" s="502"/>
      <c r="BM88" s="502"/>
      <c r="BN88" s="896"/>
      <c r="BO88" s="1245"/>
      <c r="BP88" s="1058"/>
      <c r="BQ88" s="1127"/>
    </row>
    <row r="89" spans="1:69" s="53" customFormat="1" ht="14.4" customHeight="1" x14ac:dyDescent="0.25">
      <c r="A89" s="1201" t="s">
        <v>415</v>
      </c>
      <c r="B89" s="1122" t="s">
        <v>9</v>
      </c>
      <c r="C89" s="503" t="s">
        <v>397</v>
      </c>
      <c r="D89" s="502" t="s">
        <v>363</v>
      </c>
      <c r="E89" s="560" t="s">
        <v>149</v>
      </c>
      <c r="F89" s="539">
        <v>1</v>
      </c>
      <c r="G89" s="560" t="s">
        <v>149</v>
      </c>
      <c r="H89" s="502" t="s">
        <v>150</v>
      </c>
      <c r="I89" s="1065" t="s">
        <v>416</v>
      </c>
      <c r="J89" s="1065"/>
      <c r="K89" s="1065" t="s">
        <v>417</v>
      </c>
      <c r="L89" s="817" t="s">
        <v>418</v>
      </c>
      <c r="M89" s="719" t="s">
        <v>419</v>
      </c>
      <c r="N89" s="1065"/>
      <c r="O89" s="714" t="s">
        <v>154</v>
      </c>
      <c r="P89" s="714" t="s">
        <v>154</v>
      </c>
      <c r="Q89" s="714" t="s">
        <v>154</v>
      </c>
      <c r="R89" s="714" t="s">
        <v>154</v>
      </c>
      <c r="S89" s="1074"/>
      <c r="T89" s="1074"/>
      <c r="U89" s="1074"/>
      <c r="V89" s="1074"/>
      <c r="W89" s="1065"/>
      <c r="X89" s="1065"/>
      <c r="Y89" s="1065"/>
      <c r="Z89" s="1065"/>
      <c r="AA89" s="1065"/>
      <c r="AB89" s="1065"/>
      <c r="AC89" s="1065"/>
      <c r="AD89" s="1065"/>
      <c r="AE89" s="1065"/>
      <c r="AF89" s="1065"/>
      <c r="AG89" s="1065"/>
      <c r="AH89" s="1065"/>
      <c r="AI89" s="1065"/>
      <c r="AJ89" s="1065"/>
      <c r="AK89" s="810"/>
      <c r="AL89" s="1169"/>
      <c r="AM89" s="1065"/>
      <c r="AN89" s="1169"/>
      <c r="AO89" s="1065"/>
      <c r="AP89" s="1169"/>
      <c r="AQ89" s="1065"/>
      <c r="AR89" s="1169"/>
      <c r="AS89" s="1065"/>
      <c r="AT89" s="1065"/>
      <c r="AU89" s="1065"/>
      <c r="AV89" s="1065"/>
      <c r="AW89" s="714" t="s">
        <v>341</v>
      </c>
      <c r="AX89" s="1065"/>
      <c r="AY89" s="1065"/>
      <c r="AZ89" s="1065"/>
      <c r="BA89" s="1059"/>
      <c r="BB89" s="714" t="s">
        <v>154</v>
      </c>
      <c r="BC89" s="714" t="s">
        <v>154</v>
      </c>
      <c r="BD89" s="1063"/>
      <c r="BE89" s="1080" t="s">
        <v>481</v>
      </c>
      <c r="BF89" s="518"/>
      <c r="BG89" s="518"/>
      <c r="BH89" s="518"/>
      <c r="BI89" s="518"/>
      <c r="BJ89" s="518"/>
      <c r="BK89" s="518"/>
      <c r="BL89" s="518"/>
      <c r="BM89" s="518"/>
      <c r="BN89" s="1187" t="s">
        <v>4305</v>
      </c>
      <c r="BO89" s="1276" t="s">
        <v>4355</v>
      </c>
      <c r="BP89" s="1057" t="s">
        <v>561</v>
      </c>
      <c r="BQ89" s="774" t="s">
        <v>4306</v>
      </c>
    </row>
    <row r="90" spans="1:69" s="53" customFormat="1" ht="14.4" x14ac:dyDescent="0.25">
      <c r="A90" s="1205"/>
      <c r="B90" s="969"/>
      <c r="C90" s="503" t="s">
        <v>404</v>
      </c>
      <c r="D90" s="502" t="s">
        <v>363</v>
      </c>
      <c r="E90" s="560" t="s">
        <v>149</v>
      </c>
      <c r="F90" s="539">
        <v>1</v>
      </c>
      <c r="G90" s="560" t="s">
        <v>149</v>
      </c>
      <c r="H90" s="502" t="s">
        <v>150</v>
      </c>
      <c r="I90" s="1172"/>
      <c r="J90" s="969"/>
      <c r="K90" s="969"/>
      <c r="L90" s="1200"/>
      <c r="M90" s="969"/>
      <c r="N90" s="969"/>
      <c r="O90" s="969"/>
      <c r="P90" s="969"/>
      <c r="Q90" s="969"/>
      <c r="R90" s="730"/>
      <c r="S90" s="1193"/>
      <c r="T90" s="1193"/>
      <c r="U90" s="1193"/>
      <c r="V90" s="1193"/>
      <c r="W90" s="969"/>
      <c r="X90" s="969"/>
      <c r="Y90" s="1172"/>
      <c r="Z90" s="969"/>
      <c r="AA90" s="969"/>
      <c r="AB90" s="969"/>
      <c r="AC90" s="969"/>
      <c r="AD90" s="969"/>
      <c r="AE90" s="969"/>
      <c r="AF90" s="969"/>
      <c r="AG90" s="969"/>
      <c r="AH90" s="969"/>
      <c r="AI90" s="969"/>
      <c r="AJ90" s="969"/>
      <c r="AK90" s="1167"/>
      <c r="AL90" s="1167"/>
      <c r="AM90" s="969"/>
      <c r="AN90" s="1167"/>
      <c r="AO90" s="969"/>
      <c r="AP90" s="1167"/>
      <c r="AQ90" s="969"/>
      <c r="AR90" s="1167"/>
      <c r="AS90" s="969"/>
      <c r="AT90" s="969"/>
      <c r="AU90" s="969"/>
      <c r="AV90" s="969"/>
      <c r="AW90" s="969"/>
      <c r="AX90" s="969"/>
      <c r="AY90" s="969"/>
      <c r="AZ90" s="969"/>
      <c r="BA90" s="1151"/>
      <c r="BB90" s="969"/>
      <c r="BC90" s="969"/>
      <c r="BD90" s="1234"/>
      <c r="BE90" s="1178"/>
      <c r="BF90" s="406"/>
      <c r="BG90" s="406"/>
      <c r="BH90" s="406"/>
      <c r="BI90" s="406"/>
      <c r="BJ90" s="406"/>
      <c r="BK90" s="406"/>
      <c r="BL90" s="406"/>
      <c r="BM90" s="406"/>
      <c r="BN90" s="777"/>
      <c r="BO90" s="1277"/>
      <c r="BP90" s="1271"/>
      <c r="BQ90" s="1157"/>
    </row>
    <row r="91" spans="1:69" s="53" customFormat="1" ht="14.4" x14ac:dyDescent="0.25">
      <c r="A91" s="1205"/>
      <c r="B91" s="969"/>
      <c r="C91" s="503" t="s">
        <v>409</v>
      </c>
      <c r="D91" s="502" t="s">
        <v>363</v>
      </c>
      <c r="E91" s="560" t="s">
        <v>149</v>
      </c>
      <c r="F91" s="539">
        <v>1</v>
      </c>
      <c r="G91" s="560" t="s">
        <v>149</v>
      </c>
      <c r="H91" s="502" t="s">
        <v>150</v>
      </c>
      <c r="I91" s="1172"/>
      <c r="J91" s="969"/>
      <c r="K91" s="969"/>
      <c r="L91" s="1200"/>
      <c r="M91" s="969"/>
      <c r="N91" s="969"/>
      <c r="O91" s="969"/>
      <c r="P91" s="969"/>
      <c r="Q91" s="969"/>
      <c r="R91" s="730"/>
      <c r="S91" s="1193"/>
      <c r="T91" s="1193"/>
      <c r="U91" s="1193"/>
      <c r="V91" s="1193"/>
      <c r="W91" s="969"/>
      <c r="X91" s="969"/>
      <c r="Y91" s="1172"/>
      <c r="Z91" s="969"/>
      <c r="AA91" s="969"/>
      <c r="AB91" s="969"/>
      <c r="AC91" s="969"/>
      <c r="AD91" s="969"/>
      <c r="AE91" s="969"/>
      <c r="AF91" s="969"/>
      <c r="AG91" s="969"/>
      <c r="AH91" s="969"/>
      <c r="AI91" s="969"/>
      <c r="AJ91" s="969"/>
      <c r="AK91" s="1167"/>
      <c r="AL91" s="1167"/>
      <c r="AM91" s="969"/>
      <c r="AN91" s="1167"/>
      <c r="AO91" s="969"/>
      <c r="AP91" s="1167"/>
      <c r="AQ91" s="969"/>
      <c r="AR91" s="1167"/>
      <c r="AS91" s="969"/>
      <c r="AT91" s="969"/>
      <c r="AU91" s="969"/>
      <c r="AV91" s="969"/>
      <c r="AW91" s="969"/>
      <c r="AX91" s="969"/>
      <c r="AY91" s="969"/>
      <c r="AZ91" s="969"/>
      <c r="BA91" s="1151"/>
      <c r="BB91" s="969"/>
      <c r="BC91" s="969"/>
      <c r="BD91" s="1234"/>
      <c r="BE91" s="1178"/>
      <c r="BF91" s="406"/>
      <c r="BG91" s="406"/>
      <c r="BH91" s="406"/>
      <c r="BI91" s="406"/>
      <c r="BJ91" s="406"/>
      <c r="BK91" s="406"/>
      <c r="BL91" s="406"/>
      <c r="BM91" s="406"/>
      <c r="BN91" s="777"/>
      <c r="BO91" s="1277"/>
      <c r="BP91" s="1271"/>
      <c r="BQ91" s="1157"/>
    </row>
    <row r="92" spans="1:69" s="53" customFormat="1" ht="14.4" x14ac:dyDescent="0.25">
      <c r="A92" s="1205"/>
      <c r="B92" s="969"/>
      <c r="C92" s="503" t="s">
        <v>410</v>
      </c>
      <c r="D92" s="502" t="s">
        <v>363</v>
      </c>
      <c r="E92" s="560" t="s">
        <v>149</v>
      </c>
      <c r="F92" s="539">
        <v>1</v>
      </c>
      <c r="G92" s="560" t="s">
        <v>149</v>
      </c>
      <c r="H92" s="502" t="s">
        <v>150</v>
      </c>
      <c r="I92" s="1172"/>
      <c r="J92" s="969"/>
      <c r="K92" s="969"/>
      <c r="L92" s="1200"/>
      <c r="M92" s="969"/>
      <c r="N92" s="969"/>
      <c r="O92" s="969"/>
      <c r="P92" s="969"/>
      <c r="Q92" s="969"/>
      <c r="R92" s="730"/>
      <c r="S92" s="1193"/>
      <c r="T92" s="1193"/>
      <c r="U92" s="1193"/>
      <c r="V92" s="1193"/>
      <c r="W92" s="969"/>
      <c r="X92" s="969"/>
      <c r="Y92" s="1172"/>
      <c r="Z92" s="969"/>
      <c r="AA92" s="969"/>
      <c r="AB92" s="969"/>
      <c r="AC92" s="969"/>
      <c r="AD92" s="969"/>
      <c r="AE92" s="969"/>
      <c r="AF92" s="969"/>
      <c r="AG92" s="969"/>
      <c r="AH92" s="969"/>
      <c r="AI92" s="969"/>
      <c r="AJ92" s="969"/>
      <c r="AK92" s="1167"/>
      <c r="AL92" s="1167"/>
      <c r="AM92" s="969"/>
      <c r="AN92" s="1167"/>
      <c r="AO92" s="969"/>
      <c r="AP92" s="1167"/>
      <c r="AQ92" s="969"/>
      <c r="AR92" s="1167"/>
      <c r="AS92" s="969"/>
      <c r="AT92" s="969"/>
      <c r="AU92" s="969"/>
      <c r="AV92" s="969"/>
      <c r="AW92" s="969"/>
      <c r="AX92" s="969"/>
      <c r="AY92" s="969"/>
      <c r="AZ92" s="969"/>
      <c r="BA92" s="1151"/>
      <c r="BB92" s="969"/>
      <c r="BC92" s="969"/>
      <c r="BD92" s="1234"/>
      <c r="BE92" s="1178"/>
      <c r="BF92" s="406"/>
      <c r="BG92" s="406"/>
      <c r="BH92" s="406"/>
      <c r="BI92" s="406"/>
      <c r="BJ92" s="406"/>
      <c r="BK92" s="406"/>
      <c r="BL92" s="406"/>
      <c r="BM92" s="406"/>
      <c r="BN92" s="777"/>
      <c r="BO92" s="1277"/>
      <c r="BP92" s="1271"/>
      <c r="BQ92" s="1157"/>
    </row>
    <row r="93" spans="1:69" s="53" customFormat="1" ht="14.4" x14ac:dyDescent="0.25">
      <c r="A93" s="1205"/>
      <c r="B93" s="969"/>
      <c r="C93" s="503" t="s">
        <v>411</v>
      </c>
      <c r="D93" s="502" t="s">
        <v>363</v>
      </c>
      <c r="E93" s="560" t="s">
        <v>149</v>
      </c>
      <c r="F93" s="539">
        <v>1</v>
      </c>
      <c r="G93" s="560" t="s">
        <v>149</v>
      </c>
      <c r="H93" s="502" t="s">
        <v>150</v>
      </c>
      <c r="I93" s="1172"/>
      <c r="J93" s="969"/>
      <c r="K93" s="969"/>
      <c r="L93" s="1200"/>
      <c r="M93" s="969"/>
      <c r="N93" s="969"/>
      <c r="O93" s="969"/>
      <c r="P93" s="969"/>
      <c r="Q93" s="969"/>
      <c r="R93" s="730"/>
      <c r="S93" s="1193"/>
      <c r="T93" s="1193"/>
      <c r="U93" s="1193"/>
      <c r="V93" s="1193"/>
      <c r="W93" s="969"/>
      <c r="X93" s="969"/>
      <c r="Y93" s="1172"/>
      <c r="Z93" s="969"/>
      <c r="AA93" s="969"/>
      <c r="AB93" s="969"/>
      <c r="AC93" s="969"/>
      <c r="AD93" s="969"/>
      <c r="AE93" s="969"/>
      <c r="AF93" s="969"/>
      <c r="AG93" s="969"/>
      <c r="AH93" s="969"/>
      <c r="AI93" s="969"/>
      <c r="AJ93" s="969"/>
      <c r="AK93" s="1167"/>
      <c r="AL93" s="1167"/>
      <c r="AM93" s="969"/>
      <c r="AN93" s="1167"/>
      <c r="AO93" s="969"/>
      <c r="AP93" s="1167"/>
      <c r="AQ93" s="969"/>
      <c r="AR93" s="1167"/>
      <c r="AS93" s="969"/>
      <c r="AT93" s="969"/>
      <c r="AU93" s="969"/>
      <c r="AV93" s="969"/>
      <c r="AW93" s="969"/>
      <c r="AX93" s="969"/>
      <c r="AY93" s="969"/>
      <c r="AZ93" s="969"/>
      <c r="BA93" s="1151"/>
      <c r="BB93" s="969"/>
      <c r="BC93" s="969"/>
      <c r="BD93" s="1234"/>
      <c r="BE93" s="1178"/>
      <c r="BF93" s="406"/>
      <c r="BG93" s="406"/>
      <c r="BH93" s="406"/>
      <c r="BI93" s="406"/>
      <c r="BJ93" s="406"/>
      <c r="BK93" s="406"/>
      <c r="BL93" s="406"/>
      <c r="BM93" s="406"/>
      <c r="BN93" s="777"/>
      <c r="BO93" s="1277"/>
      <c r="BP93" s="1271"/>
      <c r="BQ93" s="1157"/>
    </row>
    <row r="94" spans="1:69" s="53" customFormat="1" ht="14.4" x14ac:dyDescent="0.25">
      <c r="A94" s="1205"/>
      <c r="B94" s="969"/>
      <c r="C94" s="503" t="s">
        <v>412</v>
      </c>
      <c r="D94" s="502" t="s">
        <v>363</v>
      </c>
      <c r="E94" s="560" t="s">
        <v>149</v>
      </c>
      <c r="F94" s="539">
        <v>1</v>
      </c>
      <c r="G94" s="560" t="s">
        <v>149</v>
      </c>
      <c r="H94" s="502" t="s">
        <v>150</v>
      </c>
      <c r="I94" s="1172"/>
      <c r="J94" s="969"/>
      <c r="K94" s="969"/>
      <c r="L94" s="1200"/>
      <c r="M94" s="969"/>
      <c r="N94" s="969"/>
      <c r="O94" s="969"/>
      <c r="P94" s="969"/>
      <c r="Q94" s="969"/>
      <c r="R94" s="730"/>
      <c r="S94" s="1193"/>
      <c r="T94" s="1193"/>
      <c r="U94" s="1193"/>
      <c r="V94" s="1193"/>
      <c r="W94" s="969"/>
      <c r="X94" s="969"/>
      <c r="Y94" s="1172"/>
      <c r="Z94" s="969"/>
      <c r="AA94" s="969"/>
      <c r="AB94" s="969"/>
      <c r="AC94" s="969"/>
      <c r="AD94" s="969"/>
      <c r="AE94" s="969"/>
      <c r="AF94" s="969"/>
      <c r="AG94" s="969"/>
      <c r="AH94" s="969"/>
      <c r="AI94" s="969"/>
      <c r="AJ94" s="969"/>
      <c r="AK94" s="1167"/>
      <c r="AL94" s="1167"/>
      <c r="AM94" s="969"/>
      <c r="AN94" s="1167"/>
      <c r="AO94" s="969"/>
      <c r="AP94" s="1167"/>
      <c r="AQ94" s="969"/>
      <c r="AR94" s="1167"/>
      <c r="AS94" s="969"/>
      <c r="AT94" s="969"/>
      <c r="AU94" s="969"/>
      <c r="AV94" s="969"/>
      <c r="AW94" s="969"/>
      <c r="AX94" s="969"/>
      <c r="AY94" s="969"/>
      <c r="AZ94" s="969"/>
      <c r="BA94" s="1151"/>
      <c r="BB94" s="969"/>
      <c r="BC94" s="969"/>
      <c r="BD94" s="1234"/>
      <c r="BE94" s="1178"/>
      <c r="BF94" s="406"/>
      <c r="BG94" s="406"/>
      <c r="BH94" s="406"/>
      <c r="BI94" s="406"/>
      <c r="BJ94" s="406"/>
      <c r="BK94" s="406"/>
      <c r="BL94" s="406"/>
      <c r="BM94" s="406"/>
      <c r="BN94" s="777"/>
      <c r="BO94" s="1277"/>
      <c r="BP94" s="1271"/>
      <c r="BQ94" s="1157"/>
    </row>
    <row r="95" spans="1:69" s="53" customFormat="1" ht="14.4" x14ac:dyDescent="0.25">
      <c r="A95" s="1206"/>
      <c r="B95" s="731"/>
      <c r="C95" s="503" t="s">
        <v>413</v>
      </c>
      <c r="D95" s="502" t="s">
        <v>363</v>
      </c>
      <c r="E95" s="560" t="s">
        <v>149</v>
      </c>
      <c r="F95" s="539">
        <v>1</v>
      </c>
      <c r="G95" s="560" t="s">
        <v>149</v>
      </c>
      <c r="H95" s="502" t="s">
        <v>150</v>
      </c>
      <c r="I95" s="1066"/>
      <c r="J95" s="731"/>
      <c r="K95" s="731"/>
      <c r="L95" s="1200"/>
      <c r="M95" s="731"/>
      <c r="N95" s="731"/>
      <c r="O95" s="731"/>
      <c r="P95" s="731"/>
      <c r="Q95" s="731"/>
      <c r="R95" s="715"/>
      <c r="S95" s="1194"/>
      <c r="T95" s="1194"/>
      <c r="U95" s="1194"/>
      <c r="V95" s="1194"/>
      <c r="W95" s="731"/>
      <c r="X95" s="731"/>
      <c r="Y95" s="1066"/>
      <c r="Z95" s="731"/>
      <c r="AA95" s="731"/>
      <c r="AB95" s="731"/>
      <c r="AC95" s="731"/>
      <c r="AD95" s="731"/>
      <c r="AE95" s="731"/>
      <c r="AF95" s="731"/>
      <c r="AG95" s="731"/>
      <c r="AH95" s="731"/>
      <c r="AI95" s="731"/>
      <c r="AJ95" s="731"/>
      <c r="AK95" s="1168"/>
      <c r="AL95" s="1168"/>
      <c r="AM95" s="731"/>
      <c r="AN95" s="1168"/>
      <c r="AO95" s="731"/>
      <c r="AP95" s="1168"/>
      <c r="AQ95" s="731"/>
      <c r="AR95" s="1168"/>
      <c r="AS95" s="731"/>
      <c r="AT95" s="731"/>
      <c r="AU95" s="731"/>
      <c r="AV95" s="731"/>
      <c r="AW95" s="731"/>
      <c r="AX95" s="731"/>
      <c r="AY95" s="731"/>
      <c r="AZ95" s="731"/>
      <c r="BA95" s="1152"/>
      <c r="BB95" s="731"/>
      <c r="BC95" s="731"/>
      <c r="BD95" s="1235"/>
      <c r="BE95" s="1179"/>
      <c r="BF95" s="477"/>
      <c r="BG95" s="477"/>
      <c r="BH95" s="477"/>
      <c r="BI95" s="477"/>
      <c r="BJ95" s="477"/>
      <c r="BK95" s="477"/>
      <c r="BL95" s="477"/>
      <c r="BM95" s="477"/>
      <c r="BN95" s="793"/>
      <c r="BO95" s="1278"/>
      <c r="BP95" s="1058"/>
      <c r="BQ95" s="1158"/>
    </row>
    <row r="96" spans="1:69" s="53" customFormat="1" ht="43.2" x14ac:dyDescent="0.25">
      <c r="A96" s="408" t="s">
        <v>420</v>
      </c>
      <c r="B96" s="508" t="s">
        <v>36</v>
      </c>
      <c r="C96" s="503" t="s">
        <v>414</v>
      </c>
      <c r="D96" s="502" t="s">
        <v>363</v>
      </c>
      <c r="E96" s="560" t="s">
        <v>149</v>
      </c>
      <c r="F96" s="539">
        <v>1</v>
      </c>
      <c r="G96" s="560" t="s">
        <v>149</v>
      </c>
      <c r="H96" s="502" t="s">
        <v>150</v>
      </c>
      <c r="I96" s="502" t="s">
        <v>421</v>
      </c>
      <c r="J96" s="502"/>
      <c r="K96" s="502" t="s">
        <v>151</v>
      </c>
      <c r="L96" s="539" t="s">
        <v>422</v>
      </c>
      <c r="M96" s="539" t="s">
        <v>423</v>
      </c>
      <c r="N96" s="559"/>
      <c r="O96" s="499" t="s">
        <v>154</v>
      </c>
      <c r="P96" s="499" t="s">
        <v>154</v>
      </c>
      <c r="Q96" s="499" t="s">
        <v>154</v>
      </c>
      <c r="R96" s="499" t="s">
        <v>154</v>
      </c>
      <c r="S96" s="504"/>
      <c r="T96" s="504"/>
      <c r="U96" s="504"/>
      <c r="V96" s="504"/>
      <c r="W96" s="499"/>
      <c r="X96" s="499"/>
      <c r="Y96" s="499"/>
      <c r="Z96" s="499"/>
      <c r="AA96" s="499"/>
      <c r="AB96" s="499"/>
      <c r="AC96" s="499"/>
      <c r="AD96" s="499"/>
      <c r="AE96" s="499"/>
      <c r="AF96" s="499"/>
      <c r="AG96" s="499"/>
      <c r="AH96" s="499"/>
      <c r="AI96" s="499"/>
      <c r="AJ96" s="499"/>
      <c r="AK96" s="390"/>
      <c r="AL96" s="390"/>
      <c r="AM96" s="499"/>
      <c r="AN96" s="390"/>
      <c r="AO96" s="499"/>
      <c r="AP96" s="390"/>
      <c r="AQ96" s="499"/>
      <c r="AR96" s="390"/>
      <c r="AS96" s="499"/>
      <c r="AT96" s="499"/>
      <c r="AU96" s="499"/>
      <c r="AV96" s="499"/>
      <c r="AW96" s="499" t="s">
        <v>341</v>
      </c>
      <c r="AX96" s="499"/>
      <c r="AY96" s="499"/>
      <c r="AZ96" s="499"/>
      <c r="BA96" s="401"/>
      <c r="BB96" s="499" t="s">
        <v>154</v>
      </c>
      <c r="BC96" s="499" t="s">
        <v>154</v>
      </c>
      <c r="BD96" s="402"/>
      <c r="BE96" s="502" t="s">
        <v>157</v>
      </c>
      <c r="BF96" s="502"/>
      <c r="BG96" s="502"/>
      <c r="BH96" s="502"/>
      <c r="BI96" s="502"/>
      <c r="BJ96" s="502"/>
      <c r="BK96" s="502"/>
      <c r="BL96" s="502"/>
      <c r="BM96" s="502"/>
      <c r="BN96" s="547" t="s">
        <v>424</v>
      </c>
      <c r="BO96" s="678" t="s">
        <v>4354</v>
      </c>
      <c r="BP96" s="679" t="s">
        <v>561</v>
      </c>
      <c r="BQ96" s="122" t="s">
        <v>425</v>
      </c>
    </row>
    <row r="97" spans="1:69" s="37" customFormat="1" ht="14.4" x14ac:dyDescent="0.25">
      <c r="A97" s="383" t="s">
        <v>426</v>
      </c>
      <c r="B97" s="493"/>
      <c r="C97" s="493"/>
      <c r="D97" s="495"/>
      <c r="E97" s="493"/>
      <c r="F97" s="493"/>
      <c r="G97" s="493"/>
      <c r="H97" s="493"/>
      <c r="I97" s="494"/>
      <c r="J97" s="493"/>
      <c r="K97" s="493"/>
      <c r="L97" s="493"/>
      <c r="M97" s="493"/>
      <c r="N97" s="495"/>
      <c r="O97" s="384"/>
      <c r="P97" s="384"/>
      <c r="Q97" s="384"/>
      <c r="R97" s="384"/>
      <c r="S97" s="384"/>
      <c r="T97" s="384"/>
      <c r="U97" s="384"/>
      <c r="V97" s="384"/>
      <c r="W97" s="496"/>
      <c r="X97" s="496"/>
      <c r="Y97" s="496"/>
      <c r="Z97" s="496"/>
      <c r="AA97" s="496"/>
      <c r="AB97" s="496"/>
      <c r="AC97" s="496"/>
      <c r="AD97" s="496" t="str">
        <f>IF(ISBLANK(AA97),"",AA97&amp;"*")</f>
        <v/>
      </c>
      <c r="AE97" s="496" t="str">
        <f>IF(ISBLANK(AA97),"",AA97)</f>
        <v/>
      </c>
      <c r="AF97" s="496" t="str">
        <f>IF(ISBLANK(AD97),"",AD97)</f>
        <v/>
      </c>
      <c r="AG97" s="496"/>
      <c r="AH97" s="496"/>
      <c r="AI97" s="496"/>
      <c r="AJ97" s="496"/>
      <c r="AK97" s="496" t="str">
        <f>LEFT(IF(ISBLANK(N97),"",N97&amp;"*")&amp;IF(ISBLANK(O97),"",O97&amp;"*")&amp;IF(ISBLANK(P97),"",P97&amp;"*")&amp;IF(ISBLANK(Q97),"",Q97&amp;"*"),2)</f>
        <v/>
      </c>
      <c r="AL97" s="384"/>
      <c r="AM97" s="496"/>
      <c r="AN97" s="384"/>
      <c r="AO97" s="496"/>
      <c r="AP97" s="384"/>
      <c r="AQ97" s="496"/>
      <c r="AR97" s="384"/>
      <c r="AS97" s="496"/>
      <c r="AT97" s="496"/>
      <c r="AU97" s="496"/>
      <c r="AV97" s="496"/>
      <c r="AW97" s="496"/>
      <c r="AX97" s="496"/>
      <c r="AY97" s="496"/>
      <c r="AZ97" s="496"/>
      <c r="BA97" s="496"/>
      <c r="BB97" s="496"/>
      <c r="BC97" s="496"/>
      <c r="BD97" s="496" t="str">
        <f>LEFT(IF(ISBLANK(O97),"",O97&amp;"*")&amp;IF(ISBLANK(P97),"",P97&amp;"*")&amp;IF(ISBLANK(Q97),"",Q97&amp;"*")&amp;IF(ISBLANK(R97),"",R97&amp;"*"),2)</f>
        <v/>
      </c>
      <c r="BE97" s="493"/>
      <c r="BF97" s="493"/>
      <c r="BG97" s="493"/>
      <c r="BH97" s="493"/>
      <c r="BI97" s="493"/>
      <c r="BJ97" s="493"/>
      <c r="BK97" s="493"/>
      <c r="BL97" s="493"/>
      <c r="BM97" s="493"/>
      <c r="BN97" s="497"/>
      <c r="BO97" s="313"/>
      <c r="BP97" s="251"/>
      <c r="BQ97" s="104"/>
    </row>
    <row r="98" spans="1:69" s="52" customFormat="1" ht="54" customHeight="1" x14ac:dyDescent="0.25">
      <c r="A98" s="1201" t="s">
        <v>427</v>
      </c>
      <c r="B98" s="1122" t="s">
        <v>42</v>
      </c>
      <c r="C98" s="503" t="s">
        <v>428</v>
      </c>
      <c r="D98" s="503" t="s">
        <v>193</v>
      </c>
      <c r="E98" s="555" t="s">
        <v>149</v>
      </c>
      <c r="F98" s="539" t="s">
        <v>429</v>
      </c>
      <c r="G98" s="539" t="s">
        <v>430</v>
      </c>
      <c r="H98" s="539" t="s">
        <v>431</v>
      </c>
      <c r="I98" s="539" t="s">
        <v>149</v>
      </c>
      <c r="J98" s="549" t="s">
        <v>270</v>
      </c>
      <c r="K98" s="719" t="s">
        <v>288</v>
      </c>
      <c r="L98" s="817" t="s">
        <v>432</v>
      </c>
      <c r="M98" s="550" t="s">
        <v>351</v>
      </c>
      <c r="N98" s="1215"/>
      <c r="O98" s="733" t="s">
        <v>154</v>
      </c>
      <c r="P98" s="733" t="s">
        <v>154</v>
      </c>
      <c r="Q98" s="733" t="s">
        <v>154</v>
      </c>
      <c r="R98" s="733" t="s">
        <v>154</v>
      </c>
      <c r="S98" s="1118" t="s">
        <v>199</v>
      </c>
      <c r="T98" s="1118" t="s">
        <v>199</v>
      </c>
      <c r="U98" s="1118" t="s">
        <v>199</v>
      </c>
      <c r="V98" s="1118" t="s">
        <v>199</v>
      </c>
      <c r="W98" s="733"/>
      <c r="X98" s="733"/>
      <c r="Y98" s="714"/>
      <c r="Z98" s="1171" t="s">
        <v>154</v>
      </c>
      <c r="AA98" s="1171" t="s">
        <v>155</v>
      </c>
      <c r="AB98" s="1171" t="s">
        <v>155</v>
      </c>
      <c r="AC98" s="1171" t="s">
        <v>155</v>
      </c>
      <c r="AD98" s="1171" t="s">
        <v>155</v>
      </c>
      <c r="AE98" s="1171" t="s">
        <v>155</v>
      </c>
      <c r="AF98" s="1171" t="s">
        <v>155</v>
      </c>
      <c r="AG98" s="714" t="s">
        <v>155</v>
      </c>
      <c r="AH98" s="714" t="s">
        <v>155</v>
      </c>
      <c r="AI98" s="714"/>
      <c r="AJ98" s="714"/>
      <c r="AK98" s="1105"/>
      <c r="AL98" s="1105"/>
      <c r="AM98" s="733"/>
      <c r="AN98" s="1105"/>
      <c r="AO98" s="733"/>
      <c r="AP98" s="810"/>
      <c r="AQ98" s="714"/>
      <c r="AR98" s="1173"/>
      <c r="AS98" s="1177"/>
      <c r="AT98" s="1174"/>
      <c r="AU98" s="1174"/>
      <c r="AV98" s="1191" t="s">
        <v>199</v>
      </c>
      <c r="AW98" s="1188" t="s">
        <v>341</v>
      </c>
      <c r="AX98" s="817"/>
      <c r="AY98" s="817"/>
      <c r="AZ98" s="817"/>
      <c r="BA98" s="1150"/>
      <c r="BB98" s="1118" t="s">
        <v>199</v>
      </c>
      <c r="BC98" s="1118" t="s">
        <v>199</v>
      </c>
      <c r="BD98" s="1184"/>
      <c r="BE98" s="719" t="s">
        <v>157</v>
      </c>
      <c r="BF98" s="549"/>
      <c r="BG98" s="549"/>
      <c r="BH98" s="549"/>
      <c r="BI98" s="549"/>
      <c r="BJ98" s="549"/>
      <c r="BK98" s="549"/>
      <c r="BL98" s="549"/>
      <c r="BM98" s="549"/>
      <c r="BN98" s="1010" t="s">
        <v>433</v>
      </c>
      <c r="BO98" s="1244" t="s">
        <v>4357</v>
      </c>
      <c r="BP98" s="1057" t="s">
        <v>561</v>
      </c>
      <c r="BQ98" s="1159" t="s">
        <v>434</v>
      </c>
    </row>
    <row r="99" spans="1:69" s="52" customFormat="1" ht="54" customHeight="1" x14ac:dyDescent="0.25">
      <c r="A99" s="1202"/>
      <c r="B99" s="1199"/>
      <c r="C99" s="503" t="s">
        <v>435</v>
      </c>
      <c r="D99" s="503" t="s">
        <v>193</v>
      </c>
      <c r="E99" s="555" t="s">
        <v>149</v>
      </c>
      <c r="F99" s="539" t="s">
        <v>429</v>
      </c>
      <c r="G99" s="539" t="s">
        <v>430</v>
      </c>
      <c r="H99" s="539" t="s">
        <v>431</v>
      </c>
      <c r="I99" s="539" t="s">
        <v>149</v>
      </c>
      <c r="J99" s="549" t="s">
        <v>270</v>
      </c>
      <c r="K99" s="746"/>
      <c r="L99" s="817"/>
      <c r="M99" s="550" t="s">
        <v>356</v>
      </c>
      <c r="N99" s="1215"/>
      <c r="O99" s="733"/>
      <c r="P99" s="733"/>
      <c r="Q99" s="733"/>
      <c r="R99" s="733"/>
      <c r="S99" s="1118"/>
      <c r="T99" s="1118"/>
      <c r="U99" s="1118"/>
      <c r="V99" s="1118"/>
      <c r="W99" s="733"/>
      <c r="X99" s="733"/>
      <c r="Y99" s="730"/>
      <c r="Z99" s="1171"/>
      <c r="AA99" s="1171"/>
      <c r="AB99" s="1171"/>
      <c r="AC99" s="1171"/>
      <c r="AD99" s="1171"/>
      <c r="AE99" s="1171"/>
      <c r="AF99" s="1171"/>
      <c r="AG99" s="730"/>
      <c r="AH99" s="730"/>
      <c r="AI99" s="730"/>
      <c r="AJ99" s="730"/>
      <c r="AK99" s="1105"/>
      <c r="AL99" s="1105"/>
      <c r="AM99" s="733"/>
      <c r="AN99" s="1105"/>
      <c r="AO99" s="733"/>
      <c r="AP99" s="811"/>
      <c r="AQ99" s="730"/>
      <c r="AR99" s="1173"/>
      <c r="AS99" s="1177"/>
      <c r="AT99" s="1174"/>
      <c r="AU99" s="1174"/>
      <c r="AV99" s="1191"/>
      <c r="AW99" s="1188"/>
      <c r="AX99" s="817"/>
      <c r="AY99" s="817"/>
      <c r="AZ99" s="817"/>
      <c r="BA99" s="1150"/>
      <c r="BB99" s="1118"/>
      <c r="BC99" s="1118"/>
      <c r="BD99" s="1184"/>
      <c r="BE99" s="746"/>
      <c r="BF99" s="552"/>
      <c r="BG99" s="552"/>
      <c r="BH99" s="552"/>
      <c r="BI99" s="552"/>
      <c r="BJ99" s="552"/>
      <c r="BK99" s="552"/>
      <c r="BL99" s="552"/>
      <c r="BM99" s="552"/>
      <c r="BN99" s="1010"/>
      <c r="BO99" s="1245"/>
      <c r="BP99" s="1058"/>
      <c r="BQ99" s="1160"/>
    </row>
    <row r="100" spans="1:69" s="53" customFormat="1" ht="28.2" customHeight="1" x14ac:dyDescent="0.25">
      <c r="A100" s="1201" t="s">
        <v>436</v>
      </c>
      <c r="B100" s="1122" t="s">
        <v>9</v>
      </c>
      <c r="C100" s="503" t="s">
        <v>437</v>
      </c>
      <c r="D100" s="503" t="s">
        <v>363</v>
      </c>
      <c r="E100" s="555" t="s">
        <v>149</v>
      </c>
      <c r="F100" s="539">
        <v>0</v>
      </c>
      <c r="G100" s="539" t="s">
        <v>149</v>
      </c>
      <c r="H100" s="539" t="s">
        <v>364</v>
      </c>
      <c r="I100" s="539" t="s">
        <v>149</v>
      </c>
      <c r="J100" s="719"/>
      <c r="K100" s="719" t="s">
        <v>365</v>
      </c>
      <c r="L100" s="719" t="s">
        <v>438</v>
      </c>
      <c r="M100" s="550" t="s">
        <v>367</v>
      </c>
      <c r="N100" s="1210"/>
      <c r="O100" s="810"/>
      <c r="P100" s="810"/>
      <c r="Q100" s="810"/>
      <c r="R100" s="810"/>
      <c r="S100" s="810"/>
      <c r="T100" s="810"/>
      <c r="U100" s="810"/>
      <c r="V100" s="810"/>
      <c r="W100" s="810"/>
      <c r="X100" s="810"/>
      <c r="Y100" s="810"/>
      <c r="Z100" s="810"/>
      <c r="AA100" s="810"/>
      <c r="AB100" s="810"/>
      <c r="AC100" s="810"/>
      <c r="AD100" s="810"/>
      <c r="AE100" s="810"/>
      <c r="AF100" s="810"/>
      <c r="AG100" s="810"/>
      <c r="AH100" s="810"/>
      <c r="AI100" s="810"/>
      <c r="AJ100" s="810"/>
      <c r="AK100" s="810"/>
      <c r="AL100" s="810"/>
      <c r="AM100" s="810"/>
      <c r="AN100" s="810"/>
      <c r="AO100" s="810"/>
      <c r="AP100" s="810"/>
      <c r="AQ100" s="810"/>
      <c r="AR100" s="810"/>
      <c r="AS100" s="810"/>
      <c r="AT100" s="810"/>
      <c r="AU100" s="810"/>
      <c r="AV100" s="810"/>
      <c r="AW100" s="810" t="s">
        <v>341</v>
      </c>
      <c r="AX100" s="714"/>
      <c r="AY100" s="714"/>
      <c r="AZ100" s="714" t="s">
        <v>172</v>
      </c>
      <c r="BA100" s="1059"/>
      <c r="BB100" s="1063"/>
      <c r="BC100" s="1063"/>
      <c r="BD100" s="1063"/>
      <c r="BE100" s="719" t="s">
        <v>157</v>
      </c>
      <c r="BF100" s="549"/>
      <c r="BG100" s="549"/>
      <c r="BH100" s="549"/>
      <c r="BI100" s="549"/>
      <c r="BJ100" s="549"/>
      <c r="BK100" s="549"/>
      <c r="BL100" s="549"/>
      <c r="BM100" s="549"/>
      <c r="BN100" s="1185" t="s">
        <v>439</v>
      </c>
      <c r="BO100" s="1279" t="s">
        <v>4339</v>
      </c>
      <c r="BP100" s="1282" t="s">
        <v>561</v>
      </c>
      <c r="BQ100" s="1285" t="s">
        <v>4353</v>
      </c>
    </row>
    <row r="101" spans="1:69" s="53" customFormat="1" ht="18.600000000000001" customHeight="1" x14ac:dyDescent="0.25">
      <c r="A101" s="1202"/>
      <c r="B101" s="1199"/>
      <c r="C101" s="503" t="s">
        <v>440</v>
      </c>
      <c r="D101" s="503" t="s">
        <v>371</v>
      </c>
      <c r="E101" s="555" t="s">
        <v>149</v>
      </c>
      <c r="F101" s="539">
        <v>0</v>
      </c>
      <c r="G101" s="539" t="s">
        <v>149</v>
      </c>
      <c r="H101" s="539" t="s">
        <v>364</v>
      </c>
      <c r="I101" s="539" t="s">
        <v>372</v>
      </c>
      <c r="J101" s="978"/>
      <c r="K101" s="746"/>
      <c r="L101" s="746"/>
      <c r="M101" s="550" t="s">
        <v>373</v>
      </c>
      <c r="N101" s="1211"/>
      <c r="O101" s="811"/>
      <c r="P101" s="811"/>
      <c r="Q101" s="811"/>
      <c r="R101" s="811"/>
      <c r="S101" s="811"/>
      <c r="T101" s="811"/>
      <c r="U101" s="811"/>
      <c r="V101" s="811"/>
      <c r="W101" s="811"/>
      <c r="X101" s="811"/>
      <c r="Y101" s="811"/>
      <c r="Z101" s="811"/>
      <c r="AA101" s="811"/>
      <c r="AB101" s="811"/>
      <c r="AC101" s="811"/>
      <c r="AD101" s="811"/>
      <c r="AE101" s="811"/>
      <c r="AF101" s="811"/>
      <c r="AG101" s="811"/>
      <c r="AH101" s="811"/>
      <c r="AI101" s="811"/>
      <c r="AJ101" s="811"/>
      <c r="AK101" s="811"/>
      <c r="AL101" s="811"/>
      <c r="AM101" s="811"/>
      <c r="AN101" s="811"/>
      <c r="AO101" s="811"/>
      <c r="AP101" s="811"/>
      <c r="AQ101" s="811"/>
      <c r="AR101" s="811"/>
      <c r="AS101" s="811"/>
      <c r="AT101" s="811"/>
      <c r="AU101" s="811"/>
      <c r="AV101" s="811"/>
      <c r="AW101" s="811"/>
      <c r="AX101" s="730"/>
      <c r="AY101" s="730"/>
      <c r="AZ101" s="730"/>
      <c r="BA101" s="1149"/>
      <c r="BB101" s="1116"/>
      <c r="BC101" s="1116"/>
      <c r="BD101" s="1116"/>
      <c r="BE101" s="746"/>
      <c r="BF101" s="552"/>
      <c r="BG101" s="552"/>
      <c r="BH101" s="552"/>
      <c r="BI101" s="552"/>
      <c r="BJ101" s="552"/>
      <c r="BK101" s="552"/>
      <c r="BL101" s="552"/>
      <c r="BM101" s="552"/>
      <c r="BN101" s="795"/>
      <c r="BO101" s="1280"/>
      <c r="BP101" s="1283"/>
      <c r="BQ101" s="1155"/>
    </row>
    <row r="102" spans="1:69" s="52" customFormat="1" ht="18" customHeight="1" x14ac:dyDescent="0.25">
      <c r="A102" s="1202"/>
      <c r="B102" s="1199"/>
      <c r="C102" s="503" t="s">
        <v>428</v>
      </c>
      <c r="D102" s="503" t="s">
        <v>374</v>
      </c>
      <c r="E102" s="555" t="s">
        <v>149</v>
      </c>
      <c r="F102" s="539">
        <v>1</v>
      </c>
      <c r="G102" s="555" t="s">
        <v>149</v>
      </c>
      <c r="H102" s="539" t="s">
        <v>364</v>
      </c>
      <c r="I102" s="539" t="s">
        <v>149</v>
      </c>
      <c r="J102" s="978"/>
      <c r="K102" s="746"/>
      <c r="L102" s="746"/>
      <c r="M102" s="550" t="s">
        <v>375</v>
      </c>
      <c r="N102" s="1211"/>
      <c r="O102" s="811"/>
      <c r="P102" s="811"/>
      <c r="Q102" s="811"/>
      <c r="R102" s="811"/>
      <c r="S102" s="811"/>
      <c r="T102" s="811"/>
      <c r="U102" s="811"/>
      <c r="V102" s="811"/>
      <c r="W102" s="811"/>
      <c r="X102" s="811"/>
      <c r="Y102" s="811"/>
      <c r="Z102" s="811"/>
      <c r="AA102" s="811"/>
      <c r="AB102" s="811"/>
      <c r="AC102" s="811"/>
      <c r="AD102" s="811"/>
      <c r="AE102" s="811"/>
      <c r="AF102" s="811"/>
      <c r="AG102" s="811"/>
      <c r="AH102" s="811"/>
      <c r="AI102" s="811"/>
      <c r="AJ102" s="811"/>
      <c r="AK102" s="811"/>
      <c r="AL102" s="811"/>
      <c r="AM102" s="811"/>
      <c r="AN102" s="811"/>
      <c r="AO102" s="811"/>
      <c r="AP102" s="811"/>
      <c r="AQ102" s="811"/>
      <c r="AR102" s="811"/>
      <c r="AS102" s="811"/>
      <c r="AT102" s="811"/>
      <c r="AU102" s="811"/>
      <c r="AV102" s="811"/>
      <c r="AW102" s="811"/>
      <c r="AX102" s="730"/>
      <c r="AY102" s="730"/>
      <c r="AZ102" s="730"/>
      <c r="BA102" s="1149"/>
      <c r="BB102" s="1116"/>
      <c r="BC102" s="1116"/>
      <c r="BD102" s="1116"/>
      <c r="BE102" s="746"/>
      <c r="BF102" s="552"/>
      <c r="BG102" s="552"/>
      <c r="BH102" s="552"/>
      <c r="BI102" s="552"/>
      <c r="BJ102" s="552"/>
      <c r="BK102" s="552"/>
      <c r="BL102" s="552"/>
      <c r="BM102" s="552"/>
      <c r="BN102" s="795"/>
      <c r="BO102" s="1280"/>
      <c r="BP102" s="1283"/>
      <c r="BQ102" s="1155"/>
    </row>
    <row r="103" spans="1:69" s="52" customFormat="1" ht="18" customHeight="1" x14ac:dyDescent="0.25">
      <c r="A103" s="1202"/>
      <c r="B103" s="1199"/>
      <c r="C103" s="503" t="s">
        <v>428</v>
      </c>
      <c r="D103" s="503" t="s">
        <v>148</v>
      </c>
      <c r="E103" s="555" t="s">
        <v>149</v>
      </c>
      <c r="F103" s="539">
        <v>0</v>
      </c>
      <c r="G103" s="539" t="s">
        <v>149</v>
      </c>
      <c r="H103" s="539" t="s">
        <v>364</v>
      </c>
      <c r="I103" s="539" t="s">
        <v>149</v>
      </c>
      <c r="J103" s="978"/>
      <c r="K103" s="746"/>
      <c r="L103" s="746"/>
      <c r="M103" s="550" t="s">
        <v>376</v>
      </c>
      <c r="N103" s="1211"/>
      <c r="O103" s="811"/>
      <c r="P103" s="811"/>
      <c r="Q103" s="811"/>
      <c r="R103" s="811"/>
      <c r="S103" s="811"/>
      <c r="T103" s="811"/>
      <c r="U103" s="811"/>
      <c r="V103" s="811"/>
      <c r="W103" s="811"/>
      <c r="X103" s="811"/>
      <c r="Y103" s="811"/>
      <c r="Z103" s="811"/>
      <c r="AA103" s="811"/>
      <c r="AB103" s="811"/>
      <c r="AC103" s="811"/>
      <c r="AD103" s="811"/>
      <c r="AE103" s="811"/>
      <c r="AF103" s="811"/>
      <c r="AG103" s="811"/>
      <c r="AH103" s="811"/>
      <c r="AI103" s="811"/>
      <c r="AJ103" s="811"/>
      <c r="AK103" s="811"/>
      <c r="AL103" s="811"/>
      <c r="AM103" s="811"/>
      <c r="AN103" s="811"/>
      <c r="AO103" s="811"/>
      <c r="AP103" s="811"/>
      <c r="AQ103" s="811"/>
      <c r="AR103" s="811"/>
      <c r="AS103" s="811"/>
      <c r="AT103" s="811"/>
      <c r="AU103" s="811"/>
      <c r="AV103" s="811"/>
      <c r="AW103" s="811"/>
      <c r="AX103" s="730"/>
      <c r="AY103" s="730"/>
      <c r="AZ103" s="730"/>
      <c r="BA103" s="1149"/>
      <c r="BB103" s="1116"/>
      <c r="BC103" s="1116"/>
      <c r="BD103" s="1116"/>
      <c r="BE103" s="746"/>
      <c r="BF103" s="552"/>
      <c r="BG103" s="552"/>
      <c r="BH103" s="552"/>
      <c r="BI103" s="552"/>
      <c r="BJ103" s="552"/>
      <c r="BK103" s="552"/>
      <c r="BL103" s="552"/>
      <c r="BM103" s="552"/>
      <c r="BN103" s="795"/>
      <c r="BO103" s="1280"/>
      <c r="BP103" s="1283"/>
      <c r="BQ103" s="1155"/>
    </row>
    <row r="104" spans="1:69" s="52" customFormat="1" ht="28.8" x14ac:dyDescent="0.25">
      <c r="A104" s="1202"/>
      <c r="B104" s="1199"/>
      <c r="C104" s="503" t="s">
        <v>441</v>
      </c>
      <c r="D104" s="503" t="s">
        <v>193</v>
      </c>
      <c r="E104" s="503" t="s">
        <v>442</v>
      </c>
      <c r="F104" s="500" t="s">
        <v>443</v>
      </c>
      <c r="G104" s="503" t="s">
        <v>149</v>
      </c>
      <c r="H104" s="503" t="s">
        <v>444</v>
      </c>
      <c r="I104" s="539" t="s">
        <v>381</v>
      </c>
      <c r="J104" s="978"/>
      <c r="K104" s="746"/>
      <c r="L104" s="746"/>
      <c r="M104" s="550" t="s">
        <v>445</v>
      </c>
      <c r="N104" s="1211"/>
      <c r="O104" s="811"/>
      <c r="P104" s="811"/>
      <c r="Q104" s="811"/>
      <c r="R104" s="811"/>
      <c r="S104" s="811"/>
      <c r="T104" s="811"/>
      <c r="U104" s="811"/>
      <c r="V104" s="811"/>
      <c r="W104" s="811"/>
      <c r="X104" s="811"/>
      <c r="Y104" s="811"/>
      <c r="Z104" s="811"/>
      <c r="AA104" s="811"/>
      <c r="AB104" s="811"/>
      <c r="AC104" s="811"/>
      <c r="AD104" s="811"/>
      <c r="AE104" s="811"/>
      <c r="AF104" s="811"/>
      <c r="AG104" s="811"/>
      <c r="AH104" s="811"/>
      <c r="AI104" s="811"/>
      <c r="AJ104" s="811"/>
      <c r="AK104" s="811"/>
      <c r="AL104" s="811"/>
      <c r="AM104" s="811"/>
      <c r="AN104" s="811"/>
      <c r="AO104" s="811"/>
      <c r="AP104" s="811"/>
      <c r="AQ104" s="811"/>
      <c r="AR104" s="811"/>
      <c r="AS104" s="811"/>
      <c r="AT104" s="811"/>
      <c r="AU104" s="811"/>
      <c r="AV104" s="811"/>
      <c r="AW104" s="811"/>
      <c r="AX104" s="730"/>
      <c r="AY104" s="730"/>
      <c r="AZ104" s="730"/>
      <c r="BA104" s="1149"/>
      <c r="BB104" s="1116"/>
      <c r="BC104" s="1116"/>
      <c r="BD104" s="1116"/>
      <c r="BE104" s="746"/>
      <c r="BF104" s="552"/>
      <c r="BG104" s="552"/>
      <c r="BH104" s="552"/>
      <c r="BI104" s="552"/>
      <c r="BJ104" s="552"/>
      <c r="BK104" s="552"/>
      <c r="BL104" s="552"/>
      <c r="BM104" s="552"/>
      <c r="BN104" s="795"/>
      <c r="BO104" s="1280"/>
      <c r="BP104" s="1283"/>
      <c r="BQ104" s="1155"/>
    </row>
    <row r="105" spans="1:69" s="53" customFormat="1" ht="28.8" x14ac:dyDescent="0.25">
      <c r="A105" s="1202"/>
      <c r="B105" s="1199"/>
      <c r="C105" s="503" t="s">
        <v>441</v>
      </c>
      <c r="D105" s="503" t="s">
        <v>193</v>
      </c>
      <c r="E105" s="503" t="s">
        <v>446</v>
      </c>
      <c r="F105" s="500" t="s">
        <v>447</v>
      </c>
      <c r="G105" s="503" t="s">
        <v>149</v>
      </c>
      <c r="H105" s="503" t="s">
        <v>444</v>
      </c>
      <c r="I105" s="539" t="s">
        <v>381</v>
      </c>
      <c r="J105" s="1214"/>
      <c r="K105" s="720"/>
      <c r="L105" s="720"/>
      <c r="M105" s="550" t="s">
        <v>448</v>
      </c>
      <c r="N105" s="1212"/>
      <c r="O105" s="811"/>
      <c r="P105" s="811"/>
      <c r="Q105" s="811"/>
      <c r="R105" s="811"/>
      <c r="S105" s="811"/>
      <c r="T105" s="811"/>
      <c r="U105" s="811"/>
      <c r="V105" s="811"/>
      <c r="W105" s="811"/>
      <c r="X105" s="811"/>
      <c r="Y105" s="811"/>
      <c r="Z105" s="811"/>
      <c r="AA105" s="811"/>
      <c r="AB105" s="811"/>
      <c r="AC105" s="811"/>
      <c r="AD105" s="811"/>
      <c r="AE105" s="811"/>
      <c r="AF105" s="811"/>
      <c r="AG105" s="811"/>
      <c r="AH105" s="811"/>
      <c r="AI105" s="811"/>
      <c r="AJ105" s="811"/>
      <c r="AK105" s="811"/>
      <c r="AL105" s="811"/>
      <c r="AM105" s="811"/>
      <c r="AN105" s="811"/>
      <c r="AO105" s="811"/>
      <c r="AP105" s="811"/>
      <c r="AQ105" s="811"/>
      <c r="AR105" s="811"/>
      <c r="AS105" s="811"/>
      <c r="AT105" s="811"/>
      <c r="AU105" s="811"/>
      <c r="AV105" s="811"/>
      <c r="AW105" s="811"/>
      <c r="AX105" s="730"/>
      <c r="AY105" s="730"/>
      <c r="AZ105" s="730"/>
      <c r="BA105" s="1149"/>
      <c r="BB105" s="1116"/>
      <c r="BC105" s="1116"/>
      <c r="BD105" s="1116"/>
      <c r="BE105" s="720"/>
      <c r="BF105" s="552"/>
      <c r="BG105" s="552"/>
      <c r="BH105" s="552"/>
      <c r="BI105" s="552"/>
      <c r="BJ105" s="552"/>
      <c r="BK105" s="552"/>
      <c r="BL105" s="552"/>
      <c r="BM105" s="552"/>
      <c r="BN105" s="795"/>
      <c r="BO105" s="1281"/>
      <c r="BP105" s="1284"/>
      <c r="BQ105" s="1156"/>
    </row>
    <row r="106" spans="1:69" s="53" customFormat="1" ht="30.6" customHeight="1" x14ac:dyDescent="0.25">
      <c r="A106" s="1201" t="s">
        <v>449</v>
      </c>
      <c r="B106" s="1122" t="s">
        <v>9</v>
      </c>
      <c r="C106" s="503" t="s">
        <v>450</v>
      </c>
      <c r="D106" s="503" t="s">
        <v>363</v>
      </c>
      <c r="E106" s="555" t="s">
        <v>149</v>
      </c>
      <c r="F106" s="539">
        <v>0</v>
      </c>
      <c r="G106" s="539" t="s">
        <v>149</v>
      </c>
      <c r="H106" s="539" t="s">
        <v>364</v>
      </c>
      <c r="I106" s="539" t="s">
        <v>149</v>
      </c>
      <c r="J106" s="719"/>
      <c r="K106" s="719" t="s">
        <v>365</v>
      </c>
      <c r="L106" s="719" t="s">
        <v>451</v>
      </c>
      <c r="M106" s="550" t="s">
        <v>367</v>
      </c>
      <c r="N106" s="1210"/>
      <c r="O106" s="810"/>
      <c r="P106" s="810"/>
      <c r="Q106" s="810"/>
      <c r="R106" s="810"/>
      <c r="S106" s="810"/>
      <c r="T106" s="810"/>
      <c r="U106" s="810"/>
      <c r="V106" s="810"/>
      <c r="W106" s="810"/>
      <c r="X106" s="810"/>
      <c r="Y106" s="810"/>
      <c r="Z106" s="810"/>
      <c r="AA106" s="810"/>
      <c r="AB106" s="810"/>
      <c r="AC106" s="810"/>
      <c r="AD106" s="810"/>
      <c r="AE106" s="810"/>
      <c r="AF106" s="810"/>
      <c r="AG106" s="810"/>
      <c r="AH106" s="810"/>
      <c r="AI106" s="810"/>
      <c r="AJ106" s="810"/>
      <c r="AK106" s="810"/>
      <c r="AL106" s="810"/>
      <c r="AM106" s="810"/>
      <c r="AN106" s="810"/>
      <c r="AO106" s="810"/>
      <c r="AP106" s="810"/>
      <c r="AQ106" s="810"/>
      <c r="AR106" s="810"/>
      <c r="AS106" s="810"/>
      <c r="AT106" s="810"/>
      <c r="AU106" s="810"/>
      <c r="AV106" s="810"/>
      <c r="AW106" s="810"/>
      <c r="AX106" s="714"/>
      <c r="AY106" s="714"/>
      <c r="AZ106" s="714" t="s">
        <v>172</v>
      </c>
      <c r="BA106" s="1059"/>
      <c r="BB106" s="1063"/>
      <c r="BC106" s="1063"/>
      <c r="BD106" s="1063"/>
      <c r="BE106" s="719" t="s">
        <v>157</v>
      </c>
      <c r="BF106" s="552"/>
      <c r="BG106" s="552"/>
      <c r="BH106" s="552"/>
      <c r="BI106" s="552"/>
      <c r="BJ106" s="552"/>
      <c r="BK106" s="552"/>
      <c r="BL106" s="552"/>
      <c r="BM106" s="552"/>
      <c r="BN106" s="795"/>
      <c r="BO106" s="1279" t="s">
        <v>4339</v>
      </c>
      <c r="BP106" s="1282" t="s">
        <v>561</v>
      </c>
      <c r="BQ106" s="1156"/>
    </row>
    <row r="107" spans="1:69" s="53" customFormat="1" ht="16.95" customHeight="1" x14ac:dyDescent="0.25">
      <c r="A107" s="1202"/>
      <c r="B107" s="1199"/>
      <c r="C107" s="503" t="s">
        <v>452</v>
      </c>
      <c r="D107" s="503" t="s">
        <v>371</v>
      </c>
      <c r="E107" s="555" t="s">
        <v>149</v>
      </c>
      <c r="F107" s="539">
        <v>0</v>
      </c>
      <c r="G107" s="539" t="s">
        <v>149</v>
      </c>
      <c r="H107" s="539" t="s">
        <v>364</v>
      </c>
      <c r="I107" s="539" t="s">
        <v>372</v>
      </c>
      <c r="J107" s="978"/>
      <c r="K107" s="746"/>
      <c r="L107" s="746"/>
      <c r="M107" s="550" t="s">
        <v>390</v>
      </c>
      <c r="N107" s="1211"/>
      <c r="O107" s="811"/>
      <c r="P107" s="811"/>
      <c r="Q107" s="811"/>
      <c r="R107" s="811"/>
      <c r="S107" s="811"/>
      <c r="T107" s="811"/>
      <c r="U107" s="811"/>
      <c r="V107" s="811"/>
      <c r="W107" s="811"/>
      <c r="X107" s="811"/>
      <c r="Y107" s="811"/>
      <c r="Z107" s="811"/>
      <c r="AA107" s="811"/>
      <c r="AB107" s="811"/>
      <c r="AC107" s="811"/>
      <c r="AD107" s="811"/>
      <c r="AE107" s="811"/>
      <c r="AF107" s="811"/>
      <c r="AG107" s="811"/>
      <c r="AH107" s="811"/>
      <c r="AI107" s="811"/>
      <c r="AJ107" s="811"/>
      <c r="AK107" s="811"/>
      <c r="AL107" s="811"/>
      <c r="AM107" s="811"/>
      <c r="AN107" s="811"/>
      <c r="AO107" s="811"/>
      <c r="AP107" s="811"/>
      <c r="AQ107" s="811"/>
      <c r="AR107" s="811"/>
      <c r="AS107" s="811"/>
      <c r="AT107" s="811"/>
      <c r="AU107" s="811"/>
      <c r="AV107" s="811"/>
      <c r="AW107" s="811"/>
      <c r="AX107" s="730"/>
      <c r="AY107" s="730"/>
      <c r="AZ107" s="730"/>
      <c r="BA107" s="1149"/>
      <c r="BB107" s="1116"/>
      <c r="BC107" s="1116"/>
      <c r="BD107" s="1116"/>
      <c r="BE107" s="746"/>
      <c r="BF107" s="552"/>
      <c r="BG107" s="552"/>
      <c r="BH107" s="552"/>
      <c r="BI107" s="552"/>
      <c r="BJ107" s="552"/>
      <c r="BK107" s="552"/>
      <c r="BL107" s="552"/>
      <c r="BM107" s="552"/>
      <c r="BN107" s="795"/>
      <c r="BO107" s="1280"/>
      <c r="BP107" s="1283"/>
      <c r="BQ107" s="1156"/>
    </row>
    <row r="108" spans="1:69" s="52" customFormat="1" ht="18" customHeight="1" x14ac:dyDescent="0.25">
      <c r="A108" s="1202"/>
      <c r="B108" s="1199"/>
      <c r="C108" s="503" t="s">
        <v>435</v>
      </c>
      <c r="D108" s="503" t="s">
        <v>374</v>
      </c>
      <c r="E108" s="555" t="s">
        <v>149</v>
      </c>
      <c r="F108" s="539">
        <v>1</v>
      </c>
      <c r="G108" s="555" t="s">
        <v>149</v>
      </c>
      <c r="H108" s="539" t="s">
        <v>364</v>
      </c>
      <c r="I108" s="539" t="s">
        <v>149</v>
      </c>
      <c r="J108" s="978"/>
      <c r="K108" s="746"/>
      <c r="L108" s="746"/>
      <c r="M108" s="550" t="s">
        <v>391</v>
      </c>
      <c r="N108" s="1211"/>
      <c r="O108" s="811"/>
      <c r="P108" s="811"/>
      <c r="Q108" s="811"/>
      <c r="R108" s="811"/>
      <c r="S108" s="811"/>
      <c r="T108" s="811"/>
      <c r="U108" s="811"/>
      <c r="V108" s="811"/>
      <c r="W108" s="811"/>
      <c r="X108" s="811"/>
      <c r="Y108" s="811"/>
      <c r="Z108" s="811"/>
      <c r="AA108" s="811"/>
      <c r="AB108" s="811"/>
      <c r="AC108" s="811"/>
      <c r="AD108" s="811"/>
      <c r="AE108" s="811"/>
      <c r="AF108" s="811"/>
      <c r="AG108" s="811"/>
      <c r="AH108" s="811"/>
      <c r="AI108" s="811"/>
      <c r="AJ108" s="811"/>
      <c r="AK108" s="811"/>
      <c r="AL108" s="811"/>
      <c r="AM108" s="811"/>
      <c r="AN108" s="811"/>
      <c r="AO108" s="811"/>
      <c r="AP108" s="811"/>
      <c r="AQ108" s="811"/>
      <c r="AR108" s="811"/>
      <c r="AS108" s="811"/>
      <c r="AT108" s="811"/>
      <c r="AU108" s="811"/>
      <c r="AV108" s="811"/>
      <c r="AW108" s="811"/>
      <c r="AX108" s="730"/>
      <c r="AY108" s="730"/>
      <c r="AZ108" s="730"/>
      <c r="BA108" s="1149"/>
      <c r="BB108" s="1116"/>
      <c r="BC108" s="1116"/>
      <c r="BD108" s="1116"/>
      <c r="BE108" s="746"/>
      <c r="BF108" s="552"/>
      <c r="BG108" s="552"/>
      <c r="BH108" s="552"/>
      <c r="BI108" s="552"/>
      <c r="BJ108" s="552"/>
      <c r="BK108" s="552"/>
      <c r="BL108" s="552"/>
      <c r="BM108" s="552"/>
      <c r="BN108" s="795"/>
      <c r="BO108" s="1280"/>
      <c r="BP108" s="1283"/>
      <c r="BQ108" s="1156"/>
    </row>
    <row r="109" spans="1:69" s="52" customFormat="1" ht="18" customHeight="1" x14ac:dyDescent="0.25">
      <c r="A109" s="1202"/>
      <c r="B109" s="1199"/>
      <c r="C109" s="503" t="s">
        <v>435</v>
      </c>
      <c r="D109" s="503" t="s">
        <v>148</v>
      </c>
      <c r="E109" s="555" t="s">
        <v>149</v>
      </c>
      <c r="F109" s="539">
        <v>0</v>
      </c>
      <c r="G109" s="539" t="s">
        <v>149</v>
      </c>
      <c r="H109" s="539" t="s">
        <v>364</v>
      </c>
      <c r="I109" s="539" t="s">
        <v>149</v>
      </c>
      <c r="J109" s="978"/>
      <c r="K109" s="746"/>
      <c r="L109" s="746"/>
      <c r="M109" s="550" t="s">
        <v>392</v>
      </c>
      <c r="N109" s="1211"/>
      <c r="O109" s="811"/>
      <c r="P109" s="811"/>
      <c r="Q109" s="811"/>
      <c r="R109" s="811"/>
      <c r="S109" s="811"/>
      <c r="T109" s="811"/>
      <c r="U109" s="811"/>
      <c r="V109" s="811"/>
      <c r="W109" s="811"/>
      <c r="X109" s="811"/>
      <c r="Y109" s="811"/>
      <c r="Z109" s="811"/>
      <c r="AA109" s="811"/>
      <c r="AB109" s="811"/>
      <c r="AC109" s="811"/>
      <c r="AD109" s="811"/>
      <c r="AE109" s="811"/>
      <c r="AF109" s="811"/>
      <c r="AG109" s="811"/>
      <c r="AH109" s="811"/>
      <c r="AI109" s="811"/>
      <c r="AJ109" s="811"/>
      <c r="AK109" s="811"/>
      <c r="AL109" s="811"/>
      <c r="AM109" s="811"/>
      <c r="AN109" s="811"/>
      <c r="AO109" s="811"/>
      <c r="AP109" s="811"/>
      <c r="AQ109" s="811"/>
      <c r="AR109" s="811"/>
      <c r="AS109" s="811"/>
      <c r="AT109" s="811"/>
      <c r="AU109" s="811"/>
      <c r="AV109" s="811"/>
      <c r="AW109" s="811"/>
      <c r="AX109" s="730"/>
      <c r="AY109" s="730"/>
      <c r="AZ109" s="730"/>
      <c r="BA109" s="1149"/>
      <c r="BB109" s="1116"/>
      <c r="BC109" s="1116"/>
      <c r="BD109" s="1116"/>
      <c r="BE109" s="746"/>
      <c r="BF109" s="552"/>
      <c r="BG109" s="552"/>
      <c r="BH109" s="552"/>
      <c r="BI109" s="552"/>
      <c r="BJ109" s="552"/>
      <c r="BK109" s="552"/>
      <c r="BL109" s="552"/>
      <c r="BM109" s="552"/>
      <c r="BN109" s="795"/>
      <c r="BO109" s="1280"/>
      <c r="BP109" s="1283"/>
      <c r="BQ109" s="1156"/>
    </row>
    <row r="110" spans="1:69" s="52" customFormat="1" ht="28.8" x14ac:dyDescent="0.25">
      <c r="A110" s="1202"/>
      <c r="B110" s="1199"/>
      <c r="C110" s="503" t="s">
        <v>453</v>
      </c>
      <c r="D110" s="503" t="s">
        <v>193</v>
      </c>
      <c r="E110" s="503" t="s">
        <v>442</v>
      </c>
      <c r="F110" s="500" t="s">
        <v>443</v>
      </c>
      <c r="G110" s="503" t="s">
        <v>149</v>
      </c>
      <c r="H110" s="503" t="s">
        <v>444</v>
      </c>
      <c r="I110" s="539" t="s">
        <v>381</v>
      </c>
      <c r="J110" s="978"/>
      <c r="K110" s="746"/>
      <c r="L110" s="746"/>
      <c r="M110" s="550" t="s">
        <v>454</v>
      </c>
      <c r="N110" s="1211"/>
      <c r="O110" s="811"/>
      <c r="P110" s="811"/>
      <c r="Q110" s="811"/>
      <c r="R110" s="811"/>
      <c r="S110" s="811"/>
      <c r="T110" s="811"/>
      <c r="U110" s="811"/>
      <c r="V110" s="811"/>
      <c r="W110" s="811"/>
      <c r="X110" s="811"/>
      <c r="Y110" s="811"/>
      <c r="Z110" s="811"/>
      <c r="AA110" s="811"/>
      <c r="AB110" s="811"/>
      <c r="AC110" s="811"/>
      <c r="AD110" s="811"/>
      <c r="AE110" s="811"/>
      <c r="AF110" s="811"/>
      <c r="AG110" s="811"/>
      <c r="AH110" s="811"/>
      <c r="AI110" s="811"/>
      <c r="AJ110" s="811"/>
      <c r="AK110" s="811"/>
      <c r="AL110" s="811"/>
      <c r="AM110" s="811"/>
      <c r="AN110" s="811"/>
      <c r="AO110" s="811"/>
      <c r="AP110" s="811"/>
      <c r="AQ110" s="811"/>
      <c r="AR110" s="811"/>
      <c r="AS110" s="811"/>
      <c r="AT110" s="811"/>
      <c r="AU110" s="811"/>
      <c r="AV110" s="811"/>
      <c r="AW110" s="811"/>
      <c r="AX110" s="730"/>
      <c r="AY110" s="730"/>
      <c r="AZ110" s="730"/>
      <c r="BA110" s="1149"/>
      <c r="BB110" s="1116"/>
      <c r="BC110" s="1116"/>
      <c r="BD110" s="1116"/>
      <c r="BE110" s="746"/>
      <c r="BF110" s="552"/>
      <c r="BG110" s="552"/>
      <c r="BH110" s="552"/>
      <c r="BI110" s="552"/>
      <c r="BJ110" s="552"/>
      <c r="BK110" s="552"/>
      <c r="BL110" s="552"/>
      <c r="BM110" s="552"/>
      <c r="BN110" s="795"/>
      <c r="BO110" s="1280"/>
      <c r="BP110" s="1283"/>
      <c r="BQ110" s="1156"/>
    </row>
    <row r="111" spans="1:69" s="53" customFormat="1" ht="28.8" x14ac:dyDescent="0.25">
      <c r="A111" s="1203"/>
      <c r="B111" s="1123"/>
      <c r="C111" s="503" t="s">
        <v>453</v>
      </c>
      <c r="D111" s="503" t="s">
        <v>193</v>
      </c>
      <c r="E111" s="503" t="s">
        <v>446</v>
      </c>
      <c r="F111" s="500" t="s">
        <v>447</v>
      </c>
      <c r="G111" s="503" t="s">
        <v>149</v>
      </c>
      <c r="H111" s="503" t="s">
        <v>444</v>
      </c>
      <c r="I111" s="539" t="s">
        <v>381</v>
      </c>
      <c r="J111" s="1214"/>
      <c r="K111" s="720"/>
      <c r="L111" s="720"/>
      <c r="M111" s="550" t="s">
        <v>455</v>
      </c>
      <c r="N111" s="1212"/>
      <c r="O111" s="812" t="s">
        <v>199</v>
      </c>
      <c r="P111" s="812" t="s">
        <v>199</v>
      </c>
      <c r="Q111" s="812" t="s">
        <v>199</v>
      </c>
      <c r="R111" s="812" t="s">
        <v>199</v>
      </c>
      <c r="S111" s="812" t="s">
        <v>199</v>
      </c>
      <c r="T111" s="812" t="s">
        <v>199</v>
      </c>
      <c r="U111" s="812" t="s">
        <v>199</v>
      </c>
      <c r="V111" s="812" t="s">
        <v>199</v>
      </c>
      <c r="W111" s="812"/>
      <c r="X111" s="812"/>
      <c r="Y111" s="812"/>
      <c r="Z111" s="812"/>
      <c r="AA111" s="812"/>
      <c r="AB111" s="812"/>
      <c r="AC111" s="812"/>
      <c r="AD111" s="812"/>
      <c r="AE111" s="812"/>
      <c r="AF111" s="812"/>
      <c r="AG111" s="812"/>
      <c r="AH111" s="812"/>
      <c r="AI111" s="812"/>
      <c r="AJ111" s="812"/>
      <c r="AK111" s="812"/>
      <c r="AL111" s="812"/>
      <c r="AM111" s="812"/>
      <c r="AN111" s="812"/>
      <c r="AO111" s="812"/>
      <c r="AP111" s="812"/>
      <c r="AQ111" s="812"/>
      <c r="AR111" s="812"/>
      <c r="AS111" s="812"/>
      <c r="AT111" s="812"/>
      <c r="AU111" s="812"/>
      <c r="AV111" s="812"/>
      <c r="AW111" s="812" t="s">
        <v>341</v>
      </c>
      <c r="AX111" s="715"/>
      <c r="AY111" s="715"/>
      <c r="AZ111" s="715"/>
      <c r="BA111" s="1060"/>
      <c r="BB111" s="1064"/>
      <c r="BC111" s="1064"/>
      <c r="BD111" s="1064"/>
      <c r="BE111" s="720"/>
      <c r="BF111" s="554"/>
      <c r="BG111" s="554"/>
      <c r="BH111" s="554"/>
      <c r="BI111" s="554"/>
      <c r="BJ111" s="554"/>
      <c r="BK111" s="554"/>
      <c r="BL111" s="554"/>
      <c r="BM111" s="554"/>
      <c r="BN111" s="1186"/>
      <c r="BO111" s="1281"/>
      <c r="BP111" s="1284"/>
      <c r="BQ111" s="1286"/>
    </row>
    <row r="112" spans="1:69" s="53" customFormat="1" ht="28.95" customHeight="1" x14ac:dyDescent="0.25">
      <c r="A112" s="1201" t="s">
        <v>456</v>
      </c>
      <c r="B112" s="1122" t="s">
        <v>9</v>
      </c>
      <c r="C112" s="503" t="s">
        <v>457</v>
      </c>
      <c r="D112" s="502" t="s">
        <v>363</v>
      </c>
      <c r="E112" s="817" t="s">
        <v>149</v>
      </c>
      <c r="F112" s="817">
        <v>0</v>
      </c>
      <c r="G112" s="817" t="s">
        <v>149</v>
      </c>
      <c r="H112" s="817" t="s">
        <v>150</v>
      </c>
      <c r="I112" s="817" t="s">
        <v>398</v>
      </c>
      <c r="J112" s="1197"/>
      <c r="K112" s="1216" t="s">
        <v>399</v>
      </c>
      <c r="L112" s="817" t="s">
        <v>458</v>
      </c>
      <c r="M112" s="817" t="s">
        <v>401</v>
      </c>
      <c r="N112" s="1209"/>
      <c r="O112" s="733" t="s">
        <v>154</v>
      </c>
      <c r="P112" s="733" t="s">
        <v>154</v>
      </c>
      <c r="Q112" s="733" t="s">
        <v>154</v>
      </c>
      <c r="R112" s="733" t="s">
        <v>154</v>
      </c>
      <c r="S112" s="733"/>
      <c r="T112" s="733"/>
      <c r="U112" s="733"/>
      <c r="V112" s="733"/>
      <c r="W112" s="733"/>
      <c r="X112" s="733"/>
      <c r="Y112" s="733"/>
      <c r="Z112" s="733" t="str">
        <f t="shared" ref="Z112:Z119" si="10">IF(ISBLANK(Y112),"",Y112)</f>
        <v/>
      </c>
      <c r="AA112" s="733"/>
      <c r="AB112" s="733"/>
      <c r="AC112" s="733"/>
      <c r="AD112" s="733"/>
      <c r="AE112" s="733"/>
      <c r="AF112" s="733"/>
      <c r="AG112" s="733"/>
      <c r="AH112" s="733"/>
      <c r="AI112" s="733"/>
      <c r="AJ112" s="733"/>
      <c r="AK112" s="1105"/>
      <c r="AL112" s="1105"/>
      <c r="AM112" s="733"/>
      <c r="AN112" s="1105"/>
      <c r="AO112" s="733"/>
      <c r="AP112" s="1105"/>
      <c r="AQ112" s="733"/>
      <c r="AR112" s="1105"/>
      <c r="AS112" s="733"/>
      <c r="AT112" s="733"/>
      <c r="AU112" s="733"/>
      <c r="AV112" s="733"/>
      <c r="AW112" s="733" t="s">
        <v>341</v>
      </c>
      <c r="AX112" s="733"/>
      <c r="AY112" s="733"/>
      <c r="AZ112" s="733"/>
      <c r="BA112" s="1150"/>
      <c r="BB112" s="733" t="s">
        <v>154</v>
      </c>
      <c r="BC112" s="733" t="s">
        <v>154</v>
      </c>
      <c r="BD112" s="1184"/>
      <c r="BE112" s="1197" t="s">
        <v>157</v>
      </c>
      <c r="BF112" s="502"/>
      <c r="BG112" s="502"/>
      <c r="BH112" s="502"/>
      <c r="BI112" s="502"/>
      <c r="BJ112" s="502"/>
      <c r="BK112" s="502"/>
      <c r="BL112" s="502"/>
      <c r="BM112" s="502"/>
      <c r="BN112" s="896" t="s">
        <v>402</v>
      </c>
      <c r="BO112" s="1244" t="s">
        <v>4339</v>
      </c>
      <c r="BP112" s="1057" t="s">
        <v>561</v>
      </c>
      <c r="BQ112" s="774" t="s">
        <v>459</v>
      </c>
    </row>
    <row r="113" spans="1:69" s="53" customFormat="1" ht="14.4" customHeight="1" x14ac:dyDescent="0.25">
      <c r="A113" s="1205"/>
      <c r="B113" s="1199"/>
      <c r="C113" s="503" t="s">
        <v>460</v>
      </c>
      <c r="D113" s="502" t="s">
        <v>363</v>
      </c>
      <c r="E113" s="817"/>
      <c r="F113" s="817" t="s">
        <v>405</v>
      </c>
      <c r="G113" s="817"/>
      <c r="H113" s="817" t="s">
        <v>406</v>
      </c>
      <c r="I113" s="817" t="s">
        <v>407</v>
      </c>
      <c r="J113" s="1197"/>
      <c r="K113" s="1216"/>
      <c r="L113" s="817" t="s">
        <v>408</v>
      </c>
      <c r="M113" s="817"/>
      <c r="N113" s="1209"/>
      <c r="O113" s="733"/>
      <c r="P113" s="733"/>
      <c r="Q113" s="733"/>
      <c r="R113" s="733"/>
      <c r="S113" s="733"/>
      <c r="T113" s="733"/>
      <c r="U113" s="733"/>
      <c r="V113" s="733"/>
      <c r="W113" s="733"/>
      <c r="X113" s="733"/>
      <c r="Y113" s="733"/>
      <c r="Z113" s="733" t="str">
        <f t="shared" si="10"/>
        <v/>
      </c>
      <c r="AA113" s="733"/>
      <c r="AB113" s="733"/>
      <c r="AC113" s="733"/>
      <c r="AD113" s="733"/>
      <c r="AE113" s="733"/>
      <c r="AF113" s="733"/>
      <c r="AG113" s="733"/>
      <c r="AH113" s="733"/>
      <c r="AI113" s="733"/>
      <c r="AJ113" s="733"/>
      <c r="AK113" s="1105"/>
      <c r="AL113" s="1105"/>
      <c r="AM113" s="733"/>
      <c r="AN113" s="1105"/>
      <c r="AO113" s="733"/>
      <c r="AP113" s="1105"/>
      <c r="AQ113" s="733"/>
      <c r="AR113" s="1105"/>
      <c r="AS113" s="733"/>
      <c r="AT113" s="733"/>
      <c r="AU113" s="733"/>
      <c r="AV113" s="733"/>
      <c r="AW113" s="733"/>
      <c r="AX113" s="733"/>
      <c r="AY113" s="733"/>
      <c r="AZ113" s="733"/>
      <c r="BA113" s="1150"/>
      <c r="BB113" s="733"/>
      <c r="BC113" s="733"/>
      <c r="BD113" s="1184"/>
      <c r="BE113" s="1197"/>
      <c r="BF113" s="502"/>
      <c r="BG113" s="502"/>
      <c r="BH113" s="502"/>
      <c r="BI113" s="502"/>
      <c r="BJ113" s="502"/>
      <c r="BK113" s="502"/>
      <c r="BL113" s="502"/>
      <c r="BM113" s="502"/>
      <c r="BN113" s="896"/>
      <c r="BO113" s="1270"/>
      <c r="BP113" s="1271"/>
      <c r="BQ113" s="920"/>
    </row>
    <row r="114" spans="1:69" s="53" customFormat="1" ht="14.4" x14ac:dyDescent="0.25">
      <c r="A114" s="1205"/>
      <c r="B114" s="1199"/>
      <c r="C114" s="503" t="s">
        <v>461</v>
      </c>
      <c r="D114" s="502" t="s">
        <v>363</v>
      </c>
      <c r="E114" s="817"/>
      <c r="F114" s="817" t="s">
        <v>405</v>
      </c>
      <c r="G114" s="817"/>
      <c r="H114" s="817" t="s">
        <v>406</v>
      </c>
      <c r="I114" s="817" t="s">
        <v>407</v>
      </c>
      <c r="J114" s="1197"/>
      <c r="K114" s="1216"/>
      <c r="L114" s="817" t="s">
        <v>408</v>
      </c>
      <c r="M114" s="817"/>
      <c r="N114" s="1209"/>
      <c r="O114" s="733"/>
      <c r="P114" s="733"/>
      <c r="Q114" s="733"/>
      <c r="R114" s="733"/>
      <c r="S114" s="733"/>
      <c r="T114" s="733"/>
      <c r="U114" s="733"/>
      <c r="V114" s="733"/>
      <c r="W114" s="733"/>
      <c r="X114" s="733"/>
      <c r="Y114" s="733"/>
      <c r="Z114" s="733" t="str">
        <f t="shared" si="10"/>
        <v/>
      </c>
      <c r="AA114" s="733"/>
      <c r="AB114" s="733"/>
      <c r="AC114" s="733"/>
      <c r="AD114" s="733"/>
      <c r="AE114" s="733"/>
      <c r="AF114" s="733"/>
      <c r="AG114" s="733"/>
      <c r="AH114" s="733"/>
      <c r="AI114" s="733"/>
      <c r="AJ114" s="733"/>
      <c r="AK114" s="1105"/>
      <c r="AL114" s="1105"/>
      <c r="AM114" s="733"/>
      <c r="AN114" s="1105"/>
      <c r="AO114" s="733"/>
      <c r="AP114" s="1105"/>
      <c r="AQ114" s="733"/>
      <c r="AR114" s="1105"/>
      <c r="AS114" s="733"/>
      <c r="AT114" s="733"/>
      <c r="AU114" s="733"/>
      <c r="AV114" s="733"/>
      <c r="AW114" s="733"/>
      <c r="AX114" s="733"/>
      <c r="AY114" s="733"/>
      <c r="AZ114" s="733"/>
      <c r="BA114" s="1150"/>
      <c r="BB114" s="733"/>
      <c r="BC114" s="733"/>
      <c r="BD114" s="1184"/>
      <c r="BE114" s="1197"/>
      <c r="BF114" s="502"/>
      <c r="BG114" s="502"/>
      <c r="BH114" s="502"/>
      <c r="BI114" s="502"/>
      <c r="BJ114" s="502"/>
      <c r="BK114" s="502"/>
      <c r="BL114" s="502"/>
      <c r="BM114" s="502"/>
      <c r="BN114" s="896"/>
      <c r="BO114" s="1270"/>
      <c r="BP114" s="1271"/>
      <c r="BQ114" s="920"/>
    </row>
    <row r="115" spans="1:69" s="53" customFormat="1" ht="14.4" x14ac:dyDescent="0.25">
      <c r="A115" s="1205"/>
      <c r="B115" s="1199"/>
      <c r="C115" s="503" t="s">
        <v>462</v>
      </c>
      <c r="D115" s="502" t="s">
        <v>363</v>
      </c>
      <c r="E115" s="817"/>
      <c r="F115" s="817" t="s">
        <v>405</v>
      </c>
      <c r="G115" s="817"/>
      <c r="H115" s="817" t="s">
        <v>406</v>
      </c>
      <c r="I115" s="817" t="s">
        <v>407</v>
      </c>
      <c r="J115" s="1197"/>
      <c r="K115" s="1216"/>
      <c r="L115" s="817" t="s">
        <v>408</v>
      </c>
      <c r="M115" s="817"/>
      <c r="N115" s="1209"/>
      <c r="O115" s="733"/>
      <c r="P115" s="733"/>
      <c r="Q115" s="733"/>
      <c r="R115" s="733"/>
      <c r="S115" s="733"/>
      <c r="T115" s="733"/>
      <c r="U115" s="733"/>
      <c r="V115" s="733"/>
      <c r="W115" s="733"/>
      <c r="X115" s="733"/>
      <c r="Y115" s="733"/>
      <c r="Z115" s="733" t="str">
        <f t="shared" si="10"/>
        <v/>
      </c>
      <c r="AA115" s="733"/>
      <c r="AB115" s="733"/>
      <c r="AC115" s="733"/>
      <c r="AD115" s="733"/>
      <c r="AE115" s="733"/>
      <c r="AF115" s="733"/>
      <c r="AG115" s="733"/>
      <c r="AH115" s="733"/>
      <c r="AI115" s="733"/>
      <c r="AJ115" s="733"/>
      <c r="AK115" s="1105"/>
      <c r="AL115" s="1105"/>
      <c r="AM115" s="733"/>
      <c r="AN115" s="1105"/>
      <c r="AO115" s="733"/>
      <c r="AP115" s="1105"/>
      <c r="AQ115" s="733"/>
      <c r="AR115" s="1105"/>
      <c r="AS115" s="733"/>
      <c r="AT115" s="733"/>
      <c r="AU115" s="733"/>
      <c r="AV115" s="733"/>
      <c r="AW115" s="733"/>
      <c r="AX115" s="733"/>
      <c r="AY115" s="733"/>
      <c r="AZ115" s="733"/>
      <c r="BA115" s="1150"/>
      <c r="BB115" s="733"/>
      <c r="BC115" s="733"/>
      <c r="BD115" s="1184"/>
      <c r="BE115" s="1197"/>
      <c r="BF115" s="502"/>
      <c r="BG115" s="502"/>
      <c r="BH115" s="502"/>
      <c r="BI115" s="502"/>
      <c r="BJ115" s="502"/>
      <c r="BK115" s="502"/>
      <c r="BL115" s="502"/>
      <c r="BM115" s="502"/>
      <c r="BN115" s="896"/>
      <c r="BO115" s="1270"/>
      <c r="BP115" s="1271"/>
      <c r="BQ115" s="920"/>
    </row>
    <row r="116" spans="1:69" s="53" customFormat="1" ht="14.4" x14ac:dyDescent="0.25">
      <c r="A116" s="1205"/>
      <c r="B116" s="1199"/>
      <c r="C116" s="503" t="s">
        <v>463</v>
      </c>
      <c r="D116" s="502" t="s">
        <v>363</v>
      </c>
      <c r="E116" s="817"/>
      <c r="F116" s="817" t="s">
        <v>405</v>
      </c>
      <c r="G116" s="817"/>
      <c r="H116" s="817" t="s">
        <v>406</v>
      </c>
      <c r="I116" s="817" t="s">
        <v>407</v>
      </c>
      <c r="J116" s="1197"/>
      <c r="K116" s="1216"/>
      <c r="L116" s="817" t="s">
        <v>408</v>
      </c>
      <c r="M116" s="817"/>
      <c r="N116" s="1209"/>
      <c r="O116" s="733"/>
      <c r="P116" s="733"/>
      <c r="Q116" s="733"/>
      <c r="R116" s="733"/>
      <c r="S116" s="733"/>
      <c r="T116" s="733"/>
      <c r="U116" s="733"/>
      <c r="V116" s="733"/>
      <c r="W116" s="733"/>
      <c r="X116" s="733"/>
      <c r="Y116" s="733"/>
      <c r="Z116" s="733" t="str">
        <f t="shared" si="10"/>
        <v/>
      </c>
      <c r="AA116" s="733"/>
      <c r="AB116" s="733"/>
      <c r="AC116" s="733"/>
      <c r="AD116" s="733"/>
      <c r="AE116" s="733"/>
      <c r="AF116" s="733"/>
      <c r="AG116" s="733"/>
      <c r="AH116" s="733"/>
      <c r="AI116" s="733"/>
      <c r="AJ116" s="733"/>
      <c r="AK116" s="1105"/>
      <c r="AL116" s="1105"/>
      <c r="AM116" s="733"/>
      <c r="AN116" s="1105"/>
      <c r="AO116" s="733"/>
      <c r="AP116" s="1105"/>
      <c r="AQ116" s="733"/>
      <c r="AR116" s="1105"/>
      <c r="AS116" s="733"/>
      <c r="AT116" s="733"/>
      <c r="AU116" s="733"/>
      <c r="AV116" s="733"/>
      <c r="AW116" s="733"/>
      <c r="AX116" s="733"/>
      <c r="AY116" s="733"/>
      <c r="AZ116" s="733"/>
      <c r="BA116" s="1150"/>
      <c r="BB116" s="733"/>
      <c r="BC116" s="733"/>
      <c r="BD116" s="1184"/>
      <c r="BE116" s="1197"/>
      <c r="BF116" s="502"/>
      <c r="BG116" s="502"/>
      <c r="BH116" s="502"/>
      <c r="BI116" s="502"/>
      <c r="BJ116" s="502"/>
      <c r="BK116" s="502"/>
      <c r="BL116" s="502"/>
      <c r="BM116" s="502"/>
      <c r="BN116" s="896"/>
      <c r="BO116" s="1270"/>
      <c r="BP116" s="1271"/>
      <c r="BQ116" s="920"/>
    </row>
    <row r="117" spans="1:69" s="53" customFormat="1" ht="14.4" x14ac:dyDescent="0.25">
      <c r="A117" s="1205"/>
      <c r="B117" s="1199"/>
      <c r="C117" s="503" t="s">
        <v>464</v>
      </c>
      <c r="D117" s="502" t="s">
        <v>363</v>
      </c>
      <c r="E117" s="817"/>
      <c r="F117" s="817" t="s">
        <v>405</v>
      </c>
      <c r="G117" s="817"/>
      <c r="H117" s="817" t="s">
        <v>406</v>
      </c>
      <c r="I117" s="817" t="s">
        <v>407</v>
      </c>
      <c r="J117" s="1197"/>
      <c r="K117" s="1216"/>
      <c r="L117" s="817" t="s">
        <v>408</v>
      </c>
      <c r="M117" s="817"/>
      <c r="N117" s="1209"/>
      <c r="O117" s="733"/>
      <c r="P117" s="733"/>
      <c r="Q117" s="733"/>
      <c r="R117" s="733"/>
      <c r="S117" s="733"/>
      <c r="T117" s="733"/>
      <c r="U117" s="733"/>
      <c r="V117" s="733"/>
      <c r="W117" s="733"/>
      <c r="X117" s="733"/>
      <c r="Y117" s="733"/>
      <c r="Z117" s="733" t="str">
        <f t="shared" si="10"/>
        <v/>
      </c>
      <c r="AA117" s="733"/>
      <c r="AB117" s="733"/>
      <c r="AC117" s="733"/>
      <c r="AD117" s="733"/>
      <c r="AE117" s="733"/>
      <c r="AF117" s="733"/>
      <c r="AG117" s="733"/>
      <c r="AH117" s="733"/>
      <c r="AI117" s="733"/>
      <c r="AJ117" s="733"/>
      <c r="AK117" s="1105"/>
      <c r="AL117" s="1105"/>
      <c r="AM117" s="733"/>
      <c r="AN117" s="1105"/>
      <c r="AO117" s="733"/>
      <c r="AP117" s="1105"/>
      <c r="AQ117" s="733"/>
      <c r="AR117" s="1105"/>
      <c r="AS117" s="733"/>
      <c r="AT117" s="733"/>
      <c r="AU117" s="733"/>
      <c r="AV117" s="733"/>
      <c r="AW117" s="733"/>
      <c r="AX117" s="733"/>
      <c r="AY117" s="733"/>
      <c r="AZ117" s="733"/>
      <c r="BA117" s="1150"/>
      <c r="BB117" s="733"/>
      <c r="BC117" s="733"/>
      <c r="BD117" s="1184"/>
      <c r="BE117" s="1197"/>
      <c r="BF117" s="502"/>
      <c r="BG117" s="502"/>
      <c r="BH117" s="502"/>
      <c r="BI117" s="502"/>
      <c r="BJ117" s="502"/>
      <c r="BK117" s="502"/>
      <c r="BL117" s="502"/>
      <c r="BM117" s="502"/>
      <c r="BN117" s="896"/>
      <c r="BO117" s="1270"/>
      <c r="BP117" s="1271"/>
      <c r="BQ117" s="920"/>
    </row>
    <row r="118" spans="1:69" s="53" customFormat="1" ht="14.4" x14ac:dyDescent="0.25">
      <c r="A118" s="1205"/>
      <c r="B118" s="1199"/>
      <c r="C118" s="347" t="s">
        <v>465</v>
      </c>
      <c r="D118" s="474" t="s">
        <v>363</v>
      </c>
      <c r="E118" s="817"/>
      <c r="F118" s="817"/>
      <c r="G118" s="817"/>
      <c r="H118" s="817"/>
      <c r="I118" s="817"/>
      <c r="J118" s="1197"/>
      <c r="K118" s="1216"/>
      <c r="L118" s="817"/>
      <c r="M118" s="817"/>
      <c r="N118" s="1209"/>
      <c r="O118" s="733"/>
      <c r="P118" s="733"/>
      <c r="Q118" s="733"/>
      <c r="R118" s="733"/>
      <c r="S118" s="733"/>
      <c r="T118" s="733"/>
      <c r="U118" s="733"/>
      <c r="V118" s="733"/>
      <c r="W118" s="733"/>
      <c r="X118" s="733"/>
      <c r="Y118" s="733"/>
      <c r="Z118" s="733"/>
      <c r="AA118" s="733"/>
      <c r="AB118" s="733"/>
      <c r="AC118" s="733"/>
      <c r="AD118" s="733"/>
      <c r="AE118" s="733"/>
      <c r="AF118" s="733"/>
      <c r="AG118" s="733"/>
      <c r="AH118" s="733"/>
      <c r="AI118" s="733"/>
      <c r="AJ118" s="733"/>
      <c r="AK118" s="1105"/>
      <c r="AL118" s="1105"/>
      <c r="AM118" s="733"/>
      <c r="AN118" s="1105"/>
      <c r="AO118" s="733"/>
      <c r="AP118" s="1105"/>
      <c r="AQ118" s="733"/>
      <c r="AR118" s="1105"/>
      <c r="AS118" s="733"/>
      <c r="AT118" s="733"/>
      <c r="AU118" s="733"/>
      <c r="AV118" s="733"/>
      <c r="AW118" s="733"/>
      <c r="AX118" s="733"/>
      <c r="AY118" s="733"/>
      <c r="AZ118" s="733"/>
      <c r="BA118" s="1150"/>
      <c r="BB118" s="733"/>
      <c r="BC118" s="733"/>
      <c r="BD118" s="1184"/>
      <c r="BE118" s="1197"/>
      <c r="BF118" s="502"/>
      <c r="BG118" s="502"/>
      <c r="BH118" s="502"/>
      <c r="BI118" s="502"/>
      <c r="BJ118" s="502"/>
      <c r="BK118" s="502"/>
      <c r="BL118" s="502"/>
      <c r="BM118" s="502"/>
      <c r="BN118" s="896"/>
      <c r="BO118" s="1270"/>
      <c r="BP118" s="1271"/>
      <c r="BQ118" s="920"/>
    </row>
    <row r="119" spans="1:69" s="53" customFormat="1" ht="14.4" x14ac:dyDescent="0.25">
      <c r="A119" s="1205"/>
      <c r="B119" s="1123"/>
      <c r="C119" s="503" t="s">
        <v>466</v>
      </c>
      <c r="D119" s="502" t="s">
        <v>363</v>
      </c>
      <c r="E119" s="817"/>
      <c r="F119" s="817" t="s">
        <v>405</v>
      </c>
      <c r="G119" s="817"/>
      <c r="H119" s="817" t="s">
        <v>406</v>
      </c>
      <c r="I119" s="817" t="s">
        <v>407</v>
      </c>
      <c r="J119" s="1197"/>
      <c r="K119" s="1216"/>
      <c r="L119" s="817" t="s">
        <v>408</v>
      </c>
      <c r="M119" s="817"/>
      <c r="N119" s="1209"/>
      <c r="O119" s="733"/>
      <c r="P119" s="733"/>
      <c r="Q119" s="733"/>
      <c r="R119" s="733"/>
      <c r="S119" s="733"/>
      <c r="T119" s="733"/>
      <c r="U119" s="733"/>
      <c r="V119" s="733"/>
      <c r="W119" s="733"/>
      <c r="X119" s="733"/>
      <c r="Y119" s="733"/>
      <c r="Z119" s="733" t="str">
        <f t="shared" si="10"/>
        <v/>
      </c>
      <c r="AA119" s="733"/>
      <c r="AB119" s="733"/>
      <c r="AC119" s="733"/>
      <c r="AD119" s="733"/>
      <c r="AE119" s="733"/>
      <c r="AF119" s="733"/>
      <c r="AG119" s="733"/>
      <c r="AH119" s="733"/>
      <c r="AI119" s="733"/>
      <c r="AJ119" s="733"/>
      <c r="AK119" s="1105"/>
      <c r="AL119" s="1105"/>
      <c r="AM119" s="733"/>
      <c r="AN119" s="1105"/>
      <c r="AO119" s="733"/>
      <c r="AP119" s="1105"/>
      <c r="AQ119" s="733"/>
      <c r="AR119" s="1105"/>
      <c r="AS119" s="733"/>
      <c r="AT119" s="733"/>
      <c r="AU119" s="733"/>
      <c r="AV119" s="733"/>
      <c r="AW119" s="733"/>
      <c r="AX119" s="733"/>
      <c r="AY119" s="733"/>
      <c r="AZ119" s="733"/>
      <c r="BA119" s="1150"/>
      <c r="BB119" s="733"/>
      <c r="BC119" s="733"/>
      <c r="BD119" s="1184"/>
      <c r="BE119" s="1197"/>
      <c r="BF119" s="502"/>
      <c r="BG119" s="502"/>
      <c r="BH119" s="502"/>
      <c r="BI119" s="502"/>
      <c r="BJ119" s="502"/>
      <c r="BK119" s="502"/>
      <c r="BL119" s="502"/>
      <c r="BM119" s="502"/>
      <c r="BN119" s="896"/>
      <c r="BO119" s="1245"/>
      <c r="BP119" s="1058"/>
      <c r="BQ119" s="1161"/>
    </row>
    <row r="120" spans="1:69" s="53" customFormat="1" ht="14.4" customHeight="1" x14ac:dyDescent="0.25">
      <c r="A120" s="1201" t="s">
        <v>467</v>
      </c>
      <c r="B120" s="1122" t="s">
        <v>9</v>
      </c>
      <c r="C120" s="503" t="s">
        <v>457</v>
      </c>
      <c r="D120" s="502" t="s">
        <v>363</v>
      </c>
      <c r="E120" s="563" t="s">
        <v>149</v>
      </c>
      <c r="F120" s="549">
        <v>1</v>
      </c>
      <c r="G120" s="563" t="s">
        <v>149</v>
      </c>
      <c r="H120" s="563" t="s">
        <v>150</v>
      </c>
      <c r="I120" s="1065" t="s">
        <v>416</v>
      </c>
      <c r="J120" s="1106"/>
      <c r="K120" s="1080" t="s">
        <v>417</v>
      </c>
      <c r="L120" s="817" t="s">
        <v>468</v>
      </c>
      <c r="M120" s="719" t="s">
        <v>419</v>
      </c>
      <c r="N120" s="1106"/>
      <c r="O120" s="714" t="s">
        <v>154</v>
      </c>
      <c r="P120" s="714" t="s">
        <v>154</v>
      </c>
      <c r="Q120" s="714" t="s">
        <v>154</v>
      </c>
      <c r="R120" s="714" t="s">
        <v>154</v>
      </c>
      <c r="S120" s="714"/>
      <c r="T120" s="714"/>
      <c r="U120" s="714"/>
      <c r="V120" s="714"/>
      <c r="W120" s="1106"/>
      <c r="X120" s="1106"/>
      <c r="Y120" s="1106"/>
      <c r="Z120" s="1106"/>
      <c r="AA120" s="1106"/>
      <c r="AB120" s="1106"/>
      <c r="AC120" s="1106"/>
      <c r="AD120" s="1106"/>
      <c r="AE120" s="1106"/>
      <c r="AF120" s="1106"/>
      <c r="AG120" s="1106"/>
      <c r="AH120" s="1106"/>
      <c r="AI120" s="1106"/>
      <c r="AJ120" s="1106"/>
      <c r="AK120" s="810"/>
      <c r="AL120" s="1166"/>
      <c r="AM120" s="1106"/>
      <c r="AN120" s="1166"/>
      <c r="AO120" s="1106"/>
      <c r="AP120" s="1166"/>
      <c r="AQ120" s="1106"/>
      <c r="AR120" s="1166"/>
      <c r="AS120" s="1106"/>
      <c r="AT120" s="1106"/>
      <c r="AU120" s="1106"/>
      <c r="AV120" s="1106"/>
      <c r="AW120" s="1106" t="s">
        <v>341</v>
      </c>
      <c r="AX120" s="1106"/>
      <c r="AY120" s="1106"/>
      <c r="AZ120" s="1106"/>
      <c r="BA120" s="1059"/>
      <c r="BB120" s="714" t="s">
        <v>154</v>
      </c>
      <c r="BC120" s="714" t="s">
        <v>154</v>
      </c>
      <c r="BD120" s="1063"/>
      <c r="BE120" s="1080" t="s">
        <v>481</v>
      </c>
      <c r="BF120" s="518"/>
      <c r="BG120" s="518"/>
      <c r="BH120" s="518"/>
      <c r="BI120" s="518"/>
      <c r="BJ120" s="518"/>
      <c r="BK120" s="518"/>
      <c r="BL120" s="518"/>
      <c r="BM120" s="518"/>
      <c r="BN120" s="1187" t="s">
        <v>4304</v>
      </c>
      <c r="BO120" s="1276" t="s">
        <v>4355</v>
      </c>
      <c r="BP120" s="1057" t="s">
        <v>561</v>
      </c>
      <c r="BQ120" s="774" t="s">
        <v>4307</v>
      </c>
    </row>
    <row r="121" spans="1:69" s="53" customFormat="1" ht="14.4" x14ac:dyDescent="0.25">
      <c r="A121" s="1205"/>
      <c r="B121" s="969"/>
      <c r="C121" s="503" t="s">
        <v>460</v>
      </c>
      <c r="D121" s="502" t="s">
        <v>363</v>
      </c>
      <c r="E121" s="563" t="s">
        <v>149</v>
      </c>
      <c r="F121" s="549">
        <v>1</v>
      </c>
      <c r="G121" s="563" t="s">
        <v>149</v>
      </c>
      <c r="H121" s="563" t="s">
        <v>150</v>
      </c>
      <c r="I121" s="1172"/>
      <c r="J121" s="969"/>
      <c r="K121" s="1178"/>
      <c r="L121" s="1200"/>
      <c r="M121" s="969"/>
      <c r="N121" s="969"/>
      <c r="O121" s="969"/>
      <c r="P121" s="969"/>
      <c r="Q121" s="969"/>
      <c r="R121" s="969"/>
      <c r="S121" s="969"/>
      <c r="T121" s="969"/>
      <c r="U121" s="969"/>
      <c r="V121" s="969"/>
      <c r="W121" s="969"/>
      <c r="X121" s="969"/>
      <c r="Y121" s="969"/>
      <c r="Z121" s="969"/>
      <c r="AA121" s="969"/>
      <c r="AB121" s="969"/>
      <c r="AC121" s="969"/>
      <c r="AD121" s="969"/>
      <c r="AE121" s="969"/>
      <c r="AF121" s="969"/>
      <c r="AG121" s="969"/>
      <c r="AH121" s="969"/>
      <c r="AI121" s="969"/>
      <c r="AJ121" s="969"/>
      <c r="AK121" s="1167"/>
      <c r="AL121" s="1167"/>
      <c r="AM121" s="969"/>
      <c r="AN121" s="1167"/>
      <c r="AO121" s="969"/>
      <c r="AP121" s="1167"/>
      <c r="AQ121" s="969"/>
      <c r="AR121" s="1167"/>
      <c r="AS121" s="969"/>
      <c r="AT121" s="969"/>
      <c r="AU121" s="969"/>
      <c r="AV121" s="969"/>
      <c r="AW121" s="969"/>
      <c r="AX121" s="969"/>
      <c r="AY121" s="969"/>
      <c r="AZ121" s="969"/>
      <c r="BA121" s="1151"/>
      <c r="BB121" s="969"/>
      <c r="BC121" s="969"/>
      <c r="BD121" s="1234"/>
      <c r="BE121" s="1178"/>
      <c r="BF121" s="406"/>
      <c r="BG121" s="406"/>
      <c r="BH121" s="406"/>
      <c r="BI121" s="406"/>
      <c r="BJ121" s="406"/>
      <c r="BK121" s="406"/>
      <c r="BL121" s="406"/>
      <c r="BM121" s="406"/>
      <c r="BN121" s="777"/>
      <c r="BO121" s="1277"/>
      <c r="BP121" s="1271"/>
      <c r="BQ121" s="920"/>
    </row>
    <row r="122" spans="1:69" s="53" customFormat="1" ht="14.4" x14ac:dyDescent="0.25">
      <c r="A122" s="1205"/>
      <c r="B122" s="969"/>
      <c r="C122" s="503" t="s">
        <v>461</v>
      </c>
      <c r="D122" s="502" t="s">
        <v>363</v>
      </c>
      <c r="E122" s="563" t="s">
        <v>149</v>
      </c>
      <c r="F122" s="549">
        <v>1</v>
      </c>
      <c r="G122" s="563" t="s">
        <v>149</v>
      </c>
      <c r="H122" s="563" t="s">
        <v>150</v>
      </c>
      <c r="I122" s="1172"/>
      <c r="J122" s="969"/>
      <c r="K122" s="1178"/>
      <c r="L122" s="1200"/>
      <c r="M122" s="969"/>
      <c r="N122" s="969"/>
      <c r="O122" s="969"/>
      <c r="P122" s="969"/>
      <c r="Q122" s="969"/>
      <c r="R122" s="969"/>
      <c r="S122" s="969"/>
      <c r="T122" s="969"/>
      <c r="U122" s="969"/>
      <c r="V122" s="969"/>
      <c r="W122" s="969"/>
      <c r="X122" s="969"/>
      <c r="Y122" s="969"/>
      <c r="Z122" s="969"/>
      <c r="AA122" s="969"/>
      <c r="AB122" s="969"/>
      <c r="AC122" s="969"/>
      <c r="AD122" s="969"/>
      <c r="AE122" s="969"/>
      <c r="AF122" s="969"/>
      <c r="AG122" s="969"/>
      <c r="AH122" s="969"/>
      <c r="AI122" s="969"/>
      <c r="AJ122" s="969"/>
      <c r="AK122" s="1167"/>
      <c r="AL122" s="1167"/>
      <c r="AM122" s="969"/>
      <c r="AN122" s="1167"/>
      <c r="AO122" s="969"/>
      <c r="AP122" s="1167"/>
      <c r="AQ122" s="969"/>
      <c r="AR122" s="1167"/>
      <c r="AS122" s="969"/>
      <c r="AT122" s="969"/>
      <c r="AU122" s="969"/>
      <c r="AV122" s="969"/>
      <c r="AW122" s="969"/>
      <c r="AX122" s="969"/>
      <c r="AY122" s="969"/>
      <c r="AZ122" s="969"/>
      <c r="BA122" s="1151"/>
      <c r="BB122" s="969"/>
      <c r="BC122" s="969"/>
      <c r="BD122" s="1234"/>
      <c r="BE122" s="1178"/>
      <c r="BF122" s="406"/>
      <c r="BG122" s="406"/>
      <c r="BH122" s="406"/>
      <c r="BI122" s="406"/>
      <c r="BJ122" s="406"/>
      <c r="BK122" s="406"/>
      <c r="BL122" s="406"/>
      <c r="BM122" s="406"/>
      <c r="BN122" s="777"/>
      <c r="BO122" s="1277"/>
      <c r="BP122" s="1271"/>
      <c r="BQ122" s="920"/>
    </row>
    <row r="123" spans="1:69" s="53" customFormat="1" ht="14.4" x14ac:dyDescent="0.25">
      <c r="A123" s="1205"/>
      <c r="B123" s="969"/>
      <c r="C123" s="503" t="s">
        <v>462</v>
      </c>
      <c r="D123" s="502" t="s">
        <v>363</v>
      </c>
      <c r="E123" s="563" t="s">
        <v>149</v>
      </c>
      <c r="F123" s="549">
        <v>1</v>
      </c>
      <c r="G123" s="563" t="s">
        <v>149</v>
      </c>
      <c r="H123" s="563" t="s">
        <v>150</v>
      </c>
      <c r="I123" s="1172"/>
      <c r="J123" s="969"/>
      <c r="K123" s="1178"/>
      <c r="L123" s="1200"/>
      <c r="M123" s="969"/>
      <c r="N123" s="969"/>
      <c r="O123" s="969"/>
      <c r="P123" s="969"/>
      <c r="Q123" s="969"/>
      <c r="R123" s="969"/>
      <c r="S123" s="969"/>
      <c r="T123" s="969"/>
      <c r="U123" s="969"/>
      <c r="V123" s="969"/>
      <c r="W123" s="969"/>
      <c r="X123" s="969"/>
      <c r="Y123" s="969"/>
      <c r="Z123" s="969"/>
      <c r="AA123" s="969"/>
      <c r="AB123" s="969"/>
      <c r="AC123" s="969"/>
      <c r="AD123" s="969"/>
      <c r="AE123" s="969"/>
      <c r="AF123" s="969"/>
      <c r="AG123" s="969"/>
      <c r="AH123" s="969"/>
      <c r="AI123" s="969"/>
      <c r="AJ123" s="969"/>
      <c r="AK123" s="1167"/>
      <c r="AL123" s="1167"/>
      <c r="AM123" s="969"/>
      <c r="AN123" s="1167"/>
      <c r="AO123" s="969"/>
      <c r="AP123" s="1167"/>
      <c r="AQ123" s="969"/>
      <c r="AR123" s="1167"/>
      <c r="AS123" s="969"/>
      <c r="AT123" s="969"/>
      <c r="AU123" s="969"/>
      <c r="AV123" s="969"/>
      <c r="AW123" s="969"/>
      <c r="AX123" s="969"/>
      <c r="AY123" s="969"/>
      <c r="AZ123" s="969"/>
      <c r="BA123" s="1151"/>
      <c r="BB123" s="969"/>
      <c r="BC123" s="969"/>
      <c r="BD123" s="1234"/>
      <c r="BE123" s="1178"/>
      <c r="BF123" s="406"/>
      <c r="BG123" s="406"/>
      <c r="BH123" s="406"/>
      <c r="BI123" s="406"/>
      <c r="BJ123" s="406"/>
      <c r="BK123" s="406"/>
      <c r="BL123" s="406"/>
      <c r="BM123" s="406"/>
      <c r="BN123" s="777"/>
      <c r="BO123" s="1277"/>
      <c r="BP123" s="1271"/>
      <c r="BQ123" s="920"/>
    </row>
    <row r="124" spans="1:69" s="53" customFormat="1" ht="14.4" x14ac:dyDescent="0.25">
      <c r="A124" s="1205"/>
      <c r="B124" s="969"/>
      <c r="C124" s="503" t="s">
        <v>463</v>
      </c>
      <c r="D124" s="502" t="s">
        <v>363</v>
      </c>
      <c r="E124" s="563" t="s">
        <v>149</v>
      </c>
      <c r="F124" s="549">
        <v>1</v>
      </c>
      <c r="G124" s="563" t="s">
        <v>149</v>
      </c>
      <c r="H124" s="563" t="s">
        <v>150</v>
      </c>
      <c r="I124" s="1172"/>
      <c r="J124" s="969"/>
      <c r="K124" s="1178"/>
      <c r="L124" s="1200"/>
      <c r="M124" s="969"/>
      <c r="N124" s="969"/>
      <c r="O124" s="969"/>
      <c r="P124" s="969"/>
      <c r="Q124" s="969"/>
      <c r="R124" s="969"/>
      <c r="S124" s="969"/>
      <c r="T124" s="969"/>
      <c r="U124" s="969"/>
      <c r="V124" s="969"/>
      <c r="W124" s="969"/>
      <c r="X124" s="969"/>
      <c r="Y124" s="969"/>
      <c r="Z124" s="969"/>
      <c r="AA124" s="969"/>
      <c r="AB124" s="969"/>
      <c r="AC124" s="969"/>
      <c r="AD124" s="969"/>
      <c r="AE124" s="969"/>
      <c r="AF124" s="969"/>
      <c r="AG124" s="969"/>
      <c r="AH124" s="969"/>
      <c r="AI124" s="969"/>
      <c r="AJ124" s="969"/>
      <c r="AK124" s="1167"/>
      <c r="AL124" s="1167"/>
      <c r="AM124" s="969"/>
      <c r="AN124" s="1167"/>
      <c r="AO124" s="969"/>
      <c r="AP124" s="1167"/>
      <c r="AQ124" s="969"/>
      <c r="AR124" s="1167"/>
      <c r="AS124" s="969"/>
      <c r="AT124" s="969"/>
      <c r="AU124" s="969"/>
      <c r="AV124" s="969"/>
      <c r="AW124" s="969"/>
      <c r="AX124" s="969"/>
      <c r="AY124" s="969"/>
      <c r="AZ124" s="969"/>
      <c r="BA124" s="1151"/>
      <c r="BB124" s="969"/>
      <c r="BC124" s="969"/>
      <c r="BD124" s="1234"/>
      <c r="BE124" s="1178"/>
      <c r="BF124" s="406"/>
      <c r="BG124" s="406"/>
      <c r="BH124" s="406"/>
      <c r="BI124" s="406"/>
      <c r="BJ124" s="406"/>
      <c r="BK124" s="406"/>
      <c r="BL124" s="406"/>
      <c r="BM124" s="406"/>
      <c r="BN124" s="777"/>
      <c r="BO124" s="1277"/>
      <c r="BP124" s="1271"/>
      <c r="BQ124" s="920"/>
    </row>
    <row r="125" spans="1:69" s="53" customFormat="1" ht="14.4" x14ac:dyDescent="0.25">
      <c r="A125" s="1205"/>
      <c r="B125" s="969"/>
      <c r="C125" s="503" t="s">
        <v>464</v>
      </c>
      <c r="D125" s="502" t="s">
        <v>363</v>
      </c>
      <c r="E125" s="563" t="s">
        <v>149</v>
      </c>
      <c r="F125" s="549">
        <v>1</v>
      </c>
      <c r="G125" s="563" t="s">
        <v>149</v>
      </c>
      <c r="H125" s="563" t="s">
        <v>150</v>
      </c>
      <c r="I125" s="1172"/>
      <c r="J125" s="969"/>
      <c r="K125" s="1178"/>
      <c r="L125" s="1200"/>
      <c r="M125" s="969"/>
      <c r="N125" s="969"/>
      <c r="O125" s="969"/>
      <c r="P125" s="969"/>
      <c r="Q125" s="969"/>
      <c r="R125" s="969"/>
      <c r="S125" s="969"/>
      <c r="T125" s="969"/>
      <c r="U125" s="969"/>
      <c r="V125" s="969"/>
      <c r="W125" s="969"/>
      <c r="X125" s="969"/>
      <c r="Y125" s="969"/>
      <c r="Z125" s="969"/>
      <c r="AA125" s="969"/>
      <c r="AB125" s="969"/>
      <c r="AC125" s="969"/>
      <c r="AD125" s="969"/>
      <c r="AE125" s="969"/>
      <c r="AF125" s="969"/>
      <c r="AG125" s="969"/>
      <c r="AH125" s="969"/>
      <c r="AI125" s="969"/>
      <c r="AJ125" s="969"/>
      <c r="AK125" s="1167"/>
      <c r="AL125" s="1167"/>
      <c r="AM125" s="969"/>
      <c r="AN125" s="1167"/>
      <c r="AO125" s="969"/>
      <c r="AP125" s="1167"/>
      <c r="AQ125" s="969"/>
      <c r="AR125" s="1167"/>
      <c r="AS125" s="969"/>
      <c r="AT125" s="969"/>
      <c r="AU125" s="969"/>
      <c r="AV125" s="969"/>
      <c r="AW125" s="969"/>
      <c r="AX125" s="969"/>
      <c r="AY125" s="969"/>
      <c r="AZ125" s="969"/>
      <c r="BA125" s="1151"/>
      <c r="BB125" s="969"/>
      <c r="BC125" s="969"/>
      <c r="BD125" s="1234"/>
      <c r="BE125" s="1178"/>
      <c r="BF125" s="406"/>
      <c r="BG125" s="406"/>
      <c r="BH125" s="406"/>
      <c r="BI125" s="406"/>
      <c r="BJ125" s="406"/>
      <c r="BK125" s="406"/>
      <c r="BL125" s="406"/>
      <c r="BM125" s="406"/>
      <c r="BN125" s="777"/>
      <c r="BO125" s="1277"/>
      <c r="BP125" s="1271"/>
      <c r="BQ125" s="920"/>
    </row>
    <row r="126" spans="1:69" s="53" customFormat="1" ht="14.4" x14ac:dyDescent="0.25">
      <c r="A126" s="1206"/>
      <c r="B126" s="731"/>
      <c r="C126" s="347" t="s">
        <v>465</v>
      </c>
      <c r="D126" s="474" t="s">
        <v>363</v>
      </c>
      <c r="E126" s="563" t="s">
        <v>149</v>
      </c>
      <c r="F126" s="549">
        <v>1</v>
      </c>
      <c r="G126" s="563" t="s">
        <v>149</v>
      </c>
      <c r="H126" s="563" t="s">
        <v>150</v>
      </c>
      <c r="I126" s="1066"/>
      <c r="J126" s="731"/>
      <c r="K126" s="1179"/>
      <c r="L126" s="1200"/>
      <c r="M126" s="731"/>
      <c r="N126" s="731"/>
      <c r="O126" s="731"/>
      <c r="P126" s="731"/>
      <c r="Q126" s="731"/>
      <c r="R126" s="731"/>
      <c r="S126" s="731"/>
      <c r="T126" s="731"/>
      <c r="U126" s="731"/>
      <c r="V126" s="731"/>
      <c r="W126" s="731"/>
      <c r="X126" s="731"/>
      <c r="Y126" s="731"/>
      <c r="Z126" s="731"/>
      <c r="AA126" s="731"/>
      <c r="AB126" s="731"/>
      <c r="AC126" s="731"/>
      <c r="AD126" s="731"/>
      <c r="AE126" s="731"/>
      <c r="AF126" s="731"/>
      <c r="AG126" s="731"/>
      <c r="AH126" s="731"/>
      <c r="AI126" s="731"/>
      <c r="AJ126" s="731"/>
      <c r="AK126" s="1168"/>
      <c r="AL126" s="1168"/>
      <c r="AM126" s="731"/>
      <c r="AN126" s="1168"/>
      <c r="AO126" s="731"/>
      <c r="AP126" s="1168"/>
      <c r="AQ126" s="731"/>
      <c r="AR126" s="1168"/>
      <c r="AS126" s="731"/>
      <c r="AT126" s="731"/>
      <c r="AU126" s="731"/>
      <c r="AV126" s="731"/>
      <c r="AW126" s="731"/>
      <c r="AX126" s="731"/>
      <c r="AY126" s="731"/>
      <c r="AZ126" s="731"/>
      <c r="BA126" s="1152"/>
      <c r="BB126" s="731"/>
      <c r="BC126" s="731"/>
      <c r="BD126" s="1235"/>
      <c r="BE126" s="1179"/>
      <c r="BF126" s="477"/>
      <c r="BG126" s="477"/>
      <c r="BH126" s="477"/>
      <c r="BI126" s="477"/>
      <c r="BJ126" s="477"/>
      <c r="BK126" s="477"/>
      <c r="BL126" s="477"/>
      <c r="BM126" s="477"/>
      <c r="BN126" s="793"/>
      <c r="BO126" s="1278"/>
      <c r="BP126" s="1058"/>
      <c r="BQ126" s="1161"/>
    </row>
    <row r="127" spans="1:69" s="53" customFormat="1" ht="43.2" x14ac:dyDescent="0.25">
      <c r="A127" s="408" t="s">
        <v>469</v>
      </c>
      <c r="B127" s="508" t="s">
        <v>36</v>
      </c>
      <c r="C127" s="503" t="s">
        <v>466</v>
      </c>
      <c r="D127" s="502" t="s">
        <v>363</v>
      </c>
      <c r="E127" s="560" t="s">
        <v>149</v>
      </c>
      <c r="F127" s="539">
        <v>1</v>
      </c>
      <c r="G127" s="560" t="s">
        <v>149</v>
      </c>
      <c r="H127" s="502" t="s">
        <v>150</v>
      </c>
      <c r="I127" s="502" t="s">
        <v>421</v>
      </c>
      <c r="J127" s="502"/>
      <c r="K127" s="502" t="s">
        <v>151</v>
      </c>
      <c r="L127" s="539" t="s">
        <v>470</v>
      </c>
      <c r="M127" s="539" t="s">
        <v>423</v>
      </c>
      <c r="N127" s="559"/>
      <c r="O127" s="499" t="s">
        <v>154</v>
      </c>
      <c r="P127" s="499" t="s">
        <v>154</v>
      </c>
      <c r="Q127" s="499" t="s">
        <v>154</v>
      </c>
      <c r="R127" s="499" t="s">
        <v>154</v>
      </c>
      <c r="S127" s="499"/>
      <c r="T127" s="499"/>
      <c r="U127" s="499"/>
      <c r="V127" s="499"/>
      <c r="W127" s="499"/>
      <c r="X127" s="499"/>
      <c r="Y127" s="499"/>
      <c r="Z127" s="499"/>
      <c r="AA127" s="499"/>
      <c r="AB127" s="499"/>
      <c r="AC127" s="499"/>
      <c r="AD127" s="499"/>
      <c r="AE127" s="499"/>
      <c r="AF127" s="499"/>
      <c r="AG127" s="499"/>
      <c r="AH127" s="499"/>
      <c r="AI127" s="499"/>
      <c r="AJ127" s="499"/>
      <c r="AK127" s="390"/>
      <c r="AL127" s="390"/>
      <c r="AM127" s="499"/>
      <c r="AN127" s="390"/>
      <c r="AO127" s="499"/>
      <c r="AP127" s="390"/>
      <c r="AQ127" s="499"/>
      <c r="AR127" s="390"/>
      <c r="AS127" s="499"/>
      <c r="AT127" s="499"/>
      <c r="AU127" s="499"/>
      <c r="AV127" s="499"/>
      <c r="AW127" s="499" t="s">
        <v>341</v>
      </c>
      <c r="AX127" s="499"/>
      <c r="AY127" s="499"/>
      <c r="AZ127" s="499"/>
      <c r="BA127" s="401"/>
      <c r="BB127" s="499" t="s">
        <v>154</v>
      </c>
      <c r="BC127" s="499" t="s">
        <v>154</v>
      </c>
      <c r="BD127" s="402"/>
      <c r="BE127" s="502" t="s">
        <v>157</v>
      </c>
      <c r="BF127" s="502"/>
      <c r="BG127" s="502"/>
      <c r="BH127" s="502"/>
      <c r="BI127" s="502"/>
      <c r="BJ127" s="502"/>
      <c r="BK127" s="502"/>
      <c r="BL127" s="502"/>
      <c r="BM127" s="502"/>
      <c r="BN127" s="547" t="s">
        <v>471</v>
      </c>
      <c r="BO127" s="678" t="s">
        <v>4354</v>
      </c>
      <c r="BP127" s="679" t="s">
        <v>561</v>
      </c>
      <c r="BQ127" s="122" t="s">
        <v>472</v>
      </c>
    </row>
    <row r="128" spans="1:69" s="37" customFormat="1" ht="14.4" x14ac:dyDescent="0.25">
      <c r="A128" s="383" t="s">
        <v>473</v>
      </c>
      <c r="B128" s="493"/>
      <c r="C128" s="493"/>
      <c r="D128" s="495"/>
      <c r="E128" s="493"/>
      <c r="F128" s="493"/>
      <c r="G128" s="493"/>
      <c r="H128" s="493"/>
      <c r="I128" s="494"/>
      <c r="J128" s="493"/>
      <c r="K128" s="493"/>
      <c r="L128" s="493"/>
      <c r="M128" s="493"/>
      <c r="N128" s="495"/>
      <c r="O128" s="384"/>
      <c r="P128" s="384"/>
      <c r="Q128" s="384"/>
      <c r="R128" s="384"/>
      <c r="S128" s="384"/>
      <c r="T128" s="384"/>
      <c r="U128" s="384"/>
      <c r="V128" s="384"/>
      <c r="W128" s="384"/>
      <c r="X128" s="496"/>
      <c r="Y128" s="496"/>
      <c r="Z128" s="496"/>
      <c r="AA128" s="496"/>
      <c r="AB128" s="496"/>
      <c r="AC128" s="496"/>
      <c r="AD128" s="496" t="str">
        <f>IF(ISBLANK(AA128),"",AA128&amp;"*")</f>
        <v/>
      </c>
      <c r="AE128" s="496" t="str">
        <f>IF(ISBLANK(AA128),"",AA128)</f>
        <v/>
      </c>
      <c r="AF128" s="496" t="str">
        <f>IF(ISBLANK(AD128),"",AD128)</f>
        <v/>
      </c>
      <c r="AG128" s="496"/>
      <c r="AH128" s="496"/>
      <c r="AI128" s="496"/>
      <c r="AJ128" s="496"/>
      <c r="AK128" s="496" t="str">
        <f>LEFT(IF(ISBLANK(N128),"",N128&amp;"*")&amp;IF(ISBLANK(O128),"",O128&amp;"*")&amp;IF(ISBLANK(P128),"",P128&amp;"*")&amp;IF(ISBLANK(Q128),"",Q128&amp;"*"),2)</f>
        <v/>
      </c>
      <c r="AL128" s="384"/>
      <c r="AM128" s="496"/>
      <c r="AN128" s="384"/>
      <c r="AO128" s="496"/>
      <c r="AP128" s="384"/>
      <c r="AQ128" s="496"/>
      <c r="AR128" s="384"/>
      <c r="AS128" s="496"/>
      <c r="AT128" s="496"/>
      <c r="AU128" s="496"/>
      <c r="AV128" s="496"/>
      <c r="AW128" s="496"/>
      <c r="AX128" s="496"/>
      <c r="AY128" s="496"/>
      <c r="AZ128" s="496"/>
      <c r="BA128" s="496"/>
      <c r="BB128" s="496"/>
      <c r="BC128" s="496"/>
      <c r="BD128" s="496" t="str">
        <f>LEFT(IF(ISBLANK(O128),"",O128&amp;"*")&amp;IF(ISBLANK(P128),"",P128&amp;"*")&amp;IF(ISBLANK(Q128),"",Q128&amp;"*")&amp;IF(ISBLANK(R128),"",R128&amp;"*"),2)</f>
        <v/>
      </c>
      <c r="BE128" s="493"/>
      <c r="BF128" s="493"/>
      <c r="BG128" s="493"/>
      <c r="BH128" s="493"/>
      <c r="BI128" s="493"/>
      <c r="BJ128" s="493"/>
      <c r="BK128" s="493"/>
      <c r="BL128" s="493"/>
      <c r="BM128" s="493"/>
      <c r="BN128" s="497"/>
      <c r="BO128" s="313"/>
      <c r="BP128" s="251"/>
      <c r="BQ128" s="104"/>
    </row>
    <row r="129" spans="1:79" s="1" customFormat="1" ht="28.95" customHeight="1" x14ac:dyDescent="0.25">
      <c r="A129" s="1201" t="s">
        <v>474</v>
      </c>
      <c r="B129" s="1198" t="s">
        <v>9</v>
      </c>
      <c r="C129" s="503" t="s">
        <v>475</v>
      </c>
      <c r="D129" s="499" t="s">
        <v>193</v>
      </c>
      <c r="E129" s="560" t="s">
        <v>149</v>
      </c>
      <c r="F129" s="539" t="s">
        <v>476</v>
      </c>
      <c r="G129" s="560"/>
      <c r="H129" s="502" t="s">
        <v>477</v>
      </c>
      <c r="I129" s="502" t="s">
        <v>352</v>
      </c>
      <c r="J129" s="502"/>
      <c r="K129" s="1065" t="s">
        <v>478</v>
      </c>
      <c r="L129" s="719" t="s">
        <v>479</v>
      </c>
      <c r="M129" s="719" t="s">
        <v>480</v>
      </c>
      <c r="N129" s="714"/>
      <c r="O129" s="714" t="s">
        <v>154</v>
      </c>
      <c r="P129" s="714" t="s">
        <v>154</v>
      </c>
      <c r="Q129" s="714" t="s">
        <v>154</v>
      </c>
      <c r="R129" s="714" t="s">
        <v>154</v>
      </c>
      <c r="S129" s="714" t="s">
        <v>199</v>
      </c>
      <c r="T129" s="714" t="s">
        <v>199</v>
      </c>
      <c r="U129" s="714"/>
      <c r="V129" s="714"/>
      <c r="W129" s="714"/>
      <c r="X129" s="714"/>
      <c r="Y129" s="714"/>
      <c r="Z129" s="714" t="s">
        <v>154</v>
      </c>
      <c r="AA129" s="714" t="s">
        <v>155</v>
      </c>
      <c r="AB129" s="714" t="s">
        <v>155</v>
      </c>
      <c r="AC129" s="714" t="s">
        <v>155</v>
      </c>
      <c r="AD129" s="714" t="s">
        <v>155</v>
      </c>
      <c r="AE129" s="714" t="s">
        <v>155</v>
      </c>
      <c r="AF129" s="714" t="s">
        <v>155</v>
      </c>
      <c r="AG129" s="714" t="s">
        <v>155</v>
      </c>
      <c r="AH129" s="714" t="s">
        <v>155</v>
      </c>
      <c r="AI129" s="714"/>
      <c r="AJ129" s="714"/>
      <c r="AK129" s="714"/>
      <c r="AL129" s="810"/>
      <c r="AM129" s="714"/>
      <c r="AN129" s="810"/>
      <c r="AO129" s="714"/>
      <c r="AP129" s="810"/>
      <c r="AQ129" s="714"/>
      <c r="AR129" s="810"/>
      <c r="AS129" s="714"/>
      <c r="AT129" s="714"/>
      <c r="AU129" s="714"/>
      <c r="AV129" s="714"/>
      <c r="AW129" s="714"/>
      <c r="AX129" s="714"/>
      <c r="AY129" s="714"/>
      <c r="AZ129" s="714"/>
      <c r="BA129" s="908"/>
      <c r="BB129" s="754"/>
      <c r="BC129" s="754"/>
      <c r="BD129" s="754"/>
      <c r="BE129" s="1065" t="s">
        <v>481</v>
      </c>
      <c r="BF129" s="518"/>
      <c r="BG129" s="518"/>
      <c r="BH129" s="518"/>
      <c r="BI129" s="518"/>
      <c r="BJ129" s="518"/>
      <c r="BK129" s="518"/>
      <c r="BL129" s="518"/>
      <c r="BM129" s="518"/>
      <c r="BN129" s="1275" t="s">
        <v>4401</v>
      </c>
      <c r="BO129" s="1244" t="s">
        <v>4397</v>
      </c>
      <c r="BP129" s="1057" t="s">
        <v>561</v>
      </c>
      <c r="BQ129" s="774" t="s">
        <v>4398</v>
      </c>
    </row>
    <row r="130" spans="1:79" s="1" customFormat="1" ht="14.4" x14ac:dyDescent="0.25">
      <c r="A130" s="1202"/>
      <c r="B130" s="1199"/>
      <c r="C130" s="503" t="s">
        <v>482</v>
      </c>
      <c r="D130" s="499" t="s">
        <v>193</v>
      </c>
      <c r="E130" s="1106" t="s">
        <v>149</v>
      </c>
      <c r="F130" s="863" t="s">
        <v>4399</v>
      </c>
      <c r="G130" s="719"/>
      <c r="H130" s="1065" t="s">
        <v>477</v>
      </c>
      <c r="I130" s="719" t="s">
        <v>149</v>
      </c>
      <c r="J130" s="1065" t="s">
        <v>483</v>
      </c>
      <c r="K130" s="1172"/>
      <c r="L130" s="746"/>
      <c r="M130" s="746"/>
      <c r="N130" s="730"/>
      <c r="O130" s="730"/>
      <c r="P130" s="730"/>
      <c r="Q130" s="730"/>
      <c r="R130" s="730"/>
      <c r="S130" s="730"/>
      <c r="T130" s="730"/>
      <c r="U130" s="730"/>
      <c r="V130" s="730"/>
      <c r="W130" s="730"/>
      <c r="X130" s="730"/>
      <c r="Y130" s="730"/>
      <c r="Z130" s="730"/>
      <c r="AA130" s="730"/>
      <c r="AB130" s="730"/>
      <c r="AC130" s="730"/>
      <c r="AD130" s="730"/>
      <c r="AE130" s="730"/>
      <c r="AF130" s="730"/>
      <c r="AG130" s="730"/>
      <c r="AH130" s="730"/>
      <c r="AI130" s="730"/>
      <c r="AJ130" s="730"/>
      <c r="AK130" s="730"/>
      <c r="AL130" s="811"/>
      <c r="AM130" s="730"/>
      <c r="AN130" s="811"/>
      <c r="AO130" s="730"/>
      <c r="AP130" s="811"/>
      <c r="AQ130" s="730"/>
      <c r="AR130" s="811"/>
      <c r="AS130" s="730"/>
      <c r="AT130" s="730"/>
      <c r="AU130" s="730"/>
      <c r="AV130" s="730"/>
      <c r="AW130" s="730"/>
      <c r="AX130" s="730"/>
      <c r="AY130" s="730"/>
      <c r="AZ130" s="730"/>
      <c r="BA130" s="909"/>
      <c r="BB130" s="900"/>
      <c r="BC130" s="900"/>
      <c r="BD130" s="900"/>
      <c r="BE130" s="1172"/>
      <c r="BF130" s="561"/>
      <c r="BG130" s="561"/>
      <c r="BH130" s="561"/>
      <c r="BI130" s="561"/>
      <c r="BJ130" s="561"/>
      <c r="BK130" s="561"/>
      <c r="BL130" s="561"/>
      <c r="BM130" s="561"/>
      <c r="BN130" s="777"/>
      <c r="BO130" s="1270"/>
      <c r="BP130" s="1271"/>
      <c r="BQ130" s="775"/>
    </row>
    <row r="131" spans="1:79" s="1" customFormat="1" ht="14.4" x14ac:dyDescent="0.25">
      <c r="A131" s="1202"/>
      <c r="B131" s="1199"/>
      <c r="C131" s="503" t="s">
        <v>484</v>
      </c>
      <c r="D131" s="499" t="s">
        <v>193</v>
      </c>
      <c r="E131" s="1204"/>
      <c r="F131" s="864"/>
      <c r="G131" s="720"/>
      <c r="H131" s="1066"/>
      <c r="I131" s="720"/>
      <c r="J131" s="1172"/>
      <c r="K131" s="1172"/>
      <c r="L131" s="746"/>
      <c r="M131" s="746"/>
      <c r="N131" s="730"/>
      <c r="O131" s="730"/>
      <c r="P131" s="730"/>
      <c r="Q131" s="730"/>
      <c r="R131" s="730"/>
      <c r="S131" s="730"/>
      <c r="T131" s="730"/>
      <c r="U131" s="730"/>
      <c r="V131" s="730"/>
      <c r="W131" s="730"/>
      <c r="X131" s="730"/>
      <c r="Y131" s="730"/>
      <c r="Z131" s="730"/>
      <c r="AA131" s="730"/>
      <c r="AB131" s="730"/>
      <c r="AC131" s="730"/>
      <c r="AD131" s="730"/>
      <c r="AE131" s="730"/>
      <c r="AF131" s="730"/>
      <c r="AG131" s="730"/>
      <c r="AH131" s="730"/>
      <c r="AI131" s="730"/>
      <c r="AJ131" s="730"/>
      <c r="AK131" s="730"/>
      <c r="AL131" s="811"/>
      <c r="AM131" s="730"/>
      <c r="AN131" s="811"/>
      <c r="AO131" s="730"/>
      <c r="AP131" s="811"/>
      <c r="AQ131" s="730"/>
      <c r="AR131" s="811"/>
      <c r="AS131" s="730"/>
      <c r="AT131" s="730"/>
      <c r="AU131" s="730"/>
      <c r="AV131" s="730"/>
      <c r="AW131" s="730"/>
      <c r="AX131" s="730"/>
      <c r="AY131" s="730"/>
      <c r="AZ131" s="730"/>
      <c r="BA131" s="909"/>
      <c r="BB131" s="900"/>
      <c r="BC131" s="900"/>
      <c r="BD131" s="900"/>
      <c r="BE131" s="1172"/>
      <c r="BF131" s="561"/>
      <c r="BG131" s="561"/>
      <c r="BH131" s="561"/>
      <c r="BI131" s="561"/>
      <c r="BJ131" s="561"/>
      <c r="BK131" s="561"/>
      <c r="BL131" s="561"/>
      <c r="BM131" s="561"/>
      <c r="BN131" s="777"/>
      <c r="BO131" s="1270"/>
      <c r="BP131" s="1271"/>
      <c r="BQ131" s="775"/>
    </row>
    <row r="132" spans="1:79" s="1" customFormat="1" ht="14.4" x14ac:dyDescent="0.25">
      <c r="A132" s="1202"/>
      <c r="B132" s="1199"/>
      <c r="C132" s="503" t="s">
        <v>482</v>
      </c>
      <c r="D132" s="499" t="s">
        <v>193</v>
      </c>
      <c r="E132" s="1106" t="s">
        <v>149</v>
      </c>
      <c r="F132" s="863" t="s">
        <v>4400</v>
      </c>
      <c r="G132" s="719"/>
      <c r="H132" s="1065" t="s">
        <v>477</v>
      </c>
      <c r="I132" s="1065" t="s">
        <v>149</v>
      </c>
      <c r="J132" s="1172"/>
      <c r="K132" s="1172"/>
      <c r="L132" s="746"/>
      <c r="M132" s="746"/>
      <c r="N132" s="730"/>
      <c r="O132" s="730"/>
      <c r="P132" s="730"/>
      <c r="Q132" s="730"/>
      <c r="R132" s="730"/>
      <c r="S132" s="730"/>
      <c r="T132" s="730"/>
      <c r="U132" s="730"/>
      <c r="V132" s="730"/>
      <c r="W132" s="730"/>
      <c r="X132" s="730"/>
      <c r="Y132" s="730"/>
      <c r="Z132" s="730"/>
      <c r="AA132" s="730"/>
      <c r="AB132" s="730"/>
      <c r="AC132" s="730"/>
      <c r="AD132" s="730"/>
      <c r="AE132" s="730"/>
      <c r="AF132" s="730"/>
      <c r="AG132" s="730"/>
      <c r="AH132" s="730"/>
      <c r="AI132" s="730"/>
      <c r="AJ132" s="730"/>
      <c r="AK132" s="730"/>
      <c r="AL132" s="811"/>
      <c r="AM132" s="730"/>
      <c r="AN132" s="811"/>
      <c r="AO132" s="730"/>
      <c r="AP132" s="811"/>
      <c r="AQ132" s="730"/>
      <c r="AR132" s="811"/>
      <c r="AS132" s="730"/>
      <c r="AT132" s="730"/>
      <c r="AU132" s="730"/>
      <c r="AV132" s="730"/>
      <c r="AW132" s="730"/>
      <c r="AX132" s="730"/>
      <c r="AY132" s="730"/>
      <c r="AZ132" s="730"/>
      <c r="BA132" s="909"/>
      <c r="BB132" s="900"/>
      <c r="BC132" s="900"/>
      <c r="BD132" s="900"/>
      <c r="BE132" s="1172"/>
      <c r="BF132" s="561"/>
      <c r="BG132" s="561"/>
      <c r="BH132" s="561"/>
      <c r="BI132" s="561"/>
      <c r="BJ132" s="561"/>
      <c r="BK132" s="561"/>
      <c r="BL132" s="561"/>
      <c r="BM132" s="561"/>
      <c r="BN132" s="777"/>
      <c r="BO132" s="1270"/>
      <c r="BP132" s="1271"/>
      <c r="BQ132" s="775"/>
    </row>
    <row r="133" spans="1:79" s="1" customFormat="1" ht="14.4" x14ac:dyDescent="0.25">
      <c r="A133" s="1203"/>
      <c r="B133" s="1123"/>
      <c r="C133" s="503" t="s">
        <v>484</v>
      </c>
      <c r="D133" s="499" t="s">
        <v>193</v>
      </c>
      <c r="E133" s="1204"/>
      <c r="F133" s="864"/>
      <c r="G133" s="720"/>
      <c r="H133" s="1066"/>
      <c r="I133" s="1066"/>
      <c r="J133" s="1104"/>
      <c r="K133" s="1104"/>
      <c r="L133" s="1195"/>
      <c r="M133" s="1195"/>
      <c r="N133" s="818"/>
      <c r="O133" s="818"/>
      <c r="P133" s="818"/>
      <c r="Q133" s="818"/>
      <c r="R133" s="818"/>
      <c r="S133" s="818"/>
      <c r="T133" s="818"/>
      <c r="U133" s="818"/>
      <c r="V133" s="818"/>
      <c r="W133" s="818"/>
      <c r="X133" s="818"/>
      <c r="Y133" s="818"/>
      <c r="Z133" s="818"/>
      <c r="AA133" s="818"/>
      <c r="AB133" s="818"/>
      <c r="AC133" s="818"/>
      <c r="AD133" s="818"/>
      <c r="AE133" s="818"/>
      <c r="AF133" s="818"/>
      <c r="AG133" s="818"/>
      <c r="AH133" s="818"/>
      <c r="AI133" s="818"/>
      <c r="AJ133" s="818"/>
      <c r="AK133" s="818"/>
      <c r="AL133" s="1162"/>
      <c r="AM133" s="818"/>
      <c r="AN133" s="1162"/>
      <c r="AO133" s="818"/>
      <c r="AP133" s="1162"/>
      <c r="AQ133" s="818"/>
      <c r="AR133" s="1162"/>
      <c r="AS133" s="818"/>
      <c r="AT133" s="818"/>
      <c r="AU133" s="818"/>
      <c r="AV133" s="818"/>
      <c r="AW133" s="818"/>
      <c r="AX133" s="818"/>
      <c r="AY133" s="818"/>
      <c r="AZ133" s="818"/>
      <c r="BA133" s="1153"/>
      <c r="BB133" s="1117"/>
      <c r="BC133" s="1117"/>
      <c r="BD133" s="1117"/>
      <c r="BE133" s="1104"/>
      <c r="BF133" s="561"/>
      <c r="BG133" s="561"/>
      <c r="BH133" s="561"/>
      <c r="BI133" s="561"/>
      <c r="BJ133" s="561"/>
      <c r="BK133" s="561"/>
      <c r="BL133" s="561"/>
      <c r="BM133" s="561"/>
      <c r="BN133" s="777"/>
      <c r="BO133" s="1245"/>
      <c r="BP133" s="1058"/>
      <c r="BQ133" s="775"/>
    </row>
    <row r="134" spans="1:79" s="1" customFormat="1" ht="28.95" customHeight="1" x14ac:dyDescent="0.25">
      <c r="A134" s="1201" t="s">
        <v>485</v>
      </c>
      <c r="B134" s="1198" t="s">
        <v>9</v>
      </c>
      <c r="C134" s="503" t="s">
        <v>486</v>
      </c>
      <c r="D134" s="499" t="s">
        <v>193</v>
      </c>
      <c r="E134" s="560" t="s">
        <v>149</v>
      </c>
      <c r="F134" s="539" t="s">
        <v>476</v>
      </c>
      <c r="G134" s="560"/>
      <c r="H134" s="502" t="s">
        <v>477</v>
      </c>
      <c r="I134" s="502" t="s">
        <v>352</v>
      </c>
      <c r="J134" s="520"/>
      <c r="K134" s="1172" t="s">
        <v>478</v>
      </c>
      <c r="L134" s="746" t="s">
        <v>487</v>
      </c>
      <c r="M134" s="746" t="s">
        <v>480</v>
      </c>
      <c r="N134" s="730"/>
      <c r="O134" s="730" t="s">
        <v>154</v>
      </c>
      <c r="P134" s="730" t="s">
        <v>154</v>
      </c>
      <c r="Q134" s="730" t="s">
        <v>154</v>
      </c>
      <c r="R134" s="730" t="s">
        <v>154</v>
      </c>
      <c r="S134" s="730"/>
      <c r="T134" s="730"/>
      <c r="U134" s="730" t="s">
        <v>199</v>
      </c>
      <c r="V134" s="730" t="s">
        <v>199</v>
      </c>
      <c r="W134" s="730"/>
      <c r="X134" s="730"/>
      <c r="Y134" s="730"/>
      <c r="Z134" s="730" t="s">
        <v>154</v>
      </c>
      <c r="AA134" s="730" t="s">
        <v>155</v>
      </c>
      <c r="AB134" s="730" t="s">
        <v>155</v>
      </c>
      <c r="AC134" s="730" t="s">
        <v>155</v>
      </c>
      <c r="AD134" s="730" t="s">
        <v>155</v>
      </c>
      <c r="AE134" s="730" t="s">
        <v>155</v>
      </c>
      <c r="AF134" s="730" t="s">
        <v>155</v>
      </c>
      <c r="AG134" s="730" t="s">
        <v>155</v>
      </c>
      <c r="AH134" s="730" t="s">
        <v>155</v>
      </c>
      <c r="AI134" s="730"/>
      <c r="AJ134" s="730"/>
      <c r="AK134" s="730"/>
      <c r="AL134" s="811"/>
      <c r="AM134" s="730"/>
      <c r="AN134" s="811"/>
      <c r="AO134" s="730"/>
      <c r="AP134" s="811"/>
      <c r="AQ134" s="730"/>
      <c r="AR134" s="811"/>
      <c r="AS134" s="730"/>
      <c r="AT134" s="730"/>
      <c r="AU134" s="730"/>
      <c r="AV134" s="730"/>
      <c r="AW134" s="730"/>
      <c r="AX134" s="730"/>
      <c r="AY134" s="730"/>
      <c r="AZ134" s="730"/>
      <c r="BA134" s="909"/>
      <c r="BB134" s="900"/>
      <c r="BC134" s="900"/>
      <c r="BD134" s="900"/>
      <c r="BE134" s="1172" t="s">
        <v>481</v>
      </c>
      <c r="BF134" s="561"/>
      <c r="BG134" s="561"/>
      <c r="BH134" s="561"/>
      <c r="BI134" s="561"/>
      <c r="BJ134" s="561"/>
      <c r="BK134" s="561"/>
      <c r="BL134" s="561"/>
      <c r="BM134" s="561"/>
      <c r="BN134" s="777"/>
      <c r="BO134" s="1244" t="s">
        <v>4397</v>
      </c>
      <c r="BP134" s="1057" t="s">
        <v>561</v>
      </c>
      <c r="BQ134" s="775"/>
    </row>
    <row r="135" spans="1:79" s="1" customFormat="1" ht="14.4" customHeight="1" x14ac:dyDescent="0.25">
      <c r="A135" s="1202"/>
      <c r="B135" s="1199"/>
      <c r="C135" s="503" t="s">
        <v>488</v>
      </c>
      <c r="D135" s="499" t="s">
        <v>193</v>
      </c>
      <c r="E135" s="1106" t="s">
        <v>149</v>
      </c>
      <c r="F135" s="863" t="s">
        <v>4399</v>
      </c>
      <c r="G135" s="719"/>
      <c r="H135" s="1065" t="s">
        <v>477</v>
      </c>
      <c r="I135" s="719" t="s">
        <v>149</v>
      </c>
      <c r="J135" s="1065" t="s">
        <v>483</v>
      </c>
      <c r="K135" s="1172"/>
      <c r="L135" s="746"/>
      <c r="M135" s="746"/>
      <c r="N135" s="730"/>
      <c r="O135" s="730"/>
      <c r="P135" s="730"/>
      <c r="Q135" s="730"/>
      <c r="R135" s="730"/>
      <c r="S135" s="730"/>
      <c r="T135" s="730"/>
      <c r="U135" s="730"/>
      <c r="V135" s="730"/>
      <c r="W135" s="730"/>
      <c r="X135" s="730"/>
      <c r="Y135" s="730"/>
      <c r="Z135" s="730"/>
      <c r="AA135" s="730"/>
      <c r="AB135" s="730"/>
      <c r="AC135" s="730"/>
      <c r="AD135" s="730"/>
      <c r="AE135" s="730"/>
      <c r="AF135" s="730"/>
      <c r="AG135" s="730"/>
      <c r="AH135" s="730"/>
      <c r="AI135" s="730"/>
      <c r="AJ135" s="730"/>
      <c r="AK135" s="730"/>
      <c r="AL135" s="811"/>
      <c r="AM135" s="730"/>
      <c r="AN135" s="811"/>
      <c r="AO135" s="730"/>
      <c r="AP135" s="811"/>
      <c r="AQ135" s="730"/>
      <c r="AR135" s="811"/>
      <c r="AS135" s="730"/>
      <c r="AT135" s="730"/>
      <c r="AU135" s="730"/>
      <c r="AV135" s="730"/>
      <c r="AW135" s="730"/>
      <c r="AX135" s="730"/>
      <c r="AY135" s="730"/>
      <c r="AZ135" s="730"/>
      <c r="BA135" s="909"/>
      <c r="BB135" s="900"/>
      <c r="BC135" s="900"/>
      <c r="BD135" s="900"/>
      <c r="BE135" s="1172"/>
      <c r="BF135" s="561"/>
      <c r="BG135" s="561"/>
      <c r="BH135" s="561"/>
      <c r="BI135" s="561"/>
      <c r="BJ135" s="561"/>
      <c r="BK135" s="561"/>
      <c r="BL135" s="561"/>
      <c r="BM135" s="561"/>
      <c r="BN135" s="777"/>
      <c r="BO135" s="1270"/>
      <c r="BP135" s="1271"/>
      <c r="BQ135" s="775"/>
    </row>
    <row r="136" spans="1:79" s="1" customFormat="1" ht="14.4" customHeight="1" x14ac:dyDescent="0.25">
      <c r="A136" s="1202"/>
      <c r="B136" s="1199"/>
      <c r="C136" s="503" t="s">
        <v>489</v>
      </c>
      <c r="D136" s="499" t="s">
        <v>193</v>
      </c>
      <c r="E136" s="1204"/>
      <c r="F136" s="864"/>
      <c r="G136" s="720"/>
      <c r="H136" s="1066"/>
      <c r="I136" s="720"/>
      <c r="J136" s="1172"/>
      <c r="K136" s="1172"/>
      <c r="L136" s="746"/>
      <c r="M136" s="746"/>
      <c r="N136" s="730"/>
      <c r="O136" s="730"/>
      <c r="P136" s="730"/>
      <c r="Q136" s="730"/>
      <c r="R136" s="730"/>
      <c r="S136" s="730"/>
      <c r="T136" s="730"/>
      <c r="U136" s="730"/>
      <c r="V136" s="730"/>
      <c r="W136" s="730"/>
      <c r="X136" s="730"/>
      <c r="Y136" s="730"/>
      <c r="Z136" s="730"/>
      <c r="AA136" s="730"/>
      <c r="AB136" s="730"/>
      <c r="AC136" s="730"/>
      <c r="AD136" s="730"/>
      <c r="AE136" s="730"/>
      <c r="AF136" s="730"/>
      <c r="AG136" s="730"/>
      <c r="AH136" s="730"/>
      <c r="AI136" s="730"/>
      <c r="AJ136" s="730"/>
      <c r="AK136" s="730"/>
      <c r="AL136" s="811"/>
      <c r="AM136" s="730"/>
      <c r="AN136" s="811"/>
      <c r="AO136" s="730"/>
      <c r="AP136" s="811"/>
      <c r="AQ136" s="730"/>
      <c r="AR136" s="811"/>
      <c r="AS136" s="730"/>
      <c r="AT136" s="730"/>
      <c r="AU136" s="730"/>
      <c r="AV136" s="730"/>
      <c r="AW136" s="730"/>
      <c r="AX136" s="730"/>
      <c r="AY136" s="730"/>
      <c r="AZ136" s="730"/>
      <c r="BA136" s="909"/>
      <c r="BB136" s="900"/>
      <c r="BC136" s="900"/>
      <c r="BD136" s="900"/>
      <c r="BE136" s="1172"/>
      <c r="BF136" s="561"/>
      <c r="BG136" s="561"/>
      <c r="BH136" s="561"/>
      <c r="BI136" s="561"/>
      <c r="BJ136" s="561"/>
      <c r="BK136" s="561"/>
      <c r="BL136" s="561"/>
      <c r="BM136" s="561"/>
      <c r="BN136" s="777"/>
      <c r="BO136" s="1270"/>
      <c r="BP136" s="1271"/>
      <c r="BQ136" s="775"/>
    </row>
    <row r="137" spans="1:79" s="1" customFormat="1" ht="14.4" customHeight="1" x14ac:dyDescent="0.25">
      <c r="A137" s="1202"/>
      <c r="B137" s="1199"/>
      <c r="C137" s="503" t="s">
        <v>488</v>
      </c>
      <c r="D137" s="499" t="s">
        <v>193</v>
      </c>
      <c r="E137" s="1106" t="s">
        <v>149</v>
      </c>
      <c r="F137" s="863" t="s">
        <v>4400</v>
      </c>
      <c r="G137" s="719"/>
      <c r="H137" s="1065" t="s">
        <v>477</v>
      </c>
      <c r="I137" s="1065" t="s">
        <v>149</v>
      </c>
      <c r="J137" s="1172"/>
      <c r="K137" s="1172"/>
      <c r="L137" s="746"/>
      <c r="M137" s="746"/>
      <c r="N137" s="730"/>
      <c r="O137" s="730"/>
      <c r="P137" s="730"/>
      <c r="Q137" s="730"/>
      <c r="R137" s="730"/>
      <c r="S137" s="730"/>
      <c r="T137" s="730"/>
      <c r="U137" s="730"/>
      <c r="V137" s="730"/>
      <c r="W137" s="730"/>
      <c r="X137" s="730"/>
      <c r="Y137" s="730"/>
      <c r="Z137" s="730"/>
      <c r="AA137" s="730"/>
      <c r="AB137" s="730"/>
      <c r="AC137" s="730"/>
      <c r="AD137" s="730"/>
      <c r="AE137" s="730"/>
      <c r="AF137" s="730"/>
      <c r="AG137" s="730"/>
      <c r="AH137" s="730"/>
      <c r="AI137" s="730"/>
      <c r="AJ137" s="730"/>
      <c r="AK137" s="730"/>
      <c r="AL137" s="811"/>
      <c r="AM137" s="730"/>
      <c r="AN137" s="811"/>
      <c r="AO137" s="730"/>
      <c r="AP137" s="811"/>
      <c r="AQ137" s="730"/>
      <c r="AR137" s="811"/>
      <c r="AS137" s="730"/>
      <c r="AT137" s="730"/>
      <c r="AU137" s="730"/>
      <c r="AV137" s="730"/>
      <c r="AW137" s="730"/>
      <c r="AX137" s="730"/>
      <c r="AY137" s="730"/>
      <c r="AZ137" s="730"/>
      <c r="BA137" s="909"/>
      <c r="BB137" s="900"/>
      <c r="BC137" s="900"/>
      <c r="BD137" s="900"/>
      <c r="BE137" s="1172"/>
      <c r="BF137" s="561"/>
      <c r="BG137" s="561"/>
      <c r="BH137" s="561"/>
      <c r="BI137" s="561"/>
      <c r="BJ137" s="561"/>
      <c r="BK137" s="561"/>
      <c r="BL137" s="561"/>
      <c r="BM137" s="561"/>
      <c r="BN137" s="777"/>
      <c r="BO137" s="1270"/>
      <c r="BP137" s="1271"/>
      <c r="BQ137" s="775"/>
    </row>
    <row r="138" spans="1:79" s="1" customFormat="1" ht="14.4" customHeight="1" x14ac:dyDescent="0.25">
      <c r="A138" s="1203"/>
      <c r="B138" s="1123"/>
      <c r="C138" s="503" t="s">
        <v>489</v>
      </c>
      <c r="D138" s="499" t="s">
        <v>193</v>
      </c>
      <c r="E138" s="1204"/>
      <c r="F138" s="864"/>
      <c r="G138" s="720"/>
      <c r="H138" s="1066"/>
      <c r="I138" s="1066"/>
      <c r="J138" s="1066"/>
      <c r="K138" s="1066"/>
      <c r="L138" s="720"/>
      <c r="M138" s="720"/>
      <c r="N138" s="715"/>
      <c r="O138" s="715"/>
      <c r="P138" s="715"/>
      <c r="Q138" s="715"/>
      <c r="R138" s="715"/>
      <c r="S138" s="715"/>
      <c r="T138" s="715"/>
      <c r="U138" s="715"/>
      <c r="V138" s="715"/>
      <c r="W138" s="715"/>
      <c r="X138" s="715"/>
      <c r="Y138" s="715"/>
      <c r="Z138" s="715"/>
      <c r="AA138" s="715"/>
      <c r="AB138" s="715"/>
      <c r="AC138" s="715"/>
      <c r="AD138" s="715"/>
      <c r="AE138" s="715"/>
      <c r="AF138" s="715"/>
      <c r="AG138" s="715"/>
      <c r="AH138" s="715"/>
      <c r="AI138" s="715"/>
      <c r="AJ138" s="715"/>
      <c r="AK138" s="715"/>
      <c r="AL138" s="812"/>
      <c r="AM138" s="715"/>
      <c r="AN138" s="812"/>
      <c r="AO138" s="715"/>
      <c r="AP138" s="812"/>
      <c r="AQ138" s="715"/>
      <c r="AR138" s="812"/>
      <c r="AS138" s="715"/>
      <c r="AT138" s="715"/>
      <c r="AU138" s="715"/>
      <c r="AV138" s="715"/>
      <c r="AW138" s="715"/>
      <c r="AX138" s="715"/>
      <c r="AY138" s="715"/>
      <c r="AZ138" s="715"/>
      <c r="BA138" s="756"/>
      <c r="BB138" s="755"/>
      <c r="BC138" s="755"/>
      <c r="BD138" s="755"/>
      <c r="BE138" s="1066"/>
      <c r="BF138" s="520"/>
      <c r="BG138" s="520"/>
      <c r="BH138" s="520"/>
      <c r="BI138" s="520"/>
      <c r="BJ138" s="520"/>
      <c r="BK138" s="520"/>
      <c r="BL138" s="520"/>
      <c r="BM138" s="520"/>
      <c r="BN138" s="793"/>
      <c r="BO138" s="1245"/>
      <c r="BP138" s="1058"/>
      <c r="BQ138" s="813"/>
    </row>
    <row r="139" spans="1:79" ht="15.6" customHeight="1" x14ac:dyDescent="0.25">
      <c r="A139" s="1124" t="s">
        <v>490</v>
      </c>
      <c r="B139" s="970" t="s">
        <v>9</v>
      </c>
      <c r="C139" s="503" t="s">
        <v>491</v>
      </c>
      <c r="D139" s="407" t="s">
        <v>363</v>
      </c>
      <c r="E139" s="409" t="s">
        <v>149</v>
      </c>
      <c r="F139" s="407">
        <v>1</v>
      </c>
      <c r="G139" s="409" t="s">
        <v>149</v>
      </c>
      <c r="H139" s="503" t="s">
        <v>150</v>
      </c>
      <c r="I139" s="539" t="s">
        <v>149</v>
      </c>
      <c r="J139" s="719" t="s">
        <v>483</v>
      </c>
      <c r="K139" s="719" t="s">
        <v>478</v>
      </c>
      <c r="L139" s="712" t="s">
        <v>492</v>
      </c>
      <c r="M139" s="283" t="s">
        <v>493</v>
      </c>
      <c r="N139" s="1094"/>
      <c r="O139" s="1094"/>
      <c r="P139" s="1094"/>
      <c r="Q139" s="1094"/>
      <c r="R139" s="1094"/>
      <c r="S139" s="733" t="s">
        <v>154</v>
      </c>
      <c r="T139" s="1094"/>
      <c r="U139" s="1094"/>
      <c r="V139" s="1094"/>
      <c r="W139" s="1094"/>
      <c r="X139" s="1094"/>
      <c r="Y139" s="1094"/>
      <c r="Z139" s="1094"/>
      <c r="AA139" s="1094"/>
      <c r="AB139" s="1094"/>
      <c r="AC139" s="1094"/>
      <c r="AD139" s="1094"/>
      <c r="AE139" s="1094"/>
      <c r="AF139" s="1094"/>
      <c r="AG139" s="1094"/>
      <c r="AH139" s="1094"/>
      <c r="AI139" s="1094"/>
      <c r="AJ139" s="1094"/>
      <c r="AK139" s="1094"/>
      <c r="AL139" s="1094"/>
      <c r="AM139" s="1094"/>
      <c r="AN139" s="1094"/>
      <c r="AO139" s="1094"/>
      <c r="AP139" s="1094"/>
      <c r="AQ139" s="1094"/>
      <c r="AR139" s="1094"/>
      <c r="AS139" s="1094"/>
      <c r="AT139" s="1094"/>
      <c r="AU139" s="1094"/>
      <c r="AV139" s="1094"/>
      <c r="AW139" s="1094"/>
      <c r="AX139" s="1094"/>
      <c r="AY139" s="1094"/>
      <c r="AZ139" s="1094"/>
      <c r="BA139" s="908"/>
      <c r="BB139" s="754"/>
      <c r="BC139" s="754"/>
      <c r="BD139" s="754"/>
      <c r="BE139" s="863" t="s">
        <v>481</v>
      </c>
      <c r="BF139" s="549"/>
      <c r="BG139" s="549"/>
      <c r="BH139" s="549"/>
      <c r="BI139" s="549"/>
      <c r="BJ139" s="549"/>
      <c r="BK139" s="549"/>
      <c r="BL139" s="549"/>
      <c r="BM139" s="549"/>
      <c r="BN139" s="1257" t="s">
        <v>4308</v>
      </c>
      <c r="BO139" s="1259" t="s">
        <v>4355</v>
      </c>
      <c r="BP139" s="1268" t="s">
        <v>561</v>
      </c>
      <c r="BQ139" s="1253" t="s">
        <v>4309</v>
      </c>
      <c r="BR139" s="1223"/>
      <c r="BS139" s="1223"/>
      <c r="BT139" s="1223"/>
      <c r="BU139" s="1223"/>
      <c r="BV139" s="1223"/>
      <c r="BW139" s="1223"/>
      <c r="BX139" s="1223"/>
      <c r="BY139" s="1223"/>
      <c r="BZ139" s="1223"/>
      <c r="CA139" s="1223"/>
    </row>
    <row r="140" spans="1:79" ht="16.95" customHeight="1" x14ac:dyDescent="0.25">
      <c r="A140" s="1252"/>
      <c r="B140" s="971"/>
      <c r="C140" s="503" t="s">
        <v>482</v>
      </c>
      <c r="D140" s="499" t="s">
        <v>193</v>
      </c>
      <c r="E140" s="409" t="s">
        <v>149</v>
      </c>
      <c r="F140" s="407" t="s">
        <v>494</v>
      </c>
      <c r="G140" s="409" t="s">
        <v>149</v>
      </c>
      <c r="H140" s="503" t="s">
        <v>477</v>
      </c>
      <c r="I140" s="539" t="s">
        <v>149</v>
      </c>
      <c r="J140" s="720"/>
      <c r="K140" s="746"/>
      <c r="L140" s="721"/>
      <c r="M140" s="283" t="s">
        <v>495</v>
      </c>
      <c r="N140" s="969"/>
      <c r="O140" s="969"/>
      <c r="P140" s="969"/>
      <c r="Q140" s="969"/>
      <c r="R140" s="969"/>
      <c r="S140" s="733"/>
      <c r="T140" s="969"/>
      <c r="U140" s="969"/>
      <c r="V140" s="969"/>
      <c r="W140" s="969"/>
      <c r="X140" s="969"/>
      <c r="Y140" s="969"/>
      <c r="Z140" s="969"/>
      <c r="AA140" s="969"/>
      <c r="AB140" s="969"/>
      <c r="AC140" s="969"/>
      <c r="AD140" s="969"/>
      <c r="AE140" s="969"/>
      <c r="AF140" s="969"/>
      <c r="AG140" s="969"/>
      <c r="AH140" s="969"/>
      <c r="AI140" s="969"/>
      <c r="AJ140" s="969"/>
      <c r="AK140" s="969"/>
      <c r="AL140" s="969"/>
      <c r="AM140" s="969"/>
      <c r="AN140" s="969"/>
      <c r="AO140" s="969"/>
      <c r="AP140" s="969"/>
      <c r="AQ140" s="969"/>
      <c r="AR140" s="969"/>
      <c r="AS140" s="969"/>
      <c r="AT140" s="969"/>
      <c r="AU140" s="969"/>
      <c r="AV140" s="969"/>
      <c r="AW140" s="969"/>
      <c r="AX140" s="969"/>
      <c r="AY140" s="969"/>
      <c r="AZ140" s="969"/>
      <c r="BA140" s="909"/>
      <c r="BB140" s="900"/>
      <c r="BC140" s="900"/>
      <c r="BD140" s="900"/>
      <c r="BE140" s="1287"/>
      <c r="BF140" s="552"/>
      <c r="BG140" s="552"/>
      <c r="BH140" s="552"/>
      <c r="BI140" s="552"/>
      <c r="BJ140" s="552"/>
      <c r="BK140" s="552"/>
      <c r="BL140" s="552"/>
      <c r="BM140" s="552"/>
      <c r="BN140" s="1258"/>
      <c r="BO140" s="1260"/>
      <c r="BP140" s="1269"/>
      <c r="BQ140" s="1254"/>
      <c r="BR140" s="729"/>
      <c r="BS140" s="729"/>
      <c r="BT140" s="729"/>
      <c r="BU140" s="729"/>
      <c r="BV140" s="729"/>
      <c r="BW140" s="729"/>
      <c r="BX140" s="729"/>
      <c r="BY140" s="729"/>
      <c r="BZ140" s="729"/>
      <c r="CA140" s="729"/>
    </row>
    <row r="141" spans="1:79" ht="14.4" customHeight="1" x14ac:dyDescent="0.25">
      <c r="A141" s="1125"/>
      <c r="B141" s="972"/>
      <c r="C141" s="503" t="s">
        <v>491</v>
      </c>
      <c r="D141" s="407" t="s">
        <v>496</v>
      </c>
      <c r="E141" s="409" t="s">
        <v>149</v>
      </c>
      <c r="F141" s="407">
        <v>0</v>
      </c>
      <c r="G141" s="409" t="s">
        <v>149</v>
      </c>
      <c r="H141" s="503" t="s">
        <v>150</v>
      </c>
      <c r="I141" s="555" t="s">
        <v>497</v>
      </c>
      <c r="J141" s="539"/>
      <c r="K141" s="720"/>
      <c r="L141" s="713"/>
      <c r="M141" s="283" t="s">
        <v>498</v>
      </c>
      <c r="N141" s="731"/>
      <c r="O141" s="731"/>
      <c r="P141" s="731"/>
      <c r="Q141" s="731"/>
      <c r="R141" s="731"/>
      <c r="S141" s="733"/>
      <c r="T141" s="731"/>
      <c r="U141" s="731"/>
      <c r="V141" s="731"/>
      <c r="W141" s="731"/>
      <c r="X141" s="731"/>
      <c r="Y141" s="731"/>
      <c r="Z141" s="731"/>
      <c r="AA141" s="731"/>
      <c r="AB141" s="731"/>
      <c r="AC141" s="731"/>
      <c r="AD141" s="731"/>
      <c r="AE141" s="731"/>
      <c r="AF141" s="731"/>
      <c r="AG141" s="731"/>
      <c r="AH141" s="731"/>
      <c r="AI141" s="731"/>
      <c r="AJ141" s="731"/>
      <c r="AK141" s="731"/>
      <c r="AL141" s="731"/>
      <c r="AM141" s="731"/>
      <c r="AN141" s="731"/>
      <c r="AO141" s="731"/>
      <c r="AP141" s="731"/>
      <c r="AQ141" s="731"/>
      <c r="AR141" s="731"/>
      <c r="AS141" s="731"/>
      <c r="AT141" s="731"/>
      <c r="AU141" s="731"/>
      <c r="AV141" s="731"/>
      <c r="AW141" s="731"/>
      <c r="AX141" s="731"/>
      <c r="AY141" s="731"/>
      <c r="AZ141" s="731"/>
      <c r="BA141" s="756"/>
      <c r="BB141" s="755"/>
      <c r="BC141" s="755"/>
      <c r="BD141" s="755"/>
      <c r="BE141" s="864"/>
      <c r="BF141" s="552"/>
      <c r="BG141" s="552"/>
      <c r="BH141" s="552"/>
      <c r="BI141" s="552"/>
      <c r="BJ141" s="552"/>
      <c r="BK141" s="552"/>
      <c r="BL141" s="552"/>
      <c r="BM141" s="552"/>
      <c r="BN141" s="1258"/>
      <c r="BO141" s="1260"/>
      <c r="BP141" s="1269"/>
      <c r="BQ141" s="1157"/>
      <c r="BR141" s="1220"/>
      <c r="BS141" s="1220"/>
      <c r="BT141" s="1220"/>
      <c r="BU141" s="1220"/>
      <c r="BV141" s="1220"/>
      <c r="BW141" s="1220"/>
      <c r="BX141" s="1220"/>
      <c r="BY141" s="1220"/>
      <c r="BZ141" s="1220"/>
      <c r="CA141" s="1220"/>
    </row>
    <row r="142" spans="1:79" ht="15.6" customHeight="1" x14ac:dyDescent="0.25">
      <c r="A142" s="1124" t="s">
        <v>499</v>
      </c>
      <c r="B142" s="970" t="s">
        <v>9</v>
      </c>
      <c r="C142" s="503" t="s">
        <v>500</v>
      </c>
      <c r="D142" s="407" t="s">
        <v>363</v>
      </c>
      <c r="E142" s="409" t="s">
        <v>149</v>
      </c>
      <c r="F142" s="407">
        <v>1</v>
      </c>
      <c r="G142" s="409" t="s">
        <v>149</v>
      </c>
      <c r="H142" s="503" t="s">
        <v>150</v>
      </c>
      <c r="I142" s="539" t="s">
        <v>149</v>
      </c>
      <c r="J142" s="719" t="s">
        <v>483</v>
      </c>
      <c r="K142" s="719" t="s">
        <v>478</v>
      </c>
      <c r="L142" s="712" t="s">
        <v>501</v>
      </c>
      <c r="M142" s="283" t="s">
        <v>493</v>
      </c>
      <c r="N142" s="1094"/>
      <c r="O142" s="1094"/>
      <c r="P142" s="1094"/>
      <c r="Q142" s="1094"/>
      <c r="R142" s="1094"/>
      <c r="S142" s="1094"/>
      <c r="T142" s="733" t="s">
        <v>154</v>
      </c>
      <c r="U142" s="1094"/>
      <c r="V142" s="1094"/>
      <c r="W142" s="1094"/>
      <c r="X142" s="1094"/>
      <c r="Y142" s="1094"/>
      <c r="Z142" s="1094"/>
      <c r="AA142" s="1094"/>
      <c r="AB142" s="1094"/>
      <c r="AC142" s="1094"/>
      <c r="AD142" s="1094"/>
      <c r="AE142" s="1094"/>
      <c r="AF142" s="1094"/>
      <c r="AG142" s="1094"/>
      <c r="AH142" s="1094"/>
      <c r="AI142" s="1094"/>
      <c r="AJ142" s="1094"/>
      <c r="AK142" s="1094"/>
      <c r="AL142" s="1094"/>
      <c r="AM142" s="1094"/>
      <c r="AN142" s="1094"/>
      <c r="AO142" s="1094"/>
      <c r="AP142" s="1094"/>
      <c r="AQ142" s="1094"/>
      <c r="AR142" s="1094"/>
      <c r="AS142" s="1094"/>
      <c r="AT142" s="1094"/>
      <c r="AU142" s="1094"/>
      <c r="AV142" s="1094"/>
      <c r="AW142" s="1094"/>
      <c r="AX142" s="1094"/>
      <c r="AY142" s="1094"/>
      <c r="AZ142" s="1094"/>
      <c r="BA142" s="908"/>
      <c r="BB142" s="754"/>
      <c r="BC142" s="754"/>
      <c r="BD142" s="754"/>
      <c r="BE142" s="863" t="s">
        <v>481</v>
      </c>
      <c r="BF142" s="552"/>
      <c r="BG142" s="552"/>
      <c r="BH142" s="552"/>
      <c r="BI142" s="552"/>
      <c r="BJ142" s="552"/>
      <c r="BK142" s="552"/>
      <c r="BL142" s="552"/>
      <c r="BM142" s="552"/>
      <c r="BN142" s="1258"/>
      <c r="BO142" s="1259" t="s">
        <v>4355</v>
      </c>
      <c r="BP142" s="1268" t="s">
        <v>561</v>
      </c>
      <c r="BQ142" s="1157"/>
      <c r="BR142" s="1223"/>
      <c r="BS142" s="1223"/>
      <c r="BT142" s="1223"/>
      <c r="BU142" s="1223"/>
      <c r="BV142" s="1223"/>
      <c r="BW142" s="1223"/>
      <c r="BX142" s="1223"/>
      <c r="BY142" s="1223"/>
      <c r="BZ142" s="1223"/>
      <c r="CA142" s="1223"/>
    </row>
    <row r="143" spans="1:79" ht="15.6" customHeight="1" x14ac:dyDescent="0.25">
      <c r="A143" s="1252"/>
      <c r="B143" s="971"/>
      <c r="C143" s="503" t="s">
        <v>484</v>
      </c>
      <c r="D143" s="499" t="s">
        <v>193</v>
      </c>
      <c r="E143" s="409" t="s">
        <v>149</v>
      </c>
      <c r="F143" s="407" t="s">
        <v>494</v>
      </c>
      <c r="G143" s="409" t="s">
        <v>149</v>
      </c>
      <c r="H143" s="503" t="s">
        <v>477</v>
      </c>
      <c r="I143" s="539" t="s">
        <v>149</v>
      </c>
      <c r="J143" s="720"/>
      <c r="K143" s="746"/>
      <c r="L143" s="721"/>
      <c r="M143" s="283" t="s">
        <v>495</v>
      </c>
      <c r="N143" s="969"/>
      <c r="O143" s="969"/>
      <c r="P143" s="969"/>
      <c r="Q143" s="969"/>
      <c r="R143" s="969"/>
      <c r="S143" s="969"/>
      <c r="T143" s="733"/>
      <c r="U143" s="969"/>
      <c r="V143" s="969"/>
      <c r="W143" s="969"/>
      <c r="X143" s="969"/>
      <c r="Y143" s="969"/>
      <c r="Z143" s="969"/>
      <c r="AA143" s="969"/>
      <c r="AB143" s="969"/>
      <c r="AC143" s="969"/>
      <c r="AD143" s="969"/>
      <c r="AE143" s="969"/>
      <c r="AF143" s="969"/>
      <c r="AG143" s="969"/>
      <c r="AH143" s="969"/>
      <c r="AI143" s="969"/>
      <c r="AJ143" s="969"/>
      <c r="AK143" s="969"/>
      <c r="AL143" s="969"/>
      <c r="AM143" s="969"/>
      <c r="AN143" s="969"/>
      <c r="AO143" s="969"/>
      <c r="AP143" s="969"/>
      <c r="AQ143" s="969"/>
      <c r="AR143" s="969"/>
      <c r="AS143" s="969"/>
      <c r="AT143" s="969"/>
      <c r="AU143" s="969"/>
      <c r="AV143" s="969"/>
      <c r="AW143" s="969"/>
      <c r="AX143" s="969"/>
      <c r="AY143" s="969"/>
      <c r="AZ143" s="969"/>
      <c r="BA143" s="909"/>
      <c r="BB143" s="900"/>
      <c r="BC143" s="900"/>
      <c r="BD143" s="900"/>
      <c r="BE143" s="1287"/>
      <c r="BF143" s="552"/>
      <c r="BG143" s="552"/>
      <c r="BH143" s="552"/>
      <c r="BI143" s="552"/>
      <c r="BJ143" s="552"/>
      <c r="BK143" s="552"/>
      <c r="BL143" s="552"/>
      <c r="BM143" s="552"/>
      <c r="BN143" s="1258"/>
      <c r="BO143" s="1260"/>
      <c r="BP143" s="1269"/>
      <c r="BQ143" s="1157"/>
      <c r="BR143" s="729"/>
      <c r="BS143" s="729"/>
      <c r="BT143" s="729"/>
      <c r="BU143" s="729"/>
      <c r="BV143" s="729"/>
      <c r="BW143" s="729"/>
      <c r="BX143" s="729"/>
      <c r="BY143" s="729"/>
      <c r="BZ143" s="729"/>
      <c r="CA143" s="729"/>
    </row>
    <row r="144" spans="1:79" ht="14.4" customHeight="1" x14ac:dyDescent="0.25">
      <c r="A144" s="1125"/>
      <c r="B144" s="972"/>
      <c r="C144" s="503" t="s">
        <v>500</v>
      </c>
      <c r="D144" s="407" t="s">
        <v>496</v>
      </c>
      <c r="E144" s="409" t="s">
        <v>149</v>
      </c>
      <c r="F144" s="407">
        <v>0</v>
      </c>
      <c r="G144" s="409" t="s">
        <v>149</v>
      </c>
      <c r="H144" s="503" t="s">
        <v>150</v>
      </c>
      <c r="I144" s="555" t="s">
        <v>497</v>
      </c>
      <c r="J144" s="539"/>
      <c r="K144" s="720"/>
      <c r="L144" s="713"/>
      <c r="M144" s="283" t="s">
        <v>498</v>
      </c>
      <c r="N144" s="731"/>
      <c r="O144" s="731"/>
      <c r="P144" s="731"/>
      <c r="Q144" s="731"/>
      <c r="R144" s="731"/>
      <c r="S144" s="731"/>
      <c r="T144" s="733"/>
      <c r="U144" s="731"/>
      <c r="V144" s="731"/>
      <c r="W144" s="731"/>
      <c r="X144" s="731"/>
      <c r="Y144" s="731"/>
      <c r="Z144" s="731"/>
      <c r="AA144" s="731"/>
      <c r="AB144" s="731"/>
      <c r="AC144" s="731"/>
      <c r="AD144" s="731"/>
      <c r="AE144" s="731"/>
      <c r="AF144" s="731"/>
      <c r="AG144" s="731"/>
      <c r="AH144" s="731"/>
      <c r="AI144" s="731"/>
      <c r="AJ144" s="731"/>
      <c r="AK144" s="731"/>
      <c r="AL144" s="731"/>
      <c r="AM144" s="731"/>
      <c r="AN144" s="731"/>
      <c r="AO144" s="731"/>
      <c r="AP144" s="731"/>
      <c r="AQ144" s="731"/>
      <c r="AR144" s="731"/>
      <c r="AS144" s="731"/>
      <c r="AT144" s="731"/>
      <c r="AU144" s="731"/>
      <c r="AV144" s="731"/>
      <c r="AW144" s="731"/>
      <c r="AX144" s="731"/>
      <c r="AY144" s="731"/>
      <c r="AZ144" s="731"/>
      <c r="BA144" s="756"/>
      <c r="BB144" s="755"/>
      <c r="BC144" s="755"/>
      <c r="BD144" s="755"/>
      <c r="BE144" s="864"/>
      <c r="BF144" s="552"/>
      <c r="BG144" s="552"/>
      <c r="BH144" s="552"/>
      <c r="BI144" s="552"/>
      <c r="BJ144" s="552"/>
      <c r="BK144" s="552"/>
      <c r="BL144" s="552"/>
      <c r="BM144" s="552"/>
      <c r="BN144" s="1258"/>
      <c r="BO144" s="1260"/>
      <c r="BP144" s="1269"/>
      <c r="BQ144" s="1157"/>
      <c r="BR144" s="1220"/>
      <c r="BS144" s="1220"/>
      <c r="BT144" s="1220"/>
      <c r="BU144" s="1220"/>
      <c r="BV144" s="1220"/>
      <c r="BW144" s="1220"/>
      <c r="BX144" s="1220"/>
      <c r="BY144" s="1220"/>
      <c r="BZ144" s="1220"/>
      <c r="CA144" s="1220"/>
    </row>
    <row r="145" spans="1:79" ht="15" customHeight="1" x14ac:dyDescent="0.25">
      <c r="A145" s="1124" t="s">
        <v>502</v>
      </c>
      <c r="B145" s="970" t="s">
        <v>9</v>
      </c>
      <c r="C145" s="503" t="s">
        <v>503</v>
      </c>
      <c r="D145" s="407" t="s">
        <v>363</v>
      </c>
      <c r="E145" s="409" t="s">
        <v>149</v>
      </c>
      <c r="F145" s="407">
        <v>1</v>
      </c>
      <c r="G145" s="409" t="s">
        <v>149</v>
      </c>
      <c r="H145" s="503" t="s">
        <v>150</v>
      </c>
      <c r="I145" s="539" t="s">
        <v>149</v>
      </c>
      <c r="J145" s="719" t="s">
        <v>483</v>
      </c>
      <c r="K145" s="719" t="s">
        <v>478</v>
      </c>
      <c r="L145" s="712" t="s">
        <v>504</v>
      </c>
      <c r="M145" s="283" t="s">
        <v>493</v>
      </c>
      <c r="N145" s="1094"/>
      <c r="O145" s="1094"/>
      <c r="P145" s="1094"/>
      <c r="Q145" s="1094"/>
      <c r="R145" s="1094"/>
      <c r="S145" s="1094"/>
      <c r="T145" s="1094"/>
      <c r="U145" s="733" t="s">
        <v>154</v>
      </c>
      <c r="V145" s="1094"/>
      <c r="W145" s="1094"/>
      <c r="X145" s="1094"/>
      <c r="Y145" s="1094"/>
      <c r="Z145" s="1094"/>
      <c r="AA145" s="1094"/>
      <c r="AB145" s="1094"/>
      <c r="AC145" s="1094"/>
      <c r="AD145" s="1094"/>
      <c r="AE145" s="1094"/>
      <c r="AF145" s="1094"/>
      <c r="AG145" s="1094"/>
      <c r="AH145" s="1094"/>
      <c r="AI145" s="1094"/>
      <c r="AJ145" s="1094"/>
      <c r="AK145" s="1094"/>
      <c r="AL145" s="1094"/>
      <c r="AM145" s="1094"/>
      <c r="AN145" s="1094"/>
      <c r="AO145" s="1094"/>
      <c r="AP145" s="1094"/>
      <c r="AQ145" s="1094"/>
      <c r="AR145" s="1094"/>
      <c r="AS145" s="1094"/>
      <c r="AT145" s="1094"/>
      <c r="AU145" s="1094"/>
      <c r="AV145" s="1094"/>
      <c r="AW145" s="1094"/>
      <c r="AX145" s="1094"/>
      <c r="AY145" s="1094"/>
      <c r="AZ145" s="1094"/>
      <c r="BA145" s="908"/>
      <c r="BB145" s="754"/>
      <c r="BC145" s="754"/>
      <c r="BD145" s="754"/>
      <c r="BE145" s="863" t="s">
        <v>481</v>
      </c>
      <c r="BF145" s="552"/>
      <c r="BG145" s="552"/>
      <c r="BH145" s="552"/>
      <c r="BI145" s="552"/>
      <c r="BJ145" s="552"/>
      <c r="BK145" s="552"/>
      <c r="BL145" s="552"/>
      <c r="BM145" s="552"/>
      <c r="BN145" s="1258"/>
      <c r="BO145" s="1259" t="s">
        <v>4355</v>
      </c>
      <c r="BP145" s="1268" t="s">
        <v>561</v>
      </c>
      <c r="BQ145" s="1157"/>
      <c r="BR145" s="1223"/>
      <c r="BS145" s="1223"/>
      <c r="BT145" s="1223"/>
      <c r="BU145" s="1223"/>
      <c r="BV145" s="1223"/>
      <c r="BW145" s="1223"/>
      <c r="BX145" s="1223"/>
      <c r="BY145" s="1223"/>
      <c r="BZ145" s="1223"/>
      <c r="CA145" s="1223"/>
    </row>
    <row r="146" spans="1:79" ht="15" customHeight="1" x14ac:dyDescent="0.25">
      <c r="A146" s="1252"/>
      <c r="B146" s="971"/>
      <c r="C146" s="503" t="s">
        <v>488</v>
      </c>
      <c r="D146" s="499" t="s">
        <v>193</v>
      </c>
      <c r="E146" s="409" t="s">
        <v>149</v>
      </c>
      <c r="F146" s="407" t="s">
        <v>494</v>
      </c>
      <c r="G146" s="409" t="s">
        <v>149</v>
      </c>
      <c r="H146" s="503" t="s">
        <v>477</v>
      </c>
      <c r="I146" s="539" t="s">
        <v>149</v>
      </c>
      <c r="J146" s="720"/>
      <c r="K146" s="746"/>
      <c r="L146" s="721"/>
      <c r="M146" s="283" t="s">
        <v>495</v>
      </c>
      <c r="N146" s="969"/>
      <c r="O146" s="969"/>
      <c r="P146" s="969"/>
      <c r="Q146" s="969"/>
      <c r="R146" s="969"/>
      <c r="S146" s="969"/>
      <c r="T146" s="969"/>
      <c r="U146" s="733"/>
      <c r="V146" s="969"/>
      <c r="W146" s="969"/>
      <c r="X146" s="969"/>
      <c r="Y146" s="969"/>
      <c r="Z146" s="969"/>
      <c r="AA146" s="969"/>
      <c r="AB146" s="969"/>
      <c r="AC146" s="969"/>
      <c r="AD146" s="969"/>
      <c r="AE146" s="969"/>
      <c r="AF146" s="969"/>
      <c r="AG146" s="969"/>
      <c r="AH146" s="969"/>
      <c r="AI146" s="969"/>
      <c r="AJ146" s="969"/>
      <c r="AK146" s="969"/>
      <c r="AL146" s="969"/>
      <c r="AM146" s="969"/>
      <c r="AN146" s="969"/>
      <c r="AO146" s="969"/>
      <c r="AP146" s="969"/>
      <c r="AQ146" s="969"/>
      <c r="AR146" s="969"/>
      <c r="AS146" s="969"/>
      <c r="AT146" s="969"/>
      <c r="AU146" s="969"/>
      <c r="AV146" s="969"/>
      <c r="AW146" s="969"/>
      <c r="AX146" s="969"/>
      <c r="AY146" s="969"/>
      <c r="AZ146" s="969"/>
      <c r="BA146" s="909"/>
      <c r="BB146" s="900"/>
      <c r="BC146" s="900"/>
      <c r="BD146" s="900"/>
      <c r="BE146" s="1287"/>
      <c r="BF146" s="552"/>
      <c r="BG146" s="552"/>
      <c r="BH146" s="552"/>
      <c r="BI146" s="552"/>
      <c r="BJ146" s="552"/>
      <c r="BK146" s="552"/>
      <c r="BL146" s="552"/>
      <c r="BM146" s="552"/>
      <c r="BN146" s="1258"/>
      <c r="BO146" s="1260"/>
      <c r="BP146" s="1269"/>
      <c r="BQ146" s="1157"/>
      <c r="BR146" s="729"/>
      <c r="BS146" s="729"/>
      <c r="BT146" s="729"/>
      <c r="BU146" s="729"/>
      <c r="BV146" s="729"/>
      <c r="BW146" s="729"/>
      <c r="BX146" s="729"/>
      <c r="BY146" s="729"/>
      <c r="BZ146" s="729"/>
      <c r="CA146" s="729"/>
    </row>
    <row r="147" spans="1:79" ht="14.4" customHeight="1" x14ac:dyDescent="0.25">
      <c r="A147" s="1125"/>
      <c r="B147" s="972"/>
      <c r="C147" s="503" t="s">
        <v>503</v>
      </c>
      <c r="D147" s="407" t="s">
        <v>496</v>
      </c>
      <c r="E147" s="409" t="s">
        <v>149</v>
      </c>
      <c r="F147" s="407">
        <v>0</v>
      </c>
      <c r="G147" s="409" t="s">
        <v>149</v>
      </c>
      <c r="H147" s="503" t="s">
        <v>150</v>
      </c>
      <c r="I147" s="555" t="s">
        <v>497</v>
      </c>
      <c r="J147" s="539"/>
      <c r="K147" s="720"/>
      <c r="L147" s="713"/>
      <c r="M147" s="283" t="s">
        <v>498</v>
      </c>
      <c r="N147" s="731"/>
      <c r="O147" s="731"/>
      <c r="P147" s="731"/>
      <c r="Q147" s="731"/>
      <c r="R147" s="731"/>
      <c r="S147" s="731"/>
      <c r="T147" s="731"/>
      <c r="U147" s="733"/>
      <c r="V147" s="731"/>
      <c r="W147" s="731"/>
      <c r="X147" s="731"/>
      <c r="Y147" s="731"/>
      <c r="Z147" s="731"/>
      <c r="AA147" s="731"/>
      <c r="AB147" s="731"/>
      <c r="AC147" s="731"/>
      <c r="AD147" s="731"/>
      <c r="AE147" s="731"/>
      <c r="AF147" s="731"/>
      <c r="AG147" s="731"/>
      <c r="AH147" s="731"/>
      <c r="AI147" s="731"/>
      <c r="AJ147" s="731"/>
      <c r="AK147" s="731"/>
      <c r="AL147" s="731"/>
      <c r="AM147" s="731"/>
      <c r="AN147" s="731"/>
      <c r="AO147" s="731"/>
      <c r="AP147" s="731"/>
      <c r="AQ147" s="731"/>
      <c r="AR147" s="731"/>
      <c r="AS147" s="731"/>
      <c r="AT147" s="731"/>
      <c r="AU147" s="731"/>
      <c r="AV147" s="731"/>
      <c r="AW147" s="731"/>
      <c r="AX147" s="731"/>
      <c r="AY147" s="731"/>
      <c r="AZ147" s="731"/>
      <c r="BA147" s="756"/>
      <c r="BB147" s="755"/>
      <c r="BC147" s="755"/>
      <c r="BD147" s="755"/>
      <c r="BE147" s="864"/>
      <c r="BF147" s="552"/>
      <c r="BG147" s="552"/>
      <c r="BH147" s="552"/>
      <c r="BI147" s="552"/>
      <c r="BJ147" s="552"/>
      <c r="BK147" s="552"/>
      <c r="BL147" s="552"/>
      <c r="BM147" s="552"/>
      <c r="BN147" s="1258"/>
      <c r="BO147" s="1260"/>
      <c r="BP147" s="1269"/>
      <c r="BQ147" s="1157"/>
      <c r="BR147" s="1220"/>
      <c r="BS147" s="1220"/>
      <c r="BT147" s="1220"/>
      <c r="BU147" s="1220"/>
      <c r="BV147" s="1220"/>
      <c r="BW147" s="1220"/>
      <c r="BX147" s="1220"/>
      <c r="BY147" s="1220"/>
      <c r="BZ147" s="1220"/>
      <c r="CA147" s="1220"/>
    </row>
    <row r="148" spans="1:79" ht="14.4" customHeight="1" x14ac:dyDescent="0.25">
      <c r="A148" s="1124" t="s">
        <v>505</v>
      </c>
      <c r="B148" s="970" t="s">
        <v>9</v>
      </c>
      <c r="C148" s="503" t="s">
        <v>506</v>
      </c>
      <c r="D148" s="407" t="s">
        <v>363</v>
      </c>
      <c r="E148" s="409" t="s">
        <v>149</v>
      </c>
      <c r="F148" s="407">
        <v>1</v>
      </c>
      <c r="G148" s="409" t="s">
        <v>149</v>
      </c>
      <c r="H148" s="503" t="s">
        <v>150</v>
      </c>
      <c r="I148" s="539" t="s">
        <v>149</v>
      </c>
      <c r="J148" s="719" t="s">
        <v>483</v>
      </c>
      <c r="K148" s="719" t="s">
        <v>478</v>
      </c>
      <c r="L148" s="712" t="s">
        <v>507</v>
      </c>
      <c r="M148" s="283" t="s">
        <v>493</v>
      </c>
      <c r="N148" s="1094"/>
      <c r="O148" s="1094"/>
      <c r="P148" s="1094"/>
      <c r="Q148" s="1094"/>
      <c r="R148" s="1094"/>
      <c r="S148" s="1094"/>
      <c r="T148" s="1094"/>
      <c r="U148" s="1094"/>
      <c r="V148" s="733" t="s">
        <v>154</v>
      </c>
      <c r="W148" s="1094"/>
      <c r="X148" s="1094"/>
      <c r="Y148" s="1094"/>
      <c r="Z148" s="1094"/>
      <c r="AA148" s="1094"/>
      <c r="AB148" s="1094"/>
      <c r="AC148" s="1094"/>
      <c r="AD148" s="1094"/>
      <c r="AE148" s="1094"/>
      <c r="AF148" s="1094"/>
      <c r="AG148" s="1094"/>
      <c r="AH148" s="1094"/>
      <c r="AI148" s="1094"/>
      <c r="AJ148" s="1094"/>
      <c r="AK148" s="1094"/>
      <c r="AL148" s="1094"/>
      <c r="AM148" s="1094"/>
      <c r="AN148" s="1094"/>
      <c r="AO148" s="1094"/>
      <c r="AP148" s="1094"/>
      <c r="AQ148" s="1094"/>
      <c r="AR148" s="1094"/>
      <c r="AS148" s="1094"/>
      <c r="AT148" s="1094"/>
      <c r="AU148" s="1094"/>
      <c r="AV148" s="1094"/>
      <c r="AW148" s="1094"/>
      <c r="AX148" s="1094"/>
      <c r="AY148" s="1094"/>
      <c r="AZ148" s="1094"/>
      <c r="BA148" s="908"/>
      <c r="BB148" s="754"/>
      <c r="BC148" s="754"/>
      <c r="BD148" s="754"/>
      <c r="BE148" s="863" t="s">
        <v>481</v>
      </c>
      <c r="BF148" s="552"/>
      <c r="BG148" s="552"/>
      <c r="BH148" s="552"/>
      <c r="BI148" s="552"/>
      <c r="BJ148" s="552"/>
      <c r="BK148" s="552"/>
      <c r="BL148" s="552"/>
      <c r="BM148" s="552"/>
      <c r="BN148" s="1258"/>
      <c r="BO148" s="1259" t="s">
        <v>4355</v>
      </c>
      <c r="BP148" s="1268" t="s">
        <v>561</v>
      </c>
      <c r="BQ148" s="1157"/>
      <c r="BR148" s="1223"/>
      <c r="BS148" s="1223"/>
      <c r="BT148" s="1223"/>
      <c r="BU148" s="1223"/>
      <c r="BV148" s="1223"/>
      <c r="BW148" s="1223"/>
      <c r="BX148" s="1223"/>
      <c r="BY148" s="1223"/>
      <c r="BZ148" s="1223"/>
      <c r="CA148" s="1223"/>
    </row>
    <row r="149" spans="1:79" ht="14.4" customHeight="1" x14ac:dyDescent="0.25">
      <c r="A149" s="1252"/>
      <c r="B149" s="971"/>
      <c r="C149" s="503" t="s">
        <v>489</v>
      </c>
      <c r="D149" s="499" t="s">
        <v>193</v>
      </c>
      <c r="E149" s="409" t="s">
        <v>149</v>
      </c>
      <c r="F149" s="407" t="s">
        <v>494</v>
      </c>
      <c r="G149" s="409" t="s">
        <v>149</v>
      </c>
      <c r="H149" s="503" t="s">
        <v>477</v>
      </c>
      <c r="I149" s="539" t="s">
        <v>149</v>
      </c>
      <c r="J149" s="720"/>
      <c r="K149" s="746"/>
      <c r="L149" s="721"/>
      <c r="M149" s="283" t="s">
        <v>495</v>
      </c>
      <c r="N149" s="969"/>
      <c r="O149" s="969"/>
      <c r="P149" s="969"/>
      <c r="Q149" s="969"/>
      <c r="R149" s="969"/>
      <c r="S149" s="969"/>
      <c r="T149" s="969"/>
      <c r="U149" s="969"/>
      <c r="V149" s="733"/>
      <c r="W149" s="969"/>
      <c r="X149" s="969"/>
      <c r="Y149" s="969"/>
      <c r="Z149" s="969"/>
      <c r="AA149" s="969"/>
      <c r="AB149" s="969"/>
      <c r="AC149" s="969"/>
      <c r="AD149" s="969"/>
      <c r="AE149" s="969"/>
      <c r="AF149" s="969"/>
      <c r="AG149" s="969"/>
      <c r="AH149" s="969"/>
      <c r="AI149" s="969"/>
      <c r="AJ149" s="969"/>
      <c r="AK149" s="969"/>
      <c r="AL149" s="969"/>
      <c r="AM149" s="969"/>
      <c r="AN149" s="969"/>
      <c r="AO149" s="969"/>
      <c r="AP149" s="969"/>
      <c r="AQ149" s="969"/>
      <c r="AR149" s="969"/>
      <c r="AS149" s="969"/>
      <c r="AT149" s="969"/>
      <c r="AU149" s="969"/>
      <c r="AV149" s="969"/>
      <c r="AW149" s="969"/>
      <c r="AX149" s="969"/>
      <c r="AY149" s="969"/>
      <c r="AZ149" s="969"/>
      <c r="BA149" s="909"/>
      <c r="BB149" s="900"/>
      <c r="BC149" s="900"/>
      <c r="BD149" s="900"/>
      <c r="BE149" s="1287"/>
      <c r="BF149" s="552"/>
      <c r="BG149" s="552"/>
      <c r="BH149" s="552"/>
      <c r="BI149" s="552"/>
      <c r="BJ149" s="552"/>
      <c r="BK149" s="552"/>
      <c r="BL149" s="552"/>
      <c r="BM149" s="552"/>
      <c r="BN149" s="1258"/>
      <c r="BO149" s="1260"/>
      <c r="BP149" s="1269"/>
      <c r="BQ149" s="1157"/>
      <c r="BR149" s="729"/>
      <c r="BS149" s="729"/>
      <c r="BT149" s="729"/>
      <c r="BU149" s="729"/>
      <c r="BV149" s="729"/>
      <c r="BW149" s="729"/>
      <c r="BX149" s="729"/>
      <c r="BY149" s="729"/>
      <c r="BZ149" s="729"/>
      <c r="CA149" s="729"/>
    </row>
    <row r="150" spans="1:79" ht="14.4" customHeight="1" x14ac:dyDescent="0.25">
      <c r="A150" s="1125"/>
      <c r="B150" s="972"/>
      <c r="C150" s="503" t="s">
        <v>506</v>
      </c>
      <c r="D150" s="407" t="s">
        <v>496</v>
      </c>
      <c r="E150" s="409" t="s">
        <v>149</v>
      </c>
      <c r="F150" s="407">
        <v>0</v>
      </c>
      <c r="G150" s="409" t="s">
        <v>149</v>
      </c>
      <c r="H150" s="503" t="s">
        <v>150</v>
      </c>
      <c r="I150" s="555" t="s">
        <v>497</v>
      </c>
      <c r="J150" s="539"/>
      <c r="K150" s="720"/>
      <c r="L150" s="713"/>
      <c r="M150" s="283" t="s">
        <v>498</v>
      </c>
      <c r="N150" s="731"/>
      <c r="O150" s="731"/>
      <c r="P150" s="731"/>
      <c r="Q150" s="731"/>
      <c r="R150" s="731"/>
      <c r="S150" s="731"/>
      <c r="T150" s="731"/>
      <c r="U150" s="731"/>
      <c r="V150" s="733"/>
      <c r="W150" s="731"/>
      <c r="X150" s="731"/>
      <c r="Y150" s="731"/>
      <c r="Z150" s="731"/>
      <c r="AA150" s="731"/>
      <c r="AB150" s="731"/>
      <c r="AC150" s="731"/>
      <c r="AD150" s="731"/>
      <c r="AE150" s="731"/>
      <c r="AF150" s="731"/>
      <c r="AG150" s="731"/>
      <c r="AH150" s="731"/>
      <c r="AI150" s="731"/>
      <c r="AJ150" s="731"/>
      <c r="AK150" s="731"/>
      <c r="AL150" s="731"/>
      <c r="AM150" s="731"/>
      <c r="AN150" s="731"/>
      <c r="AO150" s="731"/>
      <c r="AP150" s="731"/>
      <c r="AQ150" s="731"/>
      <c r="AR150" s="731"/>
      <c r="AS150" s="731"/>
      <c r="AT150" s="731"/>
      <c r="AU150" s="731"/>
      <c r="AV150" s="731"/>
      <c r="AW150" s="731"/>
      <c r="AX150" s="731"/>
      <c r="AY150" s="731"/>
      <c r="AZ150" s="731"/>
      <c r="BA150" s="756"/>
      <c r="BB150" s="755"/>
      <c r="BC150" s="755"/>
      <c r="BD150" s="755"/>
      <c r="BE150" s="864"/>
      <c r="BF150" s="554"/>
      <c r="BG150" s="554"/>
      <c r="BH150" s="554"/>
      <c r="BI150" s="554"/>
      <c r="BJ150" s="554"/>
      <c r="BK150" s="554"/>
      <c r="BL150" s="554"/>
      <c r="BM150" s="554"/>
      <c r="BN150" s="925"/>
      <c r="BO150" s="1260"/>
      <c r="BP150" s="1269"/>
      <c r="BQ150" s="1158"/>
      <c r="BR150" s="1220"/>
      <c r="BS150" s="1220"/>
      <c r="BT150" s="1220"/>
      <c r="BU150" s="1220"/>
      <c r="BV150" s="1220"/>
      <c r="BW150" s="1220"/>
      <c r="BX150" s="1220"/>
      <c r="BY150" s="1220"/>
      <c r="BZ150" s="1220"/>
      <c r="CA150" s="1220"/>
    </row>
    <row r="151" spans="1:79" ht="14.4" customHeight="1" x14ac:dyDescent="0.25">
      <c r="A151" s="385" t="s">
        <v>508</v>
      </c>
      <c r="B151" s="523" t="s">
        <v>45</v>
      </c>
      <c r="C151" s="503" t="s">
        <v>482</v>
      </c>
      <c r="D151" s="499" t="s">
        <v>193</v>
      </c>
      <c r="E151" s="409" t="s">
        <v>149</v>
      </c>
      <c r="F151" s="407" t="s">
        <v>494</v>
      </c>
      <c r="G151" s="409" t="s">
        <v>149</v>
      </c>
      <c r="H151" s="503" t="s">
        <v>477</v>
      </c>
      <c r="I151" s="539" t="s">
        <v>149</v>
      </c>
      <c r="J151" s="549"/>
      <c r="K151" s="549" t="s">
        <v>151</v>
      </c>
      <c r="L151" s="509" t="s">
        <v>509</v>
      </c>
      <c r="M151" s="283" t="s">
        <v>495</v>
      </c>
      <c r="N151" s="410"/>
      <c r="O151" s="410"/>
      <c r="P151" s="410"/>
      <c r="Q151" s="410"/>
      <c r="R151" s="410"/>
      <c r="S151" s="499"/>
      <c r="T151" s="410"/>
      <c r="U151" s="410"/>
      <c r="V151" s="410"/>
      <c r="W151" s="410"/>
      <c r="X151" s="410"/>
      <c r="Y151" s="410"/>
      <c r="Z151" s="410"/>
      <c r="AA151" s="410"/>
      <c r="AB151" s="410"/>
      <c r="AC151" s="410"/>
      <c r="AD151" s="410"/>
      <c r="AE151" s="410"/>
      <c r="AF151" s="410"/>
      <c r="AG151" s="410"/>
      <c r="AH151" s="410"/>
      <c r="AI151" s="410"/>
      <c r="AJ151" s="410"/>
      <c r="AK151" s="410"/>
      <c r="AL151" s="536" t="s">
        <v>172</v>
      </c>
      <c r="AM151" s="410"/>
      <c r="AN151" s="410"/>
      <c r="AO151" s="410"/>
      <c r="AP151" s="536" t="s">
        <v>172</v>
      </c>
      <c r="AQ151" s="410"/>
      <c r="AR151" s="410"/>
      <c r="AS151" s="410"/>
      <c r="AT151" s="536"/>
      <c r="AU151" s="410"/>
      <c r="AV151" s="410"/>
      <c r="AW151" s="410"/>
      <c r="AX151" s="536"/>
      <c r="AY151" s="536"/>
      <c r="AZ151" s="410"/>
      <c r="BA151" s="411"/>
      <c r="BB151" s="412"/>
      <c r="BC151" s="412"/>
      <c r="BD151" s="412"/>
      <c r="BE151" s="549" t="s">
        <v>157</v>
      </c>
      <c r="BF151" s="549"/>
      <c r="BG151" s="549"/>
      <c r="BH151" s="549"/>
      <c r="BI151" s="549"/>
      <c r="BJ151" s="549"/>
      <c r="BK151" s="549"/>
      <c r="BL151" s="549"/>
      <c r="BM151" s="549"/>
      <c r="BN151" s="1257" t="s">
        <v>510</v>
      </c>
      <c r="BO151" s="678" t="s">
        <v>4354</v>
      </c>
      <c r="BP151" s="679" t="s">
        <v>561</v>
      </c>
      <c r="BQ151" s="1255" t="s">
        <v>511</v>
      </c>
      <c r="BR151" s="11"/>
      <c r="BS151" s="11"/>
      <c r="BT151" s="11"/>
      <c r="BU151" s="11"/>
      <c r="BV151" s="11"/>
      <c r="BW151" s="11"/>
      <c r="BX151" s="11"/>
      <c r="BY151" s="11"/>
      <c r="BZ151" s="11"/>
      <c r="CA151" s="11"/>
    </row>
    <row r="152" spans="1:79" ht="14.4" customHeight="1" x14ac:dyDescent="0.25">
      <c r="A152" s="385" t="s">
        <v>512</v>
      </c>
      <c r="B152" s="523" t="s">
        <v>45</v>
      </c>
      <c r="C152" s="503" t="s">
        <v>484</v>
      </c>
      <c r="D152" s="499" t="s">
        <v>193</v>
      </c>
      <c r="E152" s="409" t="s">
        <v>149</v>
      </c>
      <c r="F152" s="407" t="s">
        <v>494</v>
      </c>
      <c r="G152" s="409" t="s">
        <v>149</v>
      </c>
      <c r="H152" s="503" t="s">
        <v>477</v>
      </c>
      <c r="I152" s="539" t="s">
        <v>149</v>
      </c>
      <c r="J152" s="549"/>
      <c r="K152" s="549" t="s">
        <v>151</v>
      </c>
      <c r="L152" s="509" t="s">
        <v>513</v>
      </c>
      <c r="M152" s="283" t="s">
        <v>495</v>
      </c>
      <c r="N152" s="410"/>
      <c r="O152" s="410"/>
      <c r="P152" s="410"/>
      <c r="Q152" s="410"/>
      <c r="R152" s="410"/>
      <c r="S152" s="410"/>
      <c r="T152" s="499"/>
      <c r="U152" s="410"/>
      <c r="V152" s="410"/>
      <c r="W152" s="410"/>
      <c r="X152" s="410"/>
      <c r="Y152" s="410"/>
      <c r="Z152" s="410"/>
      <c r="AA152" s="410"/>
      <c r="AB152" s="410"/>
      <c r="AC152" s="410"/>
      <c r="AD152" s="410"/>
      <c r="AE152" s="410"/>
      <c r="AF152" s="410"/>
      <c r="AG152" s="410"/>
      <c r="AH152" s="410"/>
      <c r="AI152" s="410"/>
      <c r="AJ152" s="410"/>
      <c r="AK152" s="410"/>
      <c r="AL152" s="410"/>
      <c r="AM152" s="536" t="s">
        <v>172</v>
      </c>
      <c r="AN152" s="410"/>
      <c r="AO152" s="410"/>
      <c r="AP152" s="410"/>
      <c r="AQ152" s="536" t="s">
        <v>172</v>
      </c>
      <c r="AR152" s="410"/>
      <c r="AS152" s="410"/>
      <c r="AT152" s="410"/>
      <c r="AU152" s="536"/>
      <c r="AV152" s="410"/>
      <c r="AW152" s="410"/>
      <c r="AX152" s="410"/>
      <c r="AY152" s="410"/>
      <c r="AZ152" s="410"/>
      <c r="BA152" s="411"/>
      <c r="BB152" s="412"/>
      <c r="BC152" s="412"/>
      <c r="BD152" s="412"/>
      <c r="BE152" s="549" t="s">
        <v>157</v>
      </c>
      <c r="BF152" s="552"/>
      <c r="BG152" s="552"/>
      <c r="BH152" s="552"/>
      <c r="BI152" s="552"/>
      <c r="BJ152" s="552"/>
      <c r="BK152" s="552"/>
      <c r="BL152" s="552"/>
      <c r="BM152" s="552"/>
      <c r="BN152" s="1258"/>
      <c r="BO152" s="678" t="s">
        <v>4354</v>
      </c>
      <c r="BP152" s="679" t="s">
        <v>561</v>
      </c>
      <c r="BQ152" s="1256"/>
      <c r="BR152" s="11"/>
      <c r="BS152" s="11"/>
      <c r="BT152" s="11"/>
      <c r="BU152" s="11"/>
      <c r="BV152" s="11"/>
      <c r="BW152" s="11"/>
      <c r="BX152" s="11"/>
      <c r="BY152" s="11"/>
      <c r="BZ152" s="11"/>
      <c r="CA152" s="11"/>
    </row>
    <row r="153" spans="1:79" ht="14.4" customHeight="1" x14ac:dyDescent="0.25">
      <c r="A153" s="385" t="s">
        <v>514</v>
      </c>
      <c r="B153" s="523" t="s">
        <v>45</v>
      </c>
      <c r="C153" s="503" t="s">
        <v>488</v>
      </c>
      <c r="D153" s="499" t="s">
        <v>193</v>
      </c>
      <c r="E153" s="409" t="s">
        <v>149</v>
      </c>
      <c r="F153" s="407" t="s">
        <v>494</v>
      </c>
      <c r="G153" s="409" t="s">
        <v>149</v>
      </c>
      <c r="H153" s="503" t="s">
        <v>477</v>
      </c>
      <c r="I153" s="539" t="s">
        <v>149</v>
      </c>
      <c r="J153" s="549"/>
      <c r="K153" s="549" t="s">
        <v>151</v>
      </c>
      <c r="L153" s="509" t="s">
        <v>515</v>
      </c>
      <c r="M153" s="283" t="s">
        <v>495</v>
      </c>
      <c r="N153" s="410"/>
      <c r="O153" s="410"/>
      <c r="P153" s="410"/>
      <c r="Q153" s="410"/>
      <c r="R153" s="410"/>
      <c r="S153" s="410"/>
      <c r="T153" s="410"/>
      <c r="U153" s="499"/>
      <c r="V153" s="410"/>
      <c r="W153" s="410"/>
      <c r="X153" s="410"/>
      <c r="Y153" s="410"/>
      <c r="Z153" s="410"/>
      <c r="AA153" s="410"/>
      <c r="AB153" s="410"/>
      <c r="AC153" s="410"/>
      <c r="AD153" s="410"/>
      <c r="AE153" s="410"/>
      <c r="AF153" s="410"/>
      <c r="AG153" s="410"/>
      <c r="AH153" s="410"/>
      <c r="AI153" s="410"/>
      <c r="AJ153" s="410"/>
      <c r="AK153" s="410"/>
      <c r="AL153" s="410"/>
      <c r="AM153" s="410"/>
      <c r="AN153" s="536" t="s">
        <v>172</v>
      </c>
      <c r="AO153" s="410"/>
      <c r="AP153" s="410"/>
      <c r="AQ153" s="410"/>
      <c r="AR153" s="536" t="s">
        <v>172</v>
      </c>
      <c r="AS153" s="410"/>
      <c r="AT153" s="410"/>
      <c r="AU153" s="410"/>
      <c r="AV153" s="536"/>
      <c r="AW153" s="410"/>
      <c r="AX153" s="410"/>
      <c r="AY153" s="410"/>
      <c r="AZ153" s="536"/>
      <c r="BA153" s="411"/>
      <c r="BB153" s="412"/>
      <c r="BC153" s="412"/>
      <c r="BD153" s="412"/>
      <c r="BE153" s="549" t="s">
        <v>157</v>
      </c>
      <c r="BF153" s="552"/>
      <c r="BG153" s="552"/>
      <c r="BH153" s="552"/>
      <c r="BI153" s="552"/>
      <c r="BJ153" s="552"/>
      <c r="BK153" s="552"/>
      <c r="BL153" s="552"/>
      <c r="BM153" s="552"/>
      <c r="BN153" s="1258"/>
      <c r="BO153" s="678" t="s">
        <v>4354</v>
      </c>
      <c r="BP153" s="679" t="s">
        <v>561</v>
      </c>
      <c r="BQ153" s="1256"/>
      <c r="BR153" s="11"/>
      <c r="BS153" s="11"/>
      <c r="BT153" s="11"/>
      <c r="BU153" s="11"/>
      <c r="BV153" s="11"/>
      <c r="BW153" s="11"/>
      <c r="BX153" s="11"/>
      <c r="BY153" s="11"/>
      <c r="BZ153" s="11"/>
      <c r="CA153" s="11"/>
    </row>
    <row r="154" spans="1:79" ht="14.4" customHeight="1" x14ac:dyDescent="0.25">
      <c r="A154" s="393" t="s">
        <v>516</v>
      </c>
      <c r="B154" s="498" t="s">
        <v>45</v>
      </c>
      <c r="C154" s="503" t="s">
        <v>489</v>
      </c>
      <c r="D154" s="499" t="s">
        <v>193</v>
      </c>
      <c r="E154" s="409" t="s">
        <v>149</v>
      </c>
      <c r="F154" s="407" t="s">
        <v>494</v>
      </c>
      <c r="G154" s="409" t="s">
        <v>149</v>
      </c>
      <c r="H154" s="503" t="s">
        <v>477</v>
      </c>
      <c r="I154" s="539" t="s">
        <v>149</v>
      </c>
      <c r="J154" s="539"/>
      <c r="K154" s="539" t="s">
        <v>151</v>
      </c>
      <c r="L154" s="503" t="s">
        <v>517</v>
      </c>
      <c r="M154" s="283" t="s">
        <v>495</v>
      </c>
      <c r="N154" s="413"/>
      <c r="O154" s="413"/>
      <c r="P154" s="413"/>
      <c r="Q154" s="413"/>
      <c r="R154" s="413"/>
      <c r="S154" s="413"/>
      <c r="T154" s="413"/>
      <c r="U154" s="413"/>
      <c r="V154" s="499"/>
      <c r="W154" s="413"/>
      <c r="X154" s="413"/>
      <c r="Y154" s="413"/>
      <c r="Z154" s="413"/>
      <c r="AA154" s="413"/>
      <c r="AB154" s="413"/>
      <c r="AC154" s="413"/>
      <c r="AD154" s="413"/>
      <c r="AE154" s="413"/>
      <c r="AF154" s="413"/>
      <c r="AG154" s="413"/>
      <c r="AH154" s="413"/>
      <c r="AI154" s="413"/>
      <c r="AJ154" s="413"/>
      <c r="AK154" s="413"/>
      <c r="AL154" s="413"/>
      <c r="AM154" s="413"/>
      <c r="AN154" s="413"/>
      <c r="AO154" s="499" t="s">
        <v>172</v>
      </c>
      <c r="AP154" s="413"/>
      <c r="AQ154" s="413"/>
      <c r="AR154" s="413"/>
      <c r="AS154" s="499" t="s">
        <v>172</v>
      </c>
      <c r="AT154" s="413"/>
      <c r="AU154" s="413"/>
      <c r="AV154" s="413"/>
      <c r="AW154" s="499"/>
      <c r="AX154" s="413"/>
      <c r="AY154" s="413"/>
      <c r="AZ154" s="413"/>
      <c r="BA154" s="387"/>
      <c r="BB154" s="388"/>
      <c r="BC154" s="388"/>
      <c r="BD154" s="388"/>
      <c r="BE154" s="539" t="s">
        <v>157</v>
      </c>
      <c r="BF154" s="554"/>
      <c r="BG154" s="554"/>
      <c r="BH154" s="554"/>
      <c r="BI154" s="554"/>
      <c r="BJ154" s="554"/>
      <c r="BK154" s="554"/>
      <c r="BL154" s="554"/>
      <c r="BM154" s="554"/>
      <c r="BN154" s="925"/>
      <c r="BO154" s="678" t="s">
        <v>4354</v>
      </c>
      <c r="BP154" s="679" t="s">
        <v>561</v>
      </c>
      <c r="BQ154" s="1256"/>
      <c r="BR154" s="11"/>
      <c r="BS154" s="11"/>
      <c r="BT154" s="11"/>
      <c r="BU154" s="11"/>
      <c r="BV154" s="11"/>
      <c r="BW154" s="11"/>
      <c r="BX154" s="11"/>
      <c r="BY154" s="11"/>
      <c r="BZ154" s="11"/>
      <c r="CA154" s="11"/>
    </row>
    <row r="155" spans="1:79" s="37" customFormat="1" ht="14.4" x14ac:dyDescent="0.25">
      <c r="A155" s="383" t="s">
        <v>518</v>
      </c>
      <c r="B155" s="493"/>
      <c r="C155" s="493"/>
      <c r="D155" s="495"/>
      <c r="E155" s="493"/>
      <c r="F155" s="493"/>
      <c r="G155" s="493"/>
      <c r="H155" s="493"/>
      <c r="I155" s="494"/>
      <c r="J155" s="493"/>
      <c r="K155" s="493"/>
      <c r="L155" s="493"/>
      <c r="M155" s="493"/>
      <c r="N155" s="569"/>
      <c r="O155" s="384"/>
      <c r="P155" s="384"/>
      <c r="Q155" s="384"/>
      <c r="R155" s="384"/>
      <c r="S155" s="384"/>
      <c r="T155" s="384"/>
      <c r="U155" s="384"/>
      <c r="V155" s="384"/>
      <c r="W155" s="496"/>
      <c r="X155" s="496"/>
      <c r="Y155" s="496"/>
      <c r="Z155" s="496"/>
      <c r="AA155" s="496"/>
      <c r="AB155" s="496"/>
      <c r="AC155" s="496"/>
      <c r="AD155" s="496" t="str">
        <f>IF(ISBLANK(AA155),"",AA155&amp;"*")</f>
        <v/>
      </c>
      <c r="AE155" s="496" t="str">
        <f>IF(ISBLANK(AA155),"",AA155)</f>
        <v/>
      </c>
      <c r="AF155" s="496" t="str">
        <f t="shared" ref="AF155:AF169" si="11">IF(ISBLANK(AD155),"",AD155)</f>
        <v/>
      </c>
      <c r="AG155" s="496"/>
      <c r="AH155" s="496"/>
      <c r="AI155" s="496"/>
      <c r="AJ155" s="496"/>
      <c r="AK155" s="496" t="str">
        <f>LEFT(IF(ISBLANK(N155),"",N155&amp;"*")&amp;IF(ISBLANK(O155),"",O155&amp;"*")&amp;IF(ISBLANK(P155),"",P155&amp;"*")&amp;IF(ISBLANK(Q155),"",Q155&amp;"*"),2)</f>
        <v/>
      </c>
      <c r="AL155" s="384"/>
      <c r="AM155" s="496"/>
      <c r="AN155" s="384"/>
      <c r="AO155" s="496"/>
      <c r="AP155" s="384"/>
      <c r="AQ155" s="496"/>
      <c r="AR155" s="384"/>
      <c r="AS155" s="496"/>
      <c r="AT155" s="414"/>
      <c r="AU155" s="414"/>
      <c r="AV155" s="496"/>
      <c r="AW155" s="496"/>
      <c r="AX155" s="496"/>
      <c r="AY155" s="496"/>
      <c r="AZ155" s="496"/>
      <c r="BA155" s="496"/>
      <c r="BB155" s="496"/>
      <c r="BC155" s="496"/>
      <c r="BD155" s="496" t="str">
        <f>LEFT(IF(ISBLANK(O155),"",O155&amp;"*")&amp;IF(ISBLANK(P155),"",P155&amp;"*")&amp;IF(ISBLANK(Q155),"",Q155&amp;"*")&amp;IF(ISBLANK(R155),"",R155&amp;"*"),2)</f>
        <v/>
      </c>
      <c r="BE155" s="493"/>
      <c r="BF155" s="493"/>
      <c r="BG155" s="493"/>
      <c r="BH155" s="493"/>
      <c r="BI155" s="493"/>
      <c r="BJ155" s="493"/>
      <c r="BK155" s="493"/>
      <c r="BL155" s="493"/>
      <c r="BM155" s="493"/>
      <c r="BN155" s="497"/>
      <c r="BO155" s="313"/>
      <c r="BP155" s="251"/>
      <c r="BQ155" s="104"/>
    </row>
    <row r="156" spans="1:79" s="1" customFormat="1" ht="105" customHeight="1" x14ac:dyDescent="0.25">
      <c r="A156" s="399" t="s">
        <v>519</v>
      </c>
      <c r="B156" s="523" t="s">
        <v>51</v>
      </c>
      <c r="C156" s="503" t="s">
        <v>520</v>
      </c>
      <c r="D156" s="499" t="s">
        <v>521</v>
      </c>
      <c r="E156" s="503" t="s">
        <v>149</v>
      </c>
      <c r="F156" s="503">
        <v>0</v>
      </c>
      <c r="G156" s="503" t="s">
        <v>149</v>
      </c>
      <c r="H156" s="503" t="s">
        <v>150</v>
      </c>
      <c r="I156" s="503" t="s">
        <v>149</v>
      </c>
      <c r="J156" s="529"/>
      <c r="K156" s="499" t="s">
        <v>151</v>
      </c>
      <c r="L156" s="570" t="s">
        <v>522</v>
      </c>
      <c r="M156" s="530" t="s">
        <v>523</v>
      </c>
      <c r="N156" s="531"/>
      <c r="O156" s="674" t="s">
        <v>154</v>
      </c>
      <c r="P156" s="499" t="s">
        <v>154</v>
      </c>
      <c r="Q156" s="499" t="s">
        <v>154</v>
      </c>
      <c r="R156" s="499" t="s">
        <v>154</v>
      </c>
      <c r="S156" s="532"/>
      <c r="T156" s="532"/>
      <c r="U156" s="532"/>
      <c r="V156" s="532"/>
      <c r="W156" s="533"/>
      <c r="X156" s="533"/>
      <c r="Y156" s="533"/>
      <c r="Z156" s="400"/>
      <c r="AA156" s="400"/>
      <c r="AB156" s="400"/>
      <c r="AC156" s="400"/>
      <c r="AD156" s="400"/>
      <c r="AE156" s="400"/>
      <c r="AF156" s="400"/>
      <c r="AG156" s="400"/>
      <c r="AH156" s="400"/>
      <c r="AI156" s="400"/>
      <c r="AJ156" s="400"/>
      <c r="AK156" s="532" t="str">
        <f>LEFT(IF(ISBLANK(N156),"",N156&amp;"*")&amp;IF(ISBLANK(O156),"",O156&amp;"*")&amp;IF(ISBLANK(P156),"",P156&amp;"*")&amp;IF(ISBLANK(Q156),"",Q156&amp;"*"),2)</f>
        <v>S*</v>
      </c>
      <c r="AL156" s="400"/>
      <c r="AM156" s="532"/>
      <c r="AN156" s="400"/>
      <c r="AO156" s="532"/>
      <c r="AP156" s="400"/>
      <c r="AQ156" s="532"/>
      <c r="AR156" s="400"/>
      <c r="AS156" s="532"/>
      <c r="AT156" s="533"/>
      <c r="AU156" s="533"/>
      <c r="AV156" s="533"/>
      <c r="AW156" s="532" t="s">
        <v>242</v>
      </c>
      <c r="AX156" s="533"/>
      <c r="AY156" s="533"/>
      <c r="AZ156" s="533"/>
      <c r="BA156" s="534"/>
      <c r="BB156" s="507"/>
      <c r="BC156" s="507"/>
      <c r="BD156" s="507"/>
      <c r="BE156" s="499" t="s">
        <v>157</v>
      </c>
      <c r="BF156" s="536"/>
      <c r="BG156" s="536"/>
      <c r="BH156" s="536"/>
      <c r="BI156" s="536"/>
      <c r="BJ156" s="536"/>
      <c r="BK156" s="536"/>
      <c r="BL156" s="536"/>
      <c r="BM156" s="536"/>
      <c r="BN156" s="537" t="s">
        <v>524</v>
      </c>
      <c r="BO156" s="678" t="s">
        <v>4402</v>
      </c>
      <c r="BP156" s="679" t="s">
        <v>561</v>
      </c>
      <c r="BQ156" s="268" t="s">
        <v>525</v>
      </c>
    </row>
    <row r="157" spans="1:79" s="1" customFormat="1" ht="127.5" hidden="1" customHeight="1" x14ac:dyDescent="0.25">
      <c r="A157" s="415" t="s">
        <v>526</v>
      </c>
      <c r="B157" s="571" t="s">
        <v>51</v>
      </c>
      <c r="C157" s="395" t="s">
        <v>527</v>
      </c>
      <c r="D157" s="390" t="s">
        <v>521</v>
      </c>
      <c r="E157" s="395" t="s">
        <v>149</v>
      </c>
      <c r="F157" s="395">
        <v>0</v>
      </c>
      <c r="G157" s="395" t="s">
        <v>149</v>
      </c>
      <c r="H157" s="395" t="s">
        <v>150</v>
      </c>
      <c r="I157" s="395" t="s">
        <v>149</v>
      </c>
      <c r="J157" s="416"/>
      <c r="K157" s="390" t="s">
        <v>151</v>
      </c>
      <c r="L157" s="417" t="s">
        <v>528</v>
      </c>
      <c r="M157" s="418" t="s">
        <v>529</v>
      </c>
      <c r="N157" s="419"/>
      <c r="O157" s="420" t="s">
        <v>154</v>
      </c>
      <c r="P157" s="416" t="s">
        <v>154</v>
      </c>
      <c r="Q157" s="416" t="s">
        <v>154</v>
      </c>
      <c r="R157" s="416" t="s">
        <v>154</v>
      </c>
      <c r="S157" s="400"/>
      <c r="T157" s="400"/>
      <c r="U157" s="400"/>
      <c r="V157" s="400"/>
      <c r="W157" s="421"/>
      <c r="X157" s="421"/>
      <c r="Y157" s="421"/>
      <c r="Z157" s="400"/>
      <c r="AA157" s="400"/>
      <c r="AB157" s="400"/>
      <c r="AC157" s="400"/>
      <c r="AD157" s="400"/>
      <c r="AE157" s="400"/>
      <c r="AF157" s="400"/>
      <c r="AG157" s="400"/>
      <c r="AH157" s="400"/>
      <c r="AI157" s="400"/>
      <c r="AJ157" s="400"/>
      <c r="AK157" s="400" t="str">
        <f>LEFT(IF(ISBLANK(N157),"",N157&amp;"*")&amp;IF(ISBLANK(O157),"",O157&amp;"*")&amp;IF(ISBLANK(P157),"",P157&amp;"*")&amp;IF(ISBLANK(Q157),"",Q157&amp;"*"),2)</f>
        <v>S*</v>
      </c>
      <c r="AL157" s="400"/>
      <c r="AM157" s="400"/>
      <c r="AN157" s="400"/>
      <c r="AO157" s="400"/>
      <c r="AP157" s="400"/>
      <c r="AQ157" s="400"/>
      <c r="AR157" s="400"/>
      <c r="AS157" s="400"/>
      <c r="AT157" s="421"/>
      <c r="AU157" s="421"/>
      <c r="AV157" s="421"/>
      <c r="AW157" s="400"/>
      <c r="AX157" s="421"/>
      <c r="AY157" s="421"/>
      <c r="AZ157" s="421"/>
      <c r="BA157" s="422"/>
      <c r="BB157" s="402"/>
      <c r="BC157" s="402"/>
      <c r="BD157" s="402"/>
      <c r="BE157" s="390" t="s">
        <v>530</v>
      </c>
      <c r="BF157" s="478"/>
      <c r="BG157" s="478"/>
      <c r="BH157" s="478"/>
      <c r="BI157" s="478"/>
      <c r="BJ157" s="478"/>
      <c r="BK157" s="478"/>
      <c r="BL157" s="478"/>
      <c r="BM157" s="478"/>
      <c r="BN157" s="423" t="s">
        <v>531</v>
      </c>
      <c r="BO157" s="362"/>
      <c r="BP157" s="361"/>
      <c r="BQ157" s="255" t="s">
        <v>532</v>
      </c>
    </row>
    <row r="158" spans="1:79" s="1" customFormat="1" ht="129.6" hidden="1" customHeight="1" x14ac:dyDescent="0.25">
      <c r="A158" s="424" t="s">
        <v>533</v>
      </c>
      <c r="B158" s="498" t="s">
        <v>51</v>
      </c>
      <c r="C158" s="425" t="s">
        <v>534</v>
      </c>
      <c r="D158" s="390" t="s">
        <v>521</v>
      </c>
      <c r="E158" s="395" t="s">
        <v>149</v>
      </c>
      <c r="F158" s="395">
        <v>0</v>
      </c>
      <c r="G158" s="395" t="s">
        <v>149</v>
      </c>
      <c r="H158" s="395" t="s">
        <v>150</v>
      </c>
      <c r="I158" s="395" t="s">
        <v>149</v>
      </c>
      <c r="J158" s="400"/>
      <c r="K158" s="390" t="s">
        <v>151</v>
      </c>
      <c r="L158" s="426" t="s">
        <v>535</v>
      </c>
      <c r="M158" s="427" t="s">
        <v>536</v>
      </c>
      <c r="N158" s="428"/>
      <c r="O158" s="400" t="s">
        <v>154</v>
      </c>
      <c r="P158" s="400" t="s">
        <v>154</v>
      </c>
      <c r="Q158" s="400" t="s">
        <v>154</v>
      </c>
      <c r="R158" s="400" t="s">
        <v>154</v>
      </c>
      <c r="S158" s="400"/>
      <c r="T158" s="400"/>
      <c r="U158" s="400"/>
      <c r="V158" s="400"/>
      <c r="W158" s="421"/>
      <c r="X158" s="421"/>
      <c r="Y158" s="421"/>
      <c r="Z158" s="400"/>
      <c r="AA158" s="400"/>
      <c r="AB158" s="400"/>
      <c r="AC158" s="400"/>
      <c r="AD158" s="400"/>
      <c r="AE158" s="400"/>
      <c r="AF158" s="400"/>
      <c r="AG158" s="400"/>
      <c r="AH158" s="400"/>
      <c r="AI158" s="400"/>
      <c r="AJ158" s="400"/>
      <c r="AK158" s="400" t="str">
        <f t="shared" ref="AK158" si="12">LEFT(IF(ISBLANK(N158),"",N158&amp;"*")&amp;IF(ISBLANK(O158),"",O158&amp;"*")&amp;IF(ISBLANK(P158),"",P158&amp;"*")&amp;IF(ISBLANK(Q158),"",Q158&amp;"*"),2)</f>
        <v>S*</v>
      </c>
      <c r="AL158" s="400"/>
      <c r="AM158" s="400"/>
      <c r="AN158" s="400"/>
      <c r="AO158" s="400"/>
      <c r="AP158" s="400"/>
      <c r="AQ158" s="400"/>
      <c r="AR158" s="400"/>
      <c r="AS158" s="400"/>
      <c r="AT158" s="421"/>
      <c r="AU158" s="421"/>
      <c r="AV158" s="421"/>
      <c r="AW158" s="400"/>
      <c r="AX158" s="421"/>
      <c r="AY158" s="421"/>
      <c r="AZ158" s="421"/>
      <c r="BA158" s="429"/>
      <c r="BB158" s="402"/>
      <c r="BC158" s="402"/>
      <c r="BD158" s="402"/>
      <c r="BE158" s="390" t="s">
        <v>530</v>
      </c>
      <c r="BF158" s="482"/>
      <c r="BG158" s="482"/>
      <c r="BH158" s="482"/>
      <c r="BI158" s="482"/>
      <c r="BJ158" s="482"/>
      <c r="BK158" s="482"/>
      <c r="BL158" s="482"/>
      <c r="BM158" s="482"/>
      <c r="BN158" s="430" t="s">
        <v>537</v>
      </c>
      <c r="BO158" s="362"/>
      <c r="BP158" s="361"/>
      <c r="BQ158" s="256" t="s">
        <v>538</v>
      </c>
    </row>
    <row r="159" spans="1:79" s="1" customFormat="1" ht="48" customHeight="1" x14ac:dyDescent="0.25">
      <c r="A159" s="393" t="s">
        <v>539</v>
      </c>
      <c r="B159" s="572" t="s">
        <v>51</v>
      </c>
      <c r="C159" s="511" t="s">
        <v>540</v>
      </c>
      <c r="D159" s="501" t="s">
        <v>521</v>
      </c>
      <c r="E159" s="511" t="s">
        <v>149</v>
      </c>
      <c r="F159" s="511">
        <v>0</v>
      </c>
      <c r="G159" s="511" t="s">
        <v>149</v>
      </c>
      <c r="H159" s="511" t="s">
        <v>150</v>
      </c>
      <c r="I159" s="511" t="s">
        <v>149</v>
      </c>
      <c r="J159" s="501"/>
      <c r="K159" s="501" t="s">
        <v>151</v>
      </c>
      <c r="L159" s="511" t="s">
        <v>541</v>
      </c>
      <c r="M159" s="511" t="s">
        <v>542</v>
      </c>
      <c r="N159" s="406"/>
      <c r="O159" s="501" t="s">
        <v>154</v>
      </c>
      <c r="P159" s="501" t="s">
        <v>154</v>
      </c>
      <c r="Q159" s="501" t="s">
        <v>154</v>
      </c>
      <c r="R159" s="501" t="s">
        <v>154</v>
      </c>
      <c r="S159" s="501"/>
      <c r="T159" s="501"/>
      <c r="U159" s="501"/>
      <c r="V159" s="501"/>
      <c r="W159" s="548"/>
      <c r="X159" s="548"/>
      <c r="Y159" s="548"/>
      <c r="Z159" s="501" t="s">
        <v>154</v>
      </c>
      <c r="AA159" s="501" t="s">
        <v>155</v>
      </c>
      <c r="AB159" s="501" t="s">
        <v>155</v>
      </c>
      <c r="AC159" s="501" t="s">
        <v>155</v>
      </c>
      <c r="AD159" s="501" t="s">
        <v>155</v>
      </c>
      <c r="AE159" s="501" t="s">
        <v>155</v>
      </c>
      <c r="AF159" s="501" t="s">
        <v>155</v>
      </c>
      <c r="AG159" s="501" t="s">
        <v>155</v>
      </c>
      <c r="AH159" s="501" t="s">
        <v>155</v>
      </c>
      <c r="AI159" s="501"/>
      <c r="AJ159" s="501"/>
      <c r="AK159" s="501"/>
      <c r="AL159" s="405"/>
      <c r="AM159" s="501"/>
      <c r="AN159" s="405"/>
      <c r="AO159" s="501"/>
      <c r="AP159" s="405"/>
      <c r="AQ159" s="501"/>
      <c r="AR159" s="405"/>
      <c r="AS159" s="501"/>
      <c r="AT159" s="548"/>
      <c r="AU159" s="548"/>
      <c r="AV159" s="548"/>
      <c r="AW159" s="501" t="s">
        <v>242</v>
      </c>
      <c r="AX159" s="548"/>
      <c r="AY159" s="548"/>
      <c r="AZ159" s="548"/>
      <c r="BA159" s="564"/>
      <c r="BB159" s="507"/>
      <c r="BC159" s="507"/>
      <c r="BD159" s="507"/>
      <c r="BE159" s="501" t="s">
        <v>157</v>
      </c>
      <c r="BF159" s="553"/>
      <c r="BG159" s="553"/>
      <c r="BH159" s="553"/>
      <c r="BI159" s="553"/>
      <c r="BJ159" s="553"/>
      <c r="BK159" s="553"/>
      <c r="BL159" s="553"/>
      <c r="BM159" s="553"/>
      <c r="BN159" s="573" t="s">
        <v>543</v>
      </c>
      <c r="BO159" s="678" t="s">
        <v>4402</v>
      </c>
      <c r="BP159" s="679" t="s">
        <v>561</v>
      </c>
      <c r="BQ159" s="201" t="s">
        <v>544</v>
      </c>
    </row>
    <row r="160" spans="1:79" s="37" customFormat="1" ht="14.4" x14ac:dyDescent="0.25">
      <c r="A160" s="431" t="s">
        <v>545</v>
      </c>
      <c r="B160" s="493"/>
      <c r="C160" s="493"/>
      <c r="D160" s="495"/>
      <c r="E160" s="493"/>
      <c r="F160" s="493"/>
      <c r="G160" s="493"/>
      <c r="H160" s="493"/>
      <c r="I160" s="494"/>
      <c r="J160" s="493"/>
      <c r="K160" s="493"/>
      <c r="L160" s="493"/>
      <c r="M160" s="493"/>
      <c r="N160" s="495"/>
      <c r="O160" s="384"/>
      <c r="P160" s="384"/>
      <c r="Q160" s="384"/>
      <c r="R160" s="384"/>
      <c r="S160" s="429"/>
      <c r="T160" s="429"/>
      <c r="U160" s="429"/>
      <c r="V160" s="429"/>
      <c r="W160" s="574"/>
      <c r="X160" s="574"/>
      <c r="Y160" s="574"/>
      <c r="Z160" s="574"/>
      <c r="AA160" s="574"/>
      <c r="AB160" s="574"/>
      <c r="AC160" s="574"/>
      <c r="AD160" s="574" t="str">
        <f>IF(ISBLANK(AA160),"",AA160&amp;"*")</f>
        <v/>
      </c>
      <c r="AE160" s="574" t="str">
        <f t="shared" ref="AE160:AE170" si="13">IF(ISBLANK(AA160),"",AA160)</f>
        <v/>
      </c>
      <c r="AF160" s="574" t="str">
        <f t="shared" si="11"/>
        <v/>
      </c>
      <c r="AG160" s="574"/>
      <c r="AH160" s="574"/>
      <c r="AI160" s="574"/>
      <c r="AJ160" s="574"/>
      <c r="AK160" s="574" t="str">
        <f>LEFT(IF(ISBLANK(N160),"",N160&amp;"*")&amp;IF(ISBLANK(O160),"",O160&amp;"*")&amp;IF(ISBLANK(P160),"",P160&amp;"*")&amp;IF(ISBLANK(Q160),"",Q160&amp;"*"),2)</f>
        <v/>
      </c>
      <c r="AL160" s="429"/>
      <c r="AM160" s="574"/>
      <c r="AN160" s="429"/>
      <c r="AO160" s="574"/>
      <c r="AP160" s="429"/>
      <c r="AQ160" s="574"/>
      <c r="AR160" s="429"/>
      <c r="AS160" s="574"/>
      <c r="AT160" s="574"/>
      <c r="AU160" s="574"/>
      <c r="AV160" s="574"/>
      <c r="AW160" s="574"/>
      <c r="AX160" s="574"/>
      <c r="AY160" s="574"/>
      <c r="AZ160" s="574"/>
      <c r="BA160" s="496"/>
      <c r="BB160" s="496"/>
      <c r="BC160" s="496"/>
      <c r="BD160" s="496" t="str">
        <f>LEFT(IF(ISBLANK(O160),"",O160&amp;"*")&amp;IF(ISBLANK(P160),"",P160&amp;"*")&amp;IF(ISBLANK(Q160),"",Q160&amp;"*")&amp;IF(ISBLANK(R160),"",R160&amp;"*"),2)</f>
        <v/>
      </c>
      <c r="BE160" s="493"/>
      <c r="BF160" s="493"/>
      <c r="BG160" s="493"/>
      <c r="BH160" s="493"/>
      <c r="BI160" s="493"/>
      <c r="BJ160" s="493"/>
      <c r="BK160" s="493"/>
      <c r="BL160" s="493"/>
      <c r="BM160" s="493"/>
      <c r="BN160" s="497"/>
      <c r="BO160" s="313"/>
      <c r="BP160" s="251"/>
      <c r="BQ160" s="104"/>
    </row>
    <row r="161" spans="1:69" s="1" customFormat="1" ht="28.8" x14ac:dyDescent="0.25">
      <c r="A161" s="393" t="s">
        <v>546</v>
      </c>
      <c r="B161" s="498" t="s">
        <v>51</v>
      </c>
      <c r="C161" s="432" t="s">
        <v>547</v>
      </c>
      <c r="D161" s="433" t="s">
        <v>374</v>
      </c>
      <c r="E161" s="539" t="s">
        <v>149</v>
      </c>
      <c r="F161" s="503">
        <v>0</v>
      </c>
      <c r="G161" s="539" t="s">
        <v>149</v>
      </c>
      <c r="H161" s="503" t="s">
        <v>150</v>
      </c>
      <c r="I161" s="539" t="s">
        <v>149</v>
      </c>
      <c r="J161" s="539"/>
      <c r="K161" s="539" t="s">
        <v>151</v>
      </c>
      <c r="L161" s="503" t="s">
        <v>548</v>
      </c>
      <c r="M161" s="347" t="s">
        <v>549</v>
      </c>
      <c r="N161" s="433"/>
      <c r="O161" s="499" t="s">
        <v>154</v>
      </c>
      <c r="P161" s="499" t="s">
        <v>154</v>
      </c>
      <c r="Q161" s="499" t="s">
        <v>154</v>
      </c>
      <c r="R161" s="499" t="s">
        <v>154</v>
      </c>
      <c r="S161" s="499"/>
      <c r="T161" s="499"/>
      <c r="U161" s="499"/>
      <c r="V161" s="499"/>
      <c r="W161" s="519"/>
      <c r="X161" s="519"/>
      <c r="Y161" s="519"/>
      <c r="Z161" s="499"/>
      <c r="AA161" s="499"/>
      <c r="AB161" s="499"/>
      <c r="AC161" s="499"/>
      <c r="AD161" s="499" t="str">
        <f>IF(ISBLANK(AA161),"",AA161)</f>
        <v/>
      </c>
      <c r="AE161" s="499" t="str">
        <f t="shared" si="13"/>
        <v/>
      </c>
      <c r="AF161" s="499" t="str">
        <f t="shared" si="11"/>
        <v/>
      </c>
      <c r="AG161" s="519"/>
      <c r="AH161" s="519"/>
      <c r="AI161" s="519"/>
      <c r="AJ161" s="519"/>
      <c r="AK161" s="499" t="str">
        <f t="shared" ref="AK161:AK169" si="14">LEFT(IF(ISBLANK(N161),"",N161&amp;"*")&amp;IF(ISBLANK(O161),"",O161&amp;"*")&amp;IF(ISBLANK(P161),"",P161&amp;"*")&amp;IF(ISBLANK(Q161),"",Q161&amp;"*"),2)</f>
        <v>S*</v>
      </c>
      <c r="AL161" s="390"/>
      <c r="AM161" s="499"/>
      <c r="AN161" s="390"/>
      <c r="AO161" s="499"/>
      <c r="AP161" s="390"/>
      <c r="AQ161" s="499"/>
      <c r="AR161" s="390"/>
      <c r="AS161" s="499"/>
      <c r="AT161" s="499"/>
      <c r="AU161" s="499"/>
      <c r="AV161" s="499"/>
      <c r="AW161" s="499" t="s">
        <v>341</v>
      </c>
      <c r="AX161" s="499"/>
      <c r="AY161" s="499"/>
      <c r="AZ161" s="499"/>
      <c r="BA161" s="506"/>
      <c r="BB161" s="507"/>
      <c r="BC161" s="507"/>
      <c r="BD161" s="507"/>
      <c r="BE161" s="539" t="s">
        <v>157</v>
      </c>
      <c r="BF161" s="539"/>
      <c r="BG161" s="539"/>
      <c r="BH161" s="539"/>
      <c r="BI161" s="539"/>
      <c r="BJ161" s="539"/>
      <c r="BK161" s="539"/>
      <c r="BL161" s="539"/>
      <c r="BM161" s="539"/>
      <c r="BN161" s="547"/>
      <c r="BO161" s="678" t="s">
        <v>4402</v>
      </c>
      <c r="BP161" s="679" t="s">
        <v>561</v>
      </c>
      <c r="BQ161" s="104" t="s">
        <v>550</v>
      </c>
    </row>
    <row r="162" spans="1:69" s="1" customFormat="1" ht="28.8" x14ac:dyDescent="0.25">
      <c r="A162" s="393" t="s">
        <v>551</v>
      </c>
      <c r="B162" s="498" t="s">
        <v>51</v>
      </c>
      <c r="C162" s="432" t="s">
        <v>552</v>
      </c>
      <c r="D162" s="433" t="s">
        <v>374</v>
      </c>
      <c r="E162" s="539" t="s">
        <v>149</v>
      </c>
      <c r="F162" s="503">
        <v>0</v>
      </c>
      <c r="G162" s="539" t="s">
        <v>149</v>
      </c>
      <c r="H162" s="503" t="s">
        <v>150</v>
      </c>
      <c r="I162" s="539" t="s">
        <v>149</v>
      </c>
      <c r="J162" s="539"/>
      <c r="K162" s="539" t="s">
        <v>151</v>
      </c>
      <c r="L162" s="503" t="s">
        <v>553</v>
      </c>
      <c r="M162" s="347" t="s">
        <v>549</v>
      </c>
      <c r="N162" s="433"/>
      <c r="O162" s="499" t="s">
        <v>154</v>
      </c>
      <c r="P162" s="499" t="s">
        <v>154</v>
      </c>
      <c r="Q162" s="499" t="s">
        <v>154</v>
      </c>
      <c r="R162" s="499" t="s">
        <v>154</v>
      </c>
      <c r="S162" s="499"/>
      <c r="T162" s="499"/>
      <c r="U162" s="499"/>
      <c r="V162" s="499"/>
      <c r="W162" s="519"/>
      <c r="X162" s="519"/>
      <c r="Y162" s="519"/>
      <c r="Z162" s="499"/>
      <c r="AA162" s="499"/>
      <c r="AB162" s="499"/>
      <c r="AC162" s="499"/>
      <c r="AD162" s="499" t="str">
        <f t="shared" ref="AD162:AD169" si="15">IF(ISBLANK(AA162),"",AA162)</f>
        <v/>
      </c>
      <c r="AE162" s="499" t="str">
        <f t="shared" si="13"/>
        <v/>
      </c>
      <c r="AF162" s="499" t="str">
        <f t="shared" si="11"/>
        <v/>
      </c>
      <c r="AG162" s="519"/>
      <c r="AH162" s="519"/>
      <c r="AI162" s="519"/>
      <c r="AJ162" s="519"/>
      <c r="AK162" s="499" t="str">
        <f t="shared" si="14"/>
        <v>S*</v>
      </c>
      <c r="AL162" s="390"/>
      <c r="AM162" s="499"/>
      <c r="AN162" s="390"/>
      <c r="AO162" s="499"/>
      <c r="AP162" s="390"/>
      <c r="AQ162" s="499"/>
      <c r="AR162" s="390"/>
      <c r="AS162" s="499"/>
      <c r="AT162" s="499"/>
      <c r="AU162" s="499"/>
      <c r="AV162" s="499"/>
      <c r="AW162" s="499" t="s">
        <v>341</v>
      </c>
      <c r="AX162" s="499"/>
      <c r="AY162" s="499"/>
      <c r="AZ162" s="499"/>
      <c r="BA162" s="506"/>
      <c r="BB162" s="507"/>
      <c r="BC162" s="507"/>
      <c r="BD162" s="507"/>
      <c r="BE162" s="539" t="s">
        <v>157</v>
      </c>
      <c r="BF162" s="539"/>
      <c r="BG162" s="539"/>
      <c r="BH162" s="539"/>
      <c r="BI162" s="539"/>
      <c r="BJ162" s="539"/>
      <c r="BK162" s="539"/>
      <c r="BL162" s="539"/>
      <c r="BM162" s="539"/>
      <c r="BN162" s="547"/>
      <c r="BO162" s="678" t="s">
        <v>4402</v>
      </c>
      <c r="BP162" s="679" t="s">
        <v>561</v>
      </c>
      <c r="BQ162" s="104" t="s">
        <v>550</v>
      </c>
    </row>
    <row r="163" spans="1:69" s="1" customFormat="1" ht="28.8" x14ac:dyDescent="0.25">
      <c r="A163" s="393" t="s">
        <v>554</v>
      </c>
      <c r="B163" s="498" t="s">
        <v>51</v>
      </c>
      <c r="C163" s="432" t="s">
        <v>555</v>
      </c>
      <c r="D163" s="433" t="s">
        <v>374</v>
      </c>
      <c r="E163" s="539" t="s">
        <v>149</v>
      </c>
      <c r="F163" s="503">
        <v>0</v>
      </c>
      <c r="G163" s="539" t="s">
        <v>149</v>
      </c>
      <c r="H163" s="503" t="s">
        <v>150</v>
      </c>
      <c r="I163" s="539" t="s">
        <v>149</v>
      </c>
      <c r="J163" s="539"/>
      <c r="K163" s="539" t="s">
        <v>151</v>
      </c>
      <c r="L163" s="503" t="s">
        <v>556</v>
      </c>
      <c r="M163" s="347" t="s">
        <v>549</v>
      </c>
      <c r="N163" s="433"/>
      <c r="O163" s="499" t="s">
        <v>154</v>
      </c>
      <c r="P163" s="499" t="s">
        <v>154</v>
      </c>
      <c r="Q163" s="499" t="s">
        <v>154</v>
      </c>
      <c r="R163" s="499" t="s">
        <v>154</v>
      </c>
      <c r="S163" s="499"/>
      <c r="T163" s="499"/>
      <c r="U163" s="499"/>
      <c r="V163" s="499"/>
      <c r="W163" s="519"/>
      <c r="X163" s="519"/>
      <c r="Y163" s="519"/>
      <c r="Z163" s="499"/>
      <c r="AA163" s="499"/>
      <c r="AB163" s="499"/>
      <c r="AC163" s="499"/>
      <c r="AD163" s="499" t="str">
        <f t="shared" si="15"/>
        <v/>
      </c>
      <c r="AE163" s="499" t="str">
        <f t="shared" si="13"/>
        <v/>
      </c>
      <c r="AF163" s="499" t="str">
        <f t="shared" si="11"/>
        <v/>
      </c>
      <c r="AG163" s="519"/>
      <c r="AH163" s="519"/>
      <c r="AI163" s="519"/>
      <c r="AJ163" s="519"/>
      <c r="AK163" s="499" t="str">
        <f t="shared" si="14"/>
        <v>S*</v>
      </c>
      <c r="AL163" s="390"/>
      <c r="AM163" s="499"/>
      <c r="AN163" s="390"/>
      <c r="AO163" s="499"/>
      <c r="AP163" s="390"/>
      <c r="AQ163" s="499"/>
      <c r="AR163" s="390"/>
      <c r="AS163" s="499"/>
      <c r="AT163" s="499"/>
      <c r="AU163" s="499"/>
      <c r="AV163" s="499"/>
      <c r="AW163" s="499" t="s">
        <v>341</v>
      </c>
      <c r="AX163" s="499"/>
      <c r="AY163" s="499"/>
      <c r="AZ163" s="499"/>
      <c r="BA163" s="506"/>
      <c r="BB163" s="507"/>
      <c r="BC163" s="507"/>
      <c r="BD163" s="507"/>
      <c r="BE163" s="539" t="s">
        <v>157</v>
      </c>
      <c r="BF163" s="539"/>
      <c r="BG163" s="539"/>
      <c r="BH163" s="539"/>
      <c r="BI163" s="539"/>
      <c r="BJ163" s="539"/>
      <c r="BK163" s="539"/>
      <c r="BL163" s="539"/>
      <c r="BM163" s="539"/>
      <c r="BN163" s="547"/>
      <c r="BO163" s="678" t="s">
        <v>4402</v>
      </c>
      <c r="BP163" s="679" t="s">
        <v>561</v>
      </c>
      <c r="BQ163" s="104" t="s">
        <v>550</v>
      </c>
    </row>
    <row r="164" spans="1:69" s="1" customFormat="1" ht="57.6" x14ac:dyDescent="0.25">
      <c r="A164" s="393" t="s">
        <v>557</v>
      </c>
      <c r="B164" s="498" t="s">
        <v>51</v>
      </c>
      <c r="C164" s="692" t="s">
        <v>558</v>
      </c>
      <c r="D164" s="433" t="s">
        <v>374</v>
      </c>
      <c r="E164" s="539" t="s">
        <v>149</v>
      </c>
      <c r="F164" s="503">
        <v>0</v>
      </c>
      <c r="G164" s="539" t="s">
        <v>149</v>
      </c>
      <c r="H164" s="503" t="s">
        <v>150</v>
      </c>
      <c r="I164" s="539" t="s">
        <v>149</v>
      </c>
      <c r="J164" s="539"/>
      <c r="K164" s="539" t="s">
        <v>151</v>
      </c>
      <c r="L164" s="503" t="s">
        <v>559</v>
      </c>
      <c r="M164" s="347" t="s">
        <v>549</v>
      </c>
      <c r="N164" s="433"/>
      <c r="O164" s="499" t="s">
        <v>154</v>
      </c>
      <c r="P164" s="499" t="s">
        <v>154</v>
      </c>
      <c r="Q164" s="499" t="s">
        <v>154</v>
      </c>
      <c r="R164" s="499" t="s">
        <v>154</v>
      </c>
      <c r="S164" s="499"/>
      <c r="T164" s="499"/>
      <c r="U164" s="499"/>
      <c r="V164" s="499"/>
      <c r="W164" s="519"/>
      <c r="X164" s="519"/>
      <c r="Y164" s="519"/>
      <c r="Z164" s="499"/>
      <c r="AA164" s="499"/>
      <c r="AB164" s="499"/>
      <c r="AC164" s="499"/>
      <c r="AD164" s="499" t="str">
        <f t="shared" si="15"/>
        <v/>
      </c>
      <c r="AE164" s="499" t="str">
        <f t="shared" si="13"/>
        <v/>
      </c>
      <c r="AF164" s="499" t="str">
        <f t="shared" si="11"/>
        <v/>
      </c>
      <c r="AG164" s="519"/>
      <c r="AH164" s="519"/>
      <c r="AI164" s="519"/>
      <c r="AJ164" s="519"/>
      <c r="AK164" s="499" t="str">
        <f t="shared" si="14"/>
        <v>S*</v>
      </c>
      <c r="AL164" s="390"/>
      <c r="AM164" s="499"/>
      <c r="AN164" s="390"/>
      <c r="AO164" s="499"/>
      <c r="AP164" s="390"/>
      <c r="AQ164" s="499"/>
      <c r="AR164" s="390"/>
      <c r="AS164" s="499"/>
      <c r="AT164" s="499"/>
      <c r="AU164" s="499"/>
      <c r="AV164" s="499"/>
      <c r="AW164" s="499" t="s">
        <v>341</v>
      </c>
      <c r="AX164" s="499"/>
      <c r="AY164" s="499"/>
      <c r="AZ164" s="499"/>
      <c r="BA164" s="506"/>
      <c r="BB164" s="507"/>
      <c r="BC164" s="507"/>
      <c r="BD164" s="507"/>
      <c r="BE164" s="539" t="s">
        <v>157</v>
      </c>
      <c r="BF164" s="539"/>
      <c r="BG164" s="539"/>
      <c r="BH164" s="539"/>
      <c r="BI164" s="539"/>
      <c r="BJ164" s="539"/>
      <c r="BK164" s="539"/>
      <c r="BL164" s="539"/>
      <c r="BM164" s="539"/>
      <c r="BN164" s="547"/>
      <c r="BO164" s="312" t="s">
        <v>560</v>
      </c>
      <c r="BP164" s="246" t="s">
        <v>561</v>
      </c>
      <c r="BQ164" s="122" t="s">
        <v>562</v>
      </c>
    </row>
    <row r="165" spans="1:69" s="1" customFormat="1" ht="29.25" customHeight="1" x14ac:dyDescent="0.25">
      <c r="A165" s="393" t="s">
        <v>563</v>
      </c>
      <c r="B165" s="498" t="s">
        <v>51</v>
      </c>
      <c r="C165" s="692" t="s">
        <v>564</v>
      </c>
      <c r="D165" s="433" t="s">
        <v>374</v>
      </c>
      <c r="E165" s="539" t="s">
        <v>149</v>
      </c>
      <c r="F165" s="503">
        <v>0</v>
      </c>
      <c r="G165" s="539" t="s">
        <v>149</v>
      </c>
      <c r="H165" s="503" t="s">
        <v>150</v>
      </c>
      <c r="I165" s="539" t="s">
        <v>149</v>
      </c>
      <c r="J165" s="539"/>
      <c r="K165" s="539" t="s">
        <v>151</v>
      </c>
      <c r="L165" s="503" t="s">
        <v>565</v>
      </c>
      <c r="M165" s="347" t="s">
        <v>549</v>
      </c>
      <c r="N165" s="433"/>
      <c r="O165" s="499" t="s">
        <v>154</v>
      </c>
      <c r="P165" s="499" t="s">
        <v>154</v>
      </c>
      <c r="Q165" s="499" t="s">
        <v>154</v>
      </c>
      <c r="R165" s="499" t="s">
        <v>154</v>
      </c>
      <c r="S165" s="499"/>
      <c r="T165" s="499"/>
      <c r="U165" s="499"/>
      <c r="V165" s="499"/>
      <c r="W165" s="519"/>
      <c r="X165" s="519"/>
      <c r="Y165" s="519"/>
      <c r="Z165" s="499"/>
      <c r="AA165" s="499"/>
      <c r="AB165" s="499"/>
      <c r="AC165" s="499"/>
      <c r="AD165" s="499"/>
      <c r="AE165" s="499"/>
      <c r="AF165" s="499"/>
      <c r="AG165" s="519"/>
      <c r="AH165" s="519"/>
      <c r="AI165" s="519"/>
      <c r="AJ165" s="519"/>
      <c r="AK165" s="499" t="str">
        <f t="shared" si="14"/>
        <v>S*</v>
      </c>
      <c r="AL165" s="390"/>
      <c r="AM165" s="499"/>
      <c r="AN165" s="390"/>
      <c r="AO165" s="499"/>
      <c r="AP165" s="390"/>
      <c r="AQ165" s="499"/>
      <c r="AR165" s="390"/>
      <c r="AS165" s="499"/>
      <c r="AT165" s="499"/>
      <c r="AU165" s="499"/>
      <c r="AV165" s="499"/>
      <c r="AW165" s="499" t="s">
        <v>341</v>
      </c>
      <c r="AX165" s="499"/>
      <c r="AY165" s="499"/>
      <c r="AZ165" s="499"/>
      <c r="BA165" s="506"/>
      <c r="BB165" s="507"/>
      <c r="BC165" s="507"/>
      <c r="BD165" s="507"/>
      <c r="BE165" s="539" t="s">
        <v>157</v>
      </c>
      <c r="BF165" s="539"/>
      <c r="BG165" s="539"/>
      <c r="BH165" s="539"/>
      <c r="BI165" s="539"/>
      <c r="BJ165" s="539"/>
      <c r="BK165" s="539"/>
      <c r="BL165" s="539"/>
      <c r="BM165" s="539"/>
      <c r="BN165" s="547"/>
      <c r="BO165" s="312" t="s">
        <v>560</v>
      </c>
      <c r="BP165" s="246" t="s">
        <v>561</v>
      </c>
      <c r="BQ165" s="122" t="s">
        <v>566</v>
      </c>
    </row>
    <row r="166" spans="1:69" s="1" customFormat="1" ht="29.25" customHeight="1" x14ac:dyDescent="0.25">
      <c r="A166" s="393" t="s">
        <v>567</v>
      </c>
      <c r="B166" s="498" t="s">
        <v>51</v>
      </c>
      <c r="C166" s="432" t="s">
        <v>568</v>
      </c>
      <c r="D166" s="433" t="s">
        <v>148</v>
      </c>
      <c r="E166" s="539" t="s">
        <v>149</v>
      </c>
      <c r="F166" s="503">
        <v>0</v>
      </c>
      <c r="G166" s="539" t="s">
        <v>149</v>
      </c>
      <c r="H166" s="503" t="s">
        <v>150</v>
      </c>
      <c r="I166" s="539" t="s">
        <v>149</v>
      </c>
      <c r="J166" s="539"/>
      <c r="K166" s="539" t="s">
        <v>151</v>
      </c>
      <c r="L166" s="503" t="s">
        <v>569</v>
      </c>
      <c r="M166" s="347" t="s">
        <v>549</v>
      </c>
      <c r="N166" s="433"/>
      <c r="O166" s="499" t="s">
        <v>154</v>
      </c>
      <c r="P166" s="499" t="s">
        <v>154</v>
      </c>
      <c r="Q166" s="499" t="s">
        <v>154</v>
      </c>
      <c r="R166" s="499" t="s">
        <v>154</v>
      </c>
      <c r="S166" s="499"/>
      <c r="T166" s="499"/>
      <c r="U166" s="499"/>
      <c r="V166" s="499"/>
      <c r="W166" s="519"/>
      <c r="X166" s="519"/>
      <c r="Y166" s="519"/>
      <c r="Z166" s="499"/>
      <c r="AA166" s="499"/>
      <c r="AB166" s="499"/>
      <c r="AC166" s="499"/>
      <c r="AD166" s="499" t="str">
        <f t="shared" si="15"/>
        <v/>
      </c>
      <c r="AE166" s="499" t="str">
        <f t="shared" si="13"/>
        <v/>
      </c>
      <c r="AF166" s="499" t="str">
        <f t="shared" si="11"/>
        <v/>
      </c>
      <c r="AG166" s="519"/>
      <c r="AH166" s="519"/>
      <c r="AI166" s="519"/>
      <c r="AJ166" s="519"/>
      <c r="AK166" s="499" t="str">
        <f t="shared" si="14"/>
        <v>S*</v>
      </c>
      <c r="AL166" s="390"/>
      <c r="AM166" s="499"/>
      <c r="AN166" s="390"/>
      <c r="AO166" s="499"/>
      <c r="AP166" s="390"/>
      <c r="AQ166" s="499"/>
      <c r="AR166" s="390"/>
      <c r="AS166" s="499"/>
      <c r="AT166" s="499"/>
      <c r="AU166" s="499"/>
      <c r="AV166" s="499"/>
      <c r="AW166" s="499" t="s">
        <v>341</v>
      </c>
      <c r="AX166" s="499"/>
      <c r="AY166" s="499"/>
      <c r="AZ166" s="499"/>
      <c r="BA166" s="506"/>
      <c r="BB166" s="507"/>
      <c r="BC166" s="507"/>
      <c r="BD166" s="507"/>
      <c r="BE166" s="539" t="s">
        <v>157</v>
      </c>
      <c r="BF166" s="539"/>
      <c r="BG166" s="539"/>
      <c r="BH166" s="539"/>
      <c r="BI166" s="539"/>
      <c r="BJ166" s="539"/>
      <c r="BK166" s="539"/>
      <c r="BL166" s="539"/>
      <c r="BM166" s="539"/>
      <c r="BN166" s="547" t="s">
        <v>570</v>
      </c>
      <c r="BO166" s="678" t="s">
        <v>4402</v>
      </c>
      <c r="BP166" s="679" t="s">
        <v>561</v>
      </c>
      <c r="BQ166" s="122" t="s">
        <v>562</v>
      </c>
    </row>
    <row r="167" spans="1:69" s="1" customFormat="1" ht="28.8" x14ac:dyDescent="0.25">
      <c r="A167" s="393" t="s">
        <v>571</v>
      </c>
      <c r="B167" s="498" t="s">
        <v>51</v>
      </c>
      <c r="C167" s="432" t="s">
        <v>572</v>
      </c>
      <c r="D167" s="433" t="s">
        <v>573</v>
      </c>
      <c r="E167" s="539" t="s">
        <v>149</v>
      </c>
      <c r="F167" s="503">
        <v>0</v>
      </c>
      <c r="G167" s="539" t="s">
        <v>149</v>
      </c>
      <c r="H167" s="503" t="s">
        <v>150</v>
      </c>
      <c r="I167" s="539" t="s">
        <v>149</v>
      </c>
      <c r="J167" s="539"/>
      <c r="K167" s="539" t="s">
        <v>151</v>
      </c>
      <c r="L167" s="503" t="s">
        <v>574</v>
      </c>
      <c r="M167" s="347" t="s">
        <v>549</v>
      </c>
      <c r="N167" s="433"/>
      <c r="O167" s="499" t="s">
        <v>154</v>
      </c>
      <c r="P167" s="499" t="s">
        <v>154</v>
      </c>
      <c r="Q167" s="499" t="s">
        <v>154</v>
      </c>
      <c r="R167" s="499" t="s">
        <v>154</v>
      </c>
      <c r="S167" s="499"/>
      <c r="T167" s="499"/>
      <c r="U167" s="499"/>
      <c r="V167" s="499"/>
      <c r="W167" s="519"/>
      <c r="X167" s="519"/>
      <c r="Y167" s="519"/>
      <c r="Z167" s="499"/>
      <c r="AA167" s="499"/>
      <c r="AB167" s="499"/>
      <c r="AC167" s="499"/>
      <c r="AD167" s="499" t="str">
        <f t="shared" si="15"/>
        <v/>
      </c>
      <c r="AE167" s="499" t="str">
        <f t="shared" si="13"/>
        <v/>
      </c>
      <c r="AF167" s="499" t="str">
        <f t="shared" si="11"/>
        <v/>
      </c>
      <c r="AG167" s="519"/>
      <c r="AH167" s="519"/>
      <c r="AI167" s="519"/>
      <c r="AJ167" s="519"/>
      <c r="AK167" s="499" t="str">
        <f t="shared" si="14"/>
        <v>S*</v>
      </c>
      <c r="AL167" s="390"/>
      <c r="AM167" s="499"/>
      <c r="AN167" s="390"/>
      <c r="AO167" s="499"/>
      <c r="AP167" s="390"/>
      <c r="AQ167" s="499"/>
      <c r="AR167" s="390"/>
      <c r="AS167" s="499"/>
      <c r="AT167" s="499"/>
      <c r="AU167" s="499"/>
      <c r="AV167" s="499"/>
      <c r="AW167" s="499" t="s">
        <v>341</v>
      </c>
      <c r="AX167" s="499"/>
      <c r="AY167" s="499"/>
      <c r="AZ167" s="499"/>
      <c r="BA167" s="506"/>
      <c r="BB167" s="507"/>
      <c r="BC167" s="507"/>
      <c r="BD167" s="507"/>
      <c r="BE167" s="539" t="s">
        <v>157</v>
      </c>
      <c r="BF167" s="539"/>
      <c r="BG167" s="539"/>
      <c r="BH167" s="539"/>
      <c r="BI167" s="539"/>
      <c r="BJ167" s="539"/>
      <c r="BK167" s="539"/>
      <c r="BL167" s="539"/>
      <c r="BM167" s="539"/>
      <c r="BN167" s="547" t="s">
        <v>575</v>
      </c>
      <c r="BO167" s="678" t="s">
        <v>4402</v>
      </c>
      <c r="BP167" s="679" t="s">
        <v>561</v>
      </c>
      <c r="BQ167" s="104" t="s">
        <v>550</v>
      </c>
    </row>
    <row r="168" spans="1:69" s="1" customFormat="1" ht="28.8" x14ac:dyDescent="0.25">
      <c r="A168" s="393" t="s">
        <v>576</v>
      </c>
      <c r="B168" s="498" t="s">
        <v>51</v>
      </c>
      <c r="C168" s="432" t="s">
        <v>577</v>
      </c>
      <c r="D168" s="433" t="s">
        <v>573</v>
      </c>
      <c r="E168" s="539" t="s">
        <v>149</v>
      </c>
      <c r="F168" s="503">
        <v>0</v>
      </c>
      <c r="G168" s="539" t="s">
        <v>149</v>
      </c>
      <c r="H168" s="503" t="s">
        <v>150</v>
      </c>
      <c r="I168" s="539" t="s">
        <v>149</v>
      </c>
      <c r="J168" s="539"/>
      <c r="K168" s="539" t="s">
        <v>151</v>
      </c>
      <c r="L168" s="503" t="s">
        <v>578</v>
      </c>
      <c r="M168" s="347" t="s">
        <v>549</v>
      </c>
      <c r="N168" s="433"/>
      <c r="O168" s="499" t="s">
        <v>154</v>
      </c>
      <c r="P168" s="499" t="s">
        <v>154</v>
      </c>
      <c r="Q168" s="499" t="s">
        <v>154</v>
      </c>
      <c r="R168" s="499" t="s">
        <v>154</v>
      </c>
      <c r="S168" s="499"/>
      <c r="T168" s="499"/>
      <c r="U168" s="499"/>
      <c r="V168" s="499"/>
      <c r="W168" s="519"/>
      <c r="X168" s="519"/>
      <c r="Y168" s="519"/>
      <c r="Z168" s="499"/>
      <c r="AA168" s="499"/>
      <c r="AB168" s="499"/>
      <c r="AC168" s="499"/>
      <c r="AD168" s="499" t="str">
        <f t="shared" si="15"/>
        <v/>
      </c>
      <c r="AE168" s="499" t="str">
        <f t="shared" si="13"/>
        <v/>
      </c>
      <c r="AF168" s="499" t="str">
        <f t="shared" si="11"/>
        <v/>
      </c>
      <c r="AG168" s="519"/>
      <c r="AH168" s="519"/>
      <c r="AI168" s="519"/>
      <c r="AJ168" s="519"/>
      <c r="AK168" s="499" t="str">
        <f t="shared" si="14"/>
        <v>S*</v>
      </c>
      <c r="AL168" s="390"/>
      <c r="AM168" s="499"/>
      <c r="AN168" s="390"/>
      <c r="AO168" s="499"/>
      <c r="AP168" s="390"/>
      <c r="AQ168" s="499"/>
      <c r="AR168" s="390"/>
      <c r="AS168" s="499"/>
      <c r="AT168" s="499"/>
      <c r="AU168" s="499"/>
      <c r="AV168" s="499"/>
      <c r="AW168" s="499" t="s">
        <v>341</v>
      </c>
      <c r="AX168" s="499"/>
      <c r="AY168" s="499"/>
      <c r="AZ168" s="499"/>
      <c r="BA168" s="506"/>
      <c r="BB168" s="507"/>
      <c r="BC168" s="507"/>
      <c r="BD168" s="507"/>
      <c r="BE168" s="539" t="s">
        <v>157</v>
      </c>
      <c r="BF168" s="539"/>
      <c r="BG168" s="539"/>
      <c r="BH168" s="539"/>
      <c r="BI168" s="539"/>
      <c r="BJ168" s="539"/>
      <c r="BK168" s="539"/>
      <c r="BL168" s="539"/>
      <c r="BM168" s="539"/>
      <c r="BN168" s="547" t="s">
        <v>575</v>
      </c>
      <c r="BO168" s="678" t="s">
        <v>4402</v>
      </c>
      <c r="BP168" s="679" t="s">
        <v>561</v>
      </c>
      <c r="BQ168" s="104" t="s">
        <v>550</v>
      </c>
    </row>
    <row r="169" spans="1:69" s="1" customFormat="1" ht="14.4" x14ac:dyDescent="0.25">
      <c r="A169" s="393" t="s">
        <v>579</v>
      </c>
      <c r="B169" s="498" t="s">
        <v>580</v>
      </c>
      <c r="C169" s="432" t="s">
        <v>581</v>
      </c>
      <c r="D169" s="433" t="s">
        <v>148</v>
      </c>
      <c r="E169" s="539" t="s">
        <v>149</v>
      </c>
      <c r="F169" s="503">
        <v>0</v>
      </c>
      <c r="G169" s="539" t="s">
        <v>149</v>
      </c>
      <c r="H169" s="503" t="s">
        <v>150</v>
      </c>
      <c r="I169" s="539" t="s">
        <v>149</v>
      </c>
      <c r="J169" s="539"/>
      <c r="K169" s="539" t="s">
        <v>151</v>
      </c>
      <c r="L169" s="503" t="s">
        <v>582</v>
      </c>
      <c r="M169" s="503"/>
      <c r="N169" s="433"/>
      <c r="O169" s="499" t="s">
        <v>154</v>
      </c>
      <c r="P169" s="499" t="s">
        <v>154</v>
      </c>
      <c r="Q169" s="499" t="s">
        <v>154</v>
      </c>
      <c r="R169" s="499" t="s">
        <v>154</v>
      </c>
      <c r="S169" s="499"/>
      <c r="T169" s="499"/>
      <c r="U169" s="499"/>
      <c r="V169" s="499"/>
      <c r="W169" s="519"/>
      <c r="X169" s="519"/>
      <c r="Y169" s="519"/>
      <c r="Z169" s="499"/>
      <c r="AA169" s="499"/>
      <c r="AB169" s="499"/>
      <c r="AC169" s="499"/>
      <c r="AD169" s="499" t="str">
        <f t="shared" si="15"/>
        <v/>
      </c>
      <c r="AE169" s="499" t="str">
        <f t="shared" si="13"/>
        <v/>
      </c>
      <c r="AF169" s="499" t="str">
        <f t="shared" si="11"/>
        <v/>
      </c>
      <c r="AG169" s="519"/>
      <c r="AH169" s="519"/>
      <c r="AI169" s="519"/>
      <c r="AJ169" s="519"/>
      <c r="AK169" s="499" t="str">
        <f t="shared" si="14"/>
        <v>S*</v>
      </c>
      <c r="AL169" s="390"/>
      <c r="AM169" s="499"/>
      <c r="AN169" s="390"/>
      <c r="AO169" s="499"/>
      <c r="AP169" s="390"/>
      <c r="AQ169" s="499"/>
      <c r="AR169" s="390"/>
      <c r="AS169" s="499"/>
      <c r="AT169" s="499"/>
      <c r="AU169" s="499"/>
      <c r="AV169" s="499"/>
      <c r="AW169" s="499" t="s">
        <v>341</v>
      </c>
      <c r="AX169" s="499"/>
      <c r="AY169" s="499"/>
      <c r="AZ169" s="499"/>
      <c r="BA169" s="506"/>
      <c r="BB169" s="507"/>
      <c r="BC169" s="507"/>
      <c r="BD169" s="507"/>
      <c r="BE169" s="539" t="s">
        <v>157</v>
      </c>
      <c r="BF169" s="539"/>
      <c r="BG169" s="539"/>
      <c r="BH169" s="539"/>
      <c r="BI169" s="539"/>
      <c r="BJ169" s="539"/>
      <c r="BK169" s="539"/>
      <c r="BL169" s="539"/>
      <c r="BM169" s="539"/>
      <c r="BN169" s="547" t="s">
        <v>570</v>
      </c>
      <c r="BO169" s="678" t="s">
        <v>4402</v>
      </c>
      <c r="BP169" s="679" t="s">
        <v>561</v>
      </c>
      <c r="BQ169" s="104"/>
    </row>
    <row r="170" spans="1:69" s="37" customFormat="1" ht="14.4" x14ac:dyDescent="0.25">
      <c r="A170" s="434" t="s">
        <v>583</v>
      </c>
      <c r="B170" s="575"/>
      <c r="C170" s="575"/>
      <c r="D170" s="569"/>
      <c r="E170" s="575"/>
      <c r="F170" s="575"/>
      <c r="G170" s="575"/>
      <c r="H170" s="575"/>
      <c r="I170" s="576"/>
      <c r="J170" s="575"/>
      <c r="K170" s="575"/>
      <c r="L170" s="575"/>
      <c r="M170" s="575"/>
      <c r="N170" s="569"/>
      <c r="O170" s="435"/>
      <c r="P170" s="435"/>
      <c r="Q170" s="435"/>
      <c r="R170" s="435"/>
      <c r="S170" s="435"/>
      <c r="T170" s="435"/>
      <c r="U170" s="435"/>
      <c r="V170" s="435"/>
      <c r="W170" s="435"/>
      <c r="X170" s="435"/>
      <c r="Y170" s="435"/>
      <c r="Z170" s="534"/>
      <c r="AA170" s="534"/>
      <c r="AB170" s="534"/>
      <c r="AC170" s="534"/>
      <c r="AD170" s="534" t="str">
        <f>IF(ISBLANK(AA170),"",AA170&amp;"*")</f>
        <v/>
      </c>
      <c r="AE170" s="534" t="str">
        <f t="shared" si="13"/>
        <v/>
      </c>
      <c r="AF170" s="534" t="str">
        <f>IF(ISBLANK(AD170),"",AD170)</f>
        <v/>
      </c>
      <c r="AG170" s="534"/>
      <c r="AH170" s="534"/>
      <c r="AI170" s="534"/>
      <c r="AJ170" s="534"/>
      <c r="AK170" s="534" t="str">
        <f>LEFT(IF(ISBLANK(N170),"",N170&amp;"*")&amp;IF(ISBLANK(O170),"",O170&amp;"*")&amp;IF(ISBLANK(P170),"",P170&amp;"*")&amp;IF(ISBLANK(Q170),"",Q170&amp;"*"),2)</f>
        <v/>
      </c>
      <c r="AL170" s="435"/>
      <c r="AM170" s="534"/>
      <c r="AN170" s="435"/>
      <c r="AO170" s="534"/>
      <c r="AP170" s="435"/>
      <c r="AQ170" s="534"/>
      <c r="AR170" s="435"/>
      <c r="AS170" s="534"/>
      <c r="AT170" s="534"/>
      <c r="AU170" s="534"/>
      <c r="AV170" s="534"/>
      <c r="AW170" s="534"/>
      <c r="AX170" s="534"/>
      <c r="AY170" s="534"/>
      <c r="AZ170" s="534"/>
      <c r="BA170" s="534"/>
      <c r="BB170" s="534"/>
      <c r="BC170" s="534"/>
      <c r="BD170" s="534" t="str">
        <f>LEFT(IF(ISBLANK(O170),"",O170&amp;"*")&amp;IF(ISBLANK(P170),"",P170&amp;"*")&amp;IF(ISBLANK(Q170),"",Q170&amp;"*")&amp;IF(ISBLANK(R170),"",R170&amp;"*"),2)</f>
        <v/>
      </c>
      <c r="BE170" s="575"/>
      <c r="BF170" s="575"/>
      <c r="BG170" s="575"/>
      <c r="BH170" s="575"/>
      <c r="BI170" s="575"/>
      <c r="BJ170" s="575"/>
      <c r="BK170" s="575"/>
      <c r="BL170" s="575"/>
      <c r="BM170" s="575"/>
      <c r="BN170" s="577"/>
      <c r="BO170" s="313"/>
      <c r="BP170" s="251"/>
      <c r="BQ170" s="104"/>
    </row>
    <row r="171" spans="1:69" s="1" customFormat="1" ht="28.8" x14ac:dyDescent="0.25">
      <c r="A171" s="393" t="s">
        <v>584</v>
      </c>
      <c r="B171" s="498" t="s">
        <v>45</v>
      </c>
      <c r="C171" s="432" t="s">
        <v>585</v>
      </c>
      <c r="D171" s="433" t="s">
        <v>169</v>
      </c>
      <c r="E171" s="539" t="s">
        <v>149</v>
      </c>
      <c r="F171" s="503">
        <v>0</v>
      </c>
      <c r="G171" s="539" t="s">
        <v>149</v>
      </c>
      <c r="H171" s="503" t="s">
        <v>150</v>
      </c>
      <c r="I171" s="539" t="s">
        <v>149</v>
      </c>
      <c r="J171" s="539"/>
      <c r="K171" s="539" t="s">
        <v>151</v>
      </c>
      <c r="L171" s="503" t="s">
        <v>586</v>
      </c>
      <c r="M171" s="712" t="s">
        <v>587</v>
      </c>
      <c r="N171" s="433"/>
      <c r="O171" s="499" t="s">
        <v>172</v>
      </c>
      <c r="P171" s="499"/>
      <c r="Q171" s="499"/>
      <c r="R171" s="499"/>
      <c r="S171" s="499" t="s">
        <v>172</v>
      </c>
      <c r="T171" s="499"/>
      <c r="U171" s="499"/>
      <c r="V171" s="499"/>
      <c r="W171" s="519"/>
      <c r="X171" s="519"/>
      <c r="Y171" s="519"/>
      <c r="Z171" s="499"/>
      <c r="AA171" s="499"/>
      <c r="AB171" s="499"/>
      <c r="AC171" s="499"/>
      <c r="AD171" s="499"/>
      <c r="AE171" s="499"/>
      <c r="AF171" s="499"/>
      <c r="AG171" s="519"/>
      <c r="AH171" s="519"/>
      <c r="AI171" s="519"/>
      <c r="AJ171" s="519"/>
      <c r="AK171" s="499"/>
      <c r="AL171" s="390"/>
      <c r="AM171" s="499"/>
      <c r="AN171" s="390"/>
      <c r="AO171" s="499"/>
      <c r="AP171" s="499" t="s">
        <v>172</v>
      </c>
      <c r="AQ171" s="499"/>
      <c r="AR171" s="390"/>
      <c r="AS171" s="499"/>
      <c r="AT171" s="499"/>
      <c r="AU171" s="499"/>
      <c r="AV171" s="499"/>
      <c r="AW171" s="508" t="s">
        <v>149</v>
      </c>
      <c r="AX171" s="499"/>
      <c r="AY171" s="499"/>
      <c r="AZ171" s="499"/>
      <c r="BA171" s="506"/>
      <c r="BB171" s="507"/>
      <c r="BC171" s="507"/>
      <c r="BD171" s="507"/>
      <c r="BE171" s="539" t="s">
        <v>157</v>
      </c>
      <c r="BF171" s="539"/>
      <c r="BG171" s="539"/>
      <c r="BH171" s="539"/>
      <c r="BI171" s="539"/>
      <c r="BJ171" s="539"/>
      <c r="BK171" s="539"/>
      <c r="BL171" s="539"/>
      <c r="BM171" s="539"/>
      <c r="BN171" s="732" t="s">
        <v>588</v>
      </c>
      <c r="BO171" s="678" t="s">
        <v>4402</v>
      </c>
      <c r="BP171" s="679" t="s">
        <v>561</v>
      </c>
      <c r="BQ171" s="1006" t="s">
        <v>589</v>
      </c>
    </row>
    <row r="172" spans="1:69" s="1" customFormat="1" ht="28.8" x14ac:dyDescent="0.25">
      <c r="A172" s="393" t="s">
        <v>590</v>
      </c>
      <c r="B172" s="498" t="s">
        <v>45</v>
      </c>
      <c r="C172" s="432" t="s">
        <v>591</v>
      </c>
      <c r="D172" s="433" t="s">
        <v>169</v>
      </c>
      <c r="E172" s="539" t="s">
        <v>149</v>
      </c>
      <c r="F172" s="503">
        <v>0</v>
      </c>
      <c r="G172" s="539" t="s">
        <v>149</v>
      </c>
      <c r="H172" s="503" t="s">
        <v>150</v>
      </c>
      <c r="I172" s="539" t="s">
        <v>149</v>
      </c>
      <c r="J172" s="539"/>
      <c r="K172" s="539" t="s">
        <v>151</v>
      </c>
      <c r="L172" s="503" t="s">
        <v>592</v>
      </c>
      <c r="M172" s="721"/>
      <c r="N172" s="433"/>
      <c r="O172" s="499"/>
      <c r="P172" s="499" t="s">
        <v>172</v>
      </c>
      <c r="Q172" s="499"/>
      <c r="R172" s="499"/>
      <c r="S172" s="499"/>
      <c r="T172" s="499" t="s">
        <v>172</v>
      </c>
      <c r="U172" s="499"/>
      <c r="V172" s="499"/>
      <c r="W172" s="519"/>
      <c r="X172" s="519"/>
      <c r="Y172" s="519"/>
      <c r="Z172" s="499"/>
      <c r="AA172" s="499"/>
      <c r="AB172" s="499"/>
      <c r="AC172" s="499"/>
      <c r="AD172" s="499"/>
      <c r="AE172" s="499"/>
      <c r="AF172" s="499"/>
      <c r="AG172" s="519"/>
      <c r="AH172" s="519"/>
      <c r="AI172" s="519"/>
      <c r="AJ172" s="519"/>
      <c r="AK172" s="499"/>
      <c r="AL172" s="390"/>
      <c r="AM172" s="499"/>
      <c r="AN172" s="390"/>
      <c r="AO172" s="499"/>
      <c r="AP172" s="390"/>
      <c r="AQ172" s="499" t="s">
        <v>172</v>
      </c>
      <c r="AR172" s="390"/>
      <c r="AS172" s="499"/>
      <c r="AT172" s="499"/>
      <c r="AU172" s="499"/>
      <c r="AV172" s="499"/>
      <c r="AW172" s="508" t="s">
        <v>149</v>
      </c>
      <c r="AX172" s="499"/>
      <c r="AY172" s="499"/>
      <c r="AZ172" s="499"/>
      <c r="BA172" s="506"/>
      <c r="BB172" s="507"/>
      <c r="BC172" s="507"/>
      <c r="BD172" s="507"/>
      <c r="BE172" s="539" t="s">
        <v>157</v>
      </c>
      <c r="BF172" s="539"/>
      <c r="BG172" s="539"/>
      <c r="BH172" s="539"/>
      <c r="BI172" s="539"/>
      <c r="BJ172" s="539"/>
      <c r="BK172" s="539"/>
      <c r="BL172" s="539"/>
      <c r="BM172" s="539"/>
      <c r="BN172" s="732"/>
      <c r="BO172" s="678" t="s">
        <v>4402</v>
      </c>
      <c r="BP172" s="679" t="s">
        <v>561</v>
      </c>
      <c r="BQ172" s="1265"/>
    </row>
    <row r="173" spans="1:69" s="1" customFormat="1" ht="28.8" x14ac:dyDescent="0.25">
      <c r="A173" s="393" t="s">
        <v>593</v>
      </c>
      <c r="B173" s="498" t="s">
        <v>45</v>
      </c>
      <c r="C173" s="432" t="s">
        <v>594</v>
      </c>
      <c r="D173" s="433" t="s">
        <v>169</v>
      </c>
      <c r="E173" s="539" t="s">
        <v>149</v>
      </c>
      <c r="F173" s="503">
        <v>0</v>
      </c>
      <c r="G173" s="539" t="s">
        <v>149</v>
      </c>
      <c r="H173" s="503" t="s">
        <v>150</v>
      </c>
      <c r="I173" s="539" t="s">
        <v>149</v>
      </c>
      <c r="J173" s="539"/>
      <c r="K173" s="539" t="s">
        <v>151</v>
      </c>
      <c r="L173" s="503" t="s">
        <v>595</v>
      </c>
      <c r="M173" s="721"/>
      <c r="N173" s="433"/>
      <c r="O173" s="499"/>
      <c r="P173" s="499"/>
      <c r="Q173" s="499" t="s">
        <v>172</v>
      </c>
      <c r="R173" s="499"/>
      <c r="S173" s="499"/>
      <c r="T173" s="499"/>
      <c r="U173" s="499" t="s">
        <v>172</v>
      </c>
      <c r="V173" s="499"/>
      <c r="W173" s="519"/>
      <c r="X173" s="519"/>
      <c r="Y173" s="519"/>
      <c r="Z173" s="499"/>
      <c r="AA173" s="499"/>
      <c r="AB173" s="499"/>
      <c r="AC173" s="499"/>
      <c r="AD173" s="499"/>
      <c r="AE173" s="499"/>
      <c r="AF173" s="499"/>
      <c r="AG173" s="519"/>
      <c r="AH173" s="519"/>
      <c r="AI173" s="519"/>
      <c r="AJ173" s="519"/>
      <c r="AK173" s="499"/>
      <c r="AL173" s="390"/>
      <c r="AM173" s="499"/>
      <c r="AN173" s="390"/>
      <c r="AO173" s="499"/>
      <c r="AP173" s="390"/>
      <c r="AQ173" s="499"/>
      <c r="AR173" s="499" t="s">
        <v>172</v>
      </c>
      <c r="AS173" s="499"/>
      <c r="AT173" s="499"/>
      <c r="AU173" s="499"/>
      <c r="AV173" s="499"/>
      <c r="AW173" s="508" t="s">
        <v>149</v>
      </c>
      <c r="AX173" s="499"/>
      <c r="AY173" s="499"/>
      <c r="AZ173" s="499"/>
      <c r="BA173" s="506"/>
      <c r="BB173" s="507"/>
      <c r="BC173" s="507"/>
      <c r="BD173" s="507"/>
      <c r="BE173" s="539" t="s">
        <v>157</v>
      </c>
      <c r="BF173" s="539"/>
      <c r="BG173" s="539"/>
      <c r="BH173" s="539"/>
      <c r="BI173" s="539"/>
      <c r="BJ173" s="539"/>
      <c r="BK173" s="539"/>
      <c r="BL173" s="539"/>
      <c r="BM173" s="539"/>
      <c r="BN173" s="732"/>
      <c r="BO173" s="678" t="s">
        <v>4402</v>
      </c>
      <c r="BP173" s="679" t="s">
        <v>561</v>
      </c>
      <c r="BQ173" s="1265"/>
    </row>
    <row r="174" spans="1:69" s="1" customFormat="1" ht="28.8" x14ac:dyDescent="0.25">
      <c r="A174" s="393" t="s">
        <v>596</v>
      </c>
      <c r="B174" s="498" t="s">
        <v>45</v>
      </c>
      <c r="C174" s="432" t="s">
        <v>597</v>
      </c>
      <c r="D174" s="433" t="s">
        <v>169</v>
      </c>
      <c r="E174" s="539" t="s">
        <v>149</v>
      </c>
      <c r="F174" s="503">
        <v>0</v>
      </c>
      <c r="G174" s="539" t="s">
        <v>149</v>
      </c>
      <c r="H174" s="503" t="s">
        <v>150</v>
      </c>
      <c r="I174" s="539" t="s">
        <v>149</v>
      </c>
      <c r="J174" s="539"/>
      <c r="K174" s="539" t="s">
        <v>151</v>
      </c>
      <c r="L174" s="503" t="s">
        <v>598</v>
      </c>
      <c r="M174" s="713"/>
      <c r="N174" s="433"/>
      <c r="O174" s="499"/>
      <c r="P174" s="499"/>
      <c r="Q174" s="499"/>
      <c r="R174" s="499" t="s">
        <v>172</v>
      </c>
      <c r="S174" s="499"/>
      <c r="T174" s="499"/>
      <c r="U174" s="499"/>
      <c r="V174" s="499" t="s">
        <v>172</v>
      </c>
      <c r="W174" s="519"/>
      <c r="X174" s="519"/>
      <c r="Y174" s="519"/>
      <c r="Z174" s="499"/>
      <c r="AA174" s="499"/>
      <c r="AB174" s="499"/>
      <c r="AC174" s="499"/>
      <c r="AD174" s="499"/>
      <c r="AE174" s="499"/>
      <c r="AF174" s="499"/>
      <c r="AG174" s="519"/>
      <c r="AH174" s="519"/>
      <c r="AI174" s="519"/>
      <c r="AJ174" s="519"/>
      <c r="AK174" s="499"/>
      <c r="AL174" s="390"/>
      <c r="AM174" s="499"/>
      <c r="AN174" s="390"/>
      <c r="AO174" s="499"/>
      <c r="AP174" s="390"/>
      <c r="AQ174" s="499"/>
      <c r="AR174" s="390"/>
      <c r="AS174" s="499" t="s">
        <v>172</v>
      </c>
      <c r="AT174" s="499"/>
      <c r="AU174" s="499"/>
      <c r="AV174" s="499"/>
      <c r="AW174" s="508" t="s">
        <v>149</v>
      </c>
      <c r="AX174" s="499"/>
      <c r="AY174" s="499"/>
      <c r="AZ174" s="499"/>
      <c r="BA174" s="506"/>
      <c r="BB174" s="507"/>
      <c r="BC174" s="507"/>
      <c r="BD174" s="507"/>
      <c r="BE174" s="539" t="s">
        <v>157</v>
      </c>
      <c r="BF174" s="539"/>
      <c r="BG174" s="539"/>
      <c r="BH174" s="539"/>
      <c r="BI174" s="539"/>
      <c r="BJ174" s="539"/>
      <c r="BK174" s="539"/>
      <c r="BL174" s="539"/>
      <c r="BM174" s="539"/>
      <c r="BN174" s="732"/>
      <c r="BO174" s="678" t="s">
        <v>4402</v>
      </c>
      <c r="BP174" s="679" t="s">
        <v>561</v>
      </c>
      <c r="BQ174" s="1265"/>
    </row>
    <row r="175" spans="1:69" s="1" customFormat="1" ht="28.8" x14ac:dyDescent="0.25">
      <c r="A175" s="393" t="s">
        <v>599</v>
      </c>
      <c r="B175" s="498" t="s">
        <v>45</v>
      </c>
      <c r="C175" s="432" t="s">
        <v>600</v>
      </c>
      <c r="D175" s="433" t="s">
        <v>169</v>
      </c>
      <c r="E175" s="539" t="s">
        <v>149</v>
      </c>
      <c r="F175" s="503">
        <v>0</v>
      </c>
      <c r="G175" s="539" t="s">
        <v>149</v>
      </c>
      <c r="H175" s="503" t="s">
        <v>150</v>
      </c>
      <c r="I175" s="539" t="s">
        <v>149</v>
      </c>
      <c r="J175" s="539"/>
      <c r="K175" s="539" t="s">
        <v>151</v>
      </c>
      <c r="L175" s="503" t="s">
        <v>601</v>
      </c>
      <c r="M175" s="712" t="s">
        <v>602</v>
      </c>
      <c r="N175" s="433"/>
      <c r="O175" s="499" t="s">
        <v>172</v>
      </c>
      <c r="P175" s="499"/>
      <c r="Q175" s="499"/>
      <c r="R175" s="499"/>
      <c r="S175" s="499" t="s">
        <v>172</v>
      </c>
      <c r="T175" s="499"/>
      <c r="U175" s="499"/>
      <c r="V175" s="499"/>
      <c r="W175" s="519"/>
      <c r="X175" s="519"/>
      <c r="Y175" s="519"/>
      <c r="Z175" s="499"/>
      <c r="AA175" s="499"/>
      <c r="AB175" s="499"/>
      <c r="AC175" s="499"/>
      <c r="AD175" s="499"/>
      <c r="AE175" s="499"/>
      <c r="AF175" s="499"/>
      <c r="AG175" s="519"/>
      <c r="AH175" s="519"/>
      <c r="AI175" s="519"/>
      <c r="AJ175" s="519"/>
      <c r="AK175" s="499"/>
      <c r="AL175" s="499" t="s">
        <v>172</v>
      </c>
      <c r="AM175" s="499"/>
      <c r="AN175" s="390"/>
      <c r="AO175" s="499"/>
      <c r="AP175" s="390"/>
      <c r="AQ175" s="499"/>
      <c r="AR175" s="390"/>
      <c r="AS175" s="499"/>
      <c r="AT175" s="499"/>
      <c r="AU175" s="499"/>
      <c r="AV175" s="499"/>
      <c r="AW175" s="508" t="s">
        <v>149</v>
      </c>
      <c r="AX175" s="499"/>
      <c r="AY175" s="499"/>
      <c r="AZ175" s="499"/>
      <c r="BA175" s="506"/>
      <c r="BB175" s="507"/>
      <c r="BC175" s="507"/>
      <c r="BD175" s="507"/>
      <c r="BE175" s="539" t="s">
        <v>157</v>
      </c>
      <c r="BF175" s="539"/>
      <c r="BG175" s="539"/>
      <c r="BH175" s="539"/>
      <c r="BI175" s="539"/>
      <c r="BJ175" s="539"/>
      <c r="BK175" s="539"/>
      <c r="BL175" s="539"/>
      <c r="BM175" s="539"/>
      <c r="BN175" s="732"/>
      <c r="BO175" s="678" t="s">
        <v>4402</v>
      </c>
      <c r="BP175" s="679" t="s">
        <v>561</v>
      </c>
      <c r="BQ175" s="1265"/>
    </row>
    <row r="176" spans="1:69" s="1" customFormat="1" ht="28.8" x14ac:dyDescent="0.25">
      <c r="A176" s="393" t="s">
        <v>603</v>
      </c>
      <c r="B176" s="498" t="s">
        <v>45</v>
      </c>
      <c r="C176" s="432" t="s">
        <v>604</v>
      </c>
      <c r="D176" s="433" t="s">
        <v>169</v>
      </c>
      <c r="E176" s="539" t="s">
        <v>149</v>
      </c>
      <c r="F176" s="503">
        <v>0</v>
      </c>
      <c r="G176" s="539" t="s">
        <v>149</v>
      </c>
      <c r="H176" s="503" t="s">
        <v>150</v>
      </c>
      <c r="I176" s="539" t="s">
        <v>149</v>
      </c>
      <c r="J176" s="539"/>
      <c r="K176" s="539" t="s">
        <v>151</v>
      </c>
      <c r="L176" s="503" t="s">
        <v>605</v>
      </c>
      <c r="M176" s="721"/>
      <c r="N176" s="433"/>
      <c r="O176" s="499"/>
      <c r="P176" s="499" t="s">
        <v>172</v>
      </c>
      <c r="Q176" s="499"/>
      <c r="R176" s="499"/>
      <c r="S176" s="499"/>
      <c r="T176" s="499" t="s">
        <v>172</v>
      </c>
      <c r="U176" s="499"/>
      <c r="V176" s="499"/>
      <c r="W176" s="519"/>
      <c r="X176" s="519"/>
      <c r="Y176" s="519"/>
      <c r="Z176" s="499"/>
      <c r="AA176" s="499"/>
      <c r="AB176" s="499"/>
      <c r="AC176" s="499"/>
      <c r="AD176" s="499"/>
      <c r="AE176" s="499"/>
      <c r="AF176" s="499"/>
      <c r="AG176" s="519"/>
      <c r="AH176" s="519"/>
      <c r="AI176" s="519"/>
      <c r="AJ176" s="519"/>
      <c r="AK176" s="499"/>
      <c r="AL176" s="390"/>
      <c r="AM176" s="499" t="s">
        <v>172</v>
      </c>
      <c r="AN176" s="390"/>
      <c r="AO176" s="499"/>
      <c r="AP176" s="390"/>
      <c r="AQ176" s="499"/>
      <c r="AR176" s="390"/>
      <c r="AS176" s="499"/>
      <c r="AT176" s="499"/>
      <c r="AU176" s="499"/>
      <c r="AV176" s="499"/>
      <c r="AW176" s="508" t="s">
        <v>149</v>
      </c>
      <c r="AX176" s="499"/>
      <c r="AY176" s="499"/>
      <c r="AZ176" s="499"/>
      <c r="BA176" s="506"/>
      <c r="BB176" s="507"/>
      <c r="BC176" s="507"/>
      <c r="BD176" s="507"/>
      <c r="BE176" s="539" t="s">
        <v>157</v>
      </c>
      <c r="BF176" s="539"/>
      <c r="BG176" s="539"/>
      <c r="BH176" s="539"/>
      <c r="BI176" s="539"/>
      <c r="BJ176" s="539"/>
      <c r="BK176" s="539"/>
      <c r="BL176" s="539"/>
      <c r="BM176" s="539"/>
      <c r="BN176" s="732"/>
      <c r="BO176" s="678" t="s">
        <v>4402</v>
      </c>
      <c r="BP176" s="679" t="s">
        <v>561</v>
      </c>
      <c r="BQ176" s="1265"/>
    </row>
    <row r="177" spans="1:70" s="1" customFormat="1" ht="28.8" x14ac:dyDescent="0.25">
      <c r="A177" s="393" t="s">
        <v>606</v>
      </c>
      <c r="B177" s="498" t="s">
        <v>45</v>
      </c>
      <c r="C177" s="432" t="s">
        <v>607</v>
      </c>
      <c r="D177" s="433" t="s">
        <v>169</v>
      </c>
      <c r="E177" s="539" t="s">
        <v>149</v>
      </c>
      <c r="F177" s="503">
        <v>0</v>
      </c>
      <c r="G177" s="539" t="s">
        <v>149</v>
      </c>
      <c r="H177" s="503" t="s">
        <v>150</v>
      </c>
      <c r="I177" s="539" t="s">
        <v>149</v>
      </c>
      <c r="J177" s="539"/>
      <c r="K177" s="539" t="s">
        <v>151</v>
      </c>
      <c r="L177" s="503" t="s">
        <v>608</v>
      </c>
      <c r="M177" s="721"/>
      <c r="N177" s="433"/>
      <c r="O177" s="499"/>
      <c r="P177" s="499"/>
      <c r="Q177" s="499" t="s">
        <v>172</v>
      </c>
      <c r="R177" s="499"/>
      <c r="S177" s="499"/>
      <c r="T177" s="499"/>
      <c r="U177" s="499" t="s">
        <v>172</v>
      </c>
      <c r="V177" s="499"/>
      <c r="W177" s="519"/>
      <c r="X177" s="519"/>
      <c r="Y177" s="519"/>
      <c r="Z177" s="499"/>
      <c r="AA177" s="499"/>
      <c r="AB177" s="499"/>
      <c r="AC177" s="499"/>
      <c r="AD177" s="499"/>
      <c r="AE177" s="499"/>
      <c r="AF177" s="499"/>
      <c r="AG177" s="519"/>
      <c r="AH177" s="519"/>
      <c r="AI177" s="519"/>
      <c r="AJ177" s="519"/>
      <c r="AK177" s="499"/>
      <c r="AL177" s="390"/>
      <c r="AM177" s="499"/>
      <c r="AN177" s="499" t="s">
        <v>172</v>
      </c>
      <c r="AO177" s="499"/>
      <c r="AP177" s="390"/>
      <c r="AQ177" s="499"/>
      <c r="AR177" s="390"/>
      <c r="AS177" s="499"/>
      <c r="AT177" s="499"/>
      <c r="AU177" s="499"/>
      <c r="AV177" s="499"/>
      <c r="AW177" s="508" t="s">
        <v>149</v>
      </c>
      <c r="AX177" s="499"/>
      <c r="AY177" s="499"/>
      <c r="AZ177" s="499"/>
      <c r="BA177" s="506"/>
      <c r="BB177" s="507"/>
      <c r="BC177" s="507"/>
      <c r="BD177" s="507"/>
      <c r="BE177" s="539" t="s">
        <v>157</v>
      </c>
      <c r="BF177" s="539"/>
      <c r="BG177" s="539"/>
      <c r="BH177" s="539"/>
      <c r="BI177" s="539"/>
      <c r="BJ177" s="539"/>
      <c r="BK177" s="539"/>
      <c r="BL177" s="539"/>
      <c r="BM177" s="539"/>
      <c r="BN177" s="732"/>
      <c r="BO177" s="678" t="s">
        <v>4402</v>
      </c>
      <c r="BP177" s="679" t="s">
        <v>561</v>
      </c>
      <c r="BQ177" s="1265"/>
    </row>
    <row r="178" spans="1:70" s="1" customFormat="1" ht="28.8" x14ac:dyDescent="0.25">
      <c r="A178" s="393" t="s">
        <v>609</v>
      </c>
      <c r="B178" s="498" t="s">
        <v>45</v>
      </c>
      <c r="C178" s="432" t="s">
        <v>610</v>
      </c>
      <c r="D178" s="433" t="s">
        <v>169</v>
      </c>
      <c r="E178" s="539" t="s">
        <v>149</v>
      </c>
      <c r="F178" s="503">
        <v>0</v>
      </c>
      <c r="G178" s="539" t="s">
        <v>149</v>
      </c>
      <c r="H178" s="503" t="s">
        <v>150</v>
      </c>
      <c r="I178" s="539" t="s">
        <v>149</v>
      </c>
      <c r="J178" s="539"/>
      <c r="K178" s="539" t="s">
        <v>151</v>
      </c>
      <c r="L178" s="503" t="s">
        <v>611</v>
      </c>
      <c r="M178" s="713"/>
      <c r="N178" s="433"/>
      <c r="O178" s="499"/>
      <c r="P178" s="499"/>
      <c r="Q178" s="499"/>
      <c r="R178" s="499" t="s">
        <v>172</v>
      </c>
      <c r="S178" s="499"/>
      <c r="T178" s="499"/>
      <c r="U178" s="499"/>
      <c r="V178" s="499" t="s">
        <v>172</v>
      </c>
      <c r="W178" s="519"/>
      <c r="X178" s="519"/>
      <c r="Y178" s="519"/>
      <c r="Z178" s="499"/>
      <c r="AA178" s="499"/>
      <c r="AB178" s="499"/>
      <c r="AC178" s="499"/>
      <c r="AD178" s="499"/>
      <c r="AE178" s="499"/>
      <c r="AF178" s="499"/>
      <c r="AG178" s="519"/>
      <c r="AH178" s="519"/>
      <c r="AI178" s="519"/>
      <c r="AJ178" s="519"/>
      <c r="AK178" s="499"/>
      <c r="AL178" s="390"/>
      <c r="AM178" s="499"/>
      <c r="AN178" s="390"/>
      <c r="AO178" s="499" t="s">
        <v>172</v>
      </c>
      <c r="AP178" s="390"/>
      <c r="AQ178" s="499"/>
      <c r="AR178" s="390"/>
      <c r="AS178" s="499"/>
      <c r="AT178" s="499"/>
      <c r="AU178" s="499"/>
      <c r="AV178" s="499"/>
      <c r="AW178" s="508" t="s">
        <v>149</v>
      </c>
      <c r="AX178" s="499"/>
      <c r="AY178" s="499"/>
      <c r="AZ178" s="499"/>
      <c r="BA178" s="506"/>
      <c r="BB178" s="507"/>
      <c r="BC178" s="507"/>
      <c r="BD178" s="507"/>
      <c r="BE178" s="539" t="s">
        <v>157</v>
      </c>
      <c r="BF178" s="539"/>
      <c r="BG178" s="539"/>
      <c r="BH178" s="539"/>
      <c r="BI178" s="539"/>
      <c r="BJ178" s="539"/>
      <c r="BK178" s="539"/>
      <c r="BL178" s="539"/>
      <c r="BM178" s="539"/>
      <c r="BN178" s="732"/>
      <c r="BO178" s="678" t="s">
        <v>4402</v>
      </c>
      <c r="BP178" s="679" t="s">
        <v>561</v>
      </c>
      <c r="BQ178" s="1007"/>
    </row>
    <row r="179" spans="1:70" s="37" customFormat="1" ht="14.4" outlineLevel="1" x14ac:dyDescent="0.25">
      <c r="A179" s="136" t="s">
        <v>612</v>
      </c>
      <c r="B179" s="146"/>
      <c r="C179" s="146"/>
      <c r="D179" s="314"/>
      <c r="E179" s="146"/>
      <c r="F179" s="146"/>
      <c r="G179" s="146"/>
      <c r="H179" s="146"/>
      <c r="I179" s="315"/>
      <c r="J179" s="146"/>
      <c r="K179" s="146"/>
      <c r="L179" s="146"/>
      <c r="M179" s="146"/>
      <c r="N179" s="314"/>
      <c r="O179" s="259"/>
      <c r="P179" s="259"/>
      <c r="Q179" s="259"/>
      <c r="R179" s="259"/>
      <c r="S179" s="259"/>
      <c r="T179" s="259"/>
      <c r="U179" s="259"/>
      <c r="V179" s="259"/>
      <c r="W179" s="259"/>
      <c r="X179" s="287"/>
      <c r="Y179" s="287"/>
      <c r="Z179" s="287"/>
      <c r="AA179" s="287"/>
      <c r="AB179" s="287"/>
      <c r="AC179" s="287"/>
      <c r="AD179" s="287" t="str">
        <f>IF(ISBLANK(AA179),"",AA179&amp;"*")</f>
        <v/>
      </c>
      <c r="AE179" s="287" t="str">
        <f>IF(ISBLANK(AA179),"",AA179)</f>
        <v/>
      </c>
      <c r="AF179" s="287" t="str">
        <f>IF(ISBLANK(AD179),"",AD179)</f>
        <v/>
      </c>
      <c r="AG179" s="287"/>
      <c r="AH179" s="287"/>
      <c r="AI179" s="287"/>
      <c r="AJ179" s="287"/>
      <c r="AK179" s="287" t="str">
        <f>LEFT(IF(ISBLANK(N179),"",N179&amp;"*")&amp;IF(ISBLANK(O179),"",O179&amp;"*")&amp;IF(ISBLANK(P179),"",P179&amp;"*")&amp;IF(ISBLANK(Q179),"",Q179&amp;"*"),2)</f>
        <v/>
      </c>
      <c r="AL179" s="259"/>
      <c r="AM179" s="287"/>
      <c r="AN179" s="259"/>
      <c r="AO179" s="287"/>
      <c r="AP179" s="259"/>
      <c r="AQ179" s="287"/>
      <c r="AR179" s="259"/>
      <c r="AS179" s="287"/>
      <c r="AT179" s="287"/>
      <c r="AU179" s="287"/>
      <c r="AV179" s="287"/>
      <c r="AW179" s="287"/>
      <c r="AX179" s="288"/>
      <c r="AY179" s="288"/>
      <c r="AZ179" s="288"/>
      <c r="BA179" s="287"/>
      <c r="BB179" s="287"/>
      <c r="BC179" s="287"/>
      <c r="BD179" s="287" t="str">
        <f>LEFT(IF(ISBLANK(O179),"",O179&amp;"*")&amp;IF(ISBLANK(P179),"",P179&amp;"*")&amp;IF(ISBLANK(Q179),"",Q179&amp;"*")&amp;IF(ISBLANK(R179),"",R179&amp;"*"),2)</f>
        <v/>
      </c>
      <c r="BE179" s="146"/>
      <c r="BF179" s="483"/>
      <c r="BG179" s="483"/>
      <c r="BH179" s="483"/>
      <c r="BI179" s="483"/>
      <c r="BJ179" s="483"/>
      <c r="BK179" s="483"/>
      <c r="BL179" s="483"/>
      <c r="BM179" s="483"/>
      <c r="BN179" s="316"/>
      <c r="BO179" s="251"/>
      <c r="BP179" s="251"/>
      <c r="BQ179" s="104"/>
    </row>
    <row r="180" spans="1:70" s="166" customFormat="1" ht="23.25" customHeight="1" outlineLevel="1" x14ac:dyDescent="0.25">
      <c r="A180" s="1130" t="s">
        <v>613</v>
      </c>
      <c r="B180" s="1133" t="s">
        <v>51</v>
      </c>
      <c r="C180" s="164" t="s">
        <v>614</v>
      </c>
      <c r="D180" s="166" t="s">
        <v>193</v>
      </c>
      <c r="E180" s="171" t="s">
        <v>149</v>
      </c>
      <c r="F180" s="163" t="s">
        <v>476</v>
      </c>
      <c r="G180" s="171"/>
      <c r="H180" s="172" t="s">
        <v>477</v>
      </c>
      <c r="I180" s="172" t="s">
        <v>352</v>
      </c>
      <c r="J180" s="172"/>
      <c r="K180" s="1119" t="s">
        <v>478</v>
      </c>
      <c r="L180" s="801" t="s">
        <v>615</v>
      </c>
      <c r="M180" s="801" t="s">
        <v>480</v>
      </c>
      <c r="N180" s="1095"/>
      <c r="O180" s="726"/>
      <c r="P180" s="726"/>
      <c r="Q180" s="1095"/>
      <c r="R180" s="1095"/>
      <c r="S180" s="726"/>
      <c r="T180" s="726"/>
      <c r="U180" s="1095"/>
      <c r="V180" s="1095"/>
      <c r="W180" s="1095"/>
      <c r="X180" s="1095"/>
      <c r="Y180" s="1095"/>
      <c r="Z180" s="1095" t="s">
        <v>154</v>
      </c>
      <c r="AA180" s="1095" t="s">
        <v>155</v>
      </c>
      <c r="AB180" s="1095" t="s">
        <v>155</v>
      </c>
      <c r="AC180" s="1095" t="s">
        <v>155</v>
      </c>
      <c r="AD180" s="1095" t="s">
        <v>155</v>
      </c>
      <c r="AE180" s="1095" t="s">
        <v>155</v>
      </c>
      <c r="AF180" s="1095" t="s">
        <v>155</v>
      </c>
      <c r="AG180" s="1095" t="s">
        <v>155</v>
      </c>
      <c r="AH180" s="1095" t="s">
        <v>155</v>
      </c>
      <c r="AI180" s="1095"/>
      <c r="AJ180" s="1095"/>
      <c r="AK180" s="1095"/>
      <c r="AL180" s="1107"/>
      <c r="AM180" s="1095"/>
      <c r="AN180" s="1107"/>
      <c r="AO180" s="1095"/>
      <c r="AP180" s="1107"/>
      <c r="AQ180" s="1095"/>
      <c r="AR180" s="1107"/>
      <c r="AS180" s="1095"/>
      <c r="AT180" s="1095"/>
      <c r="AU180" s="1095"/>
      <c r="AV180" s="1095"/>
      <c r="AW180" s="1095"/>
      <c r="AX180" s="1240"/>
      <c r="AY180" s="1240"/>
      <c r="AZ180" s="1240"/>
      <c r="BA180" s="1163"/>
      <c r="BB180" s="726" t="s">
        <v>199</v>
      </c>
      <c r="BC180" s="726" t="s">
        <v>199</v>
      </c>
      <c r="BD180" s="1095"/>
      <c r="BE180" s="1119"/>
      <c r="BF180" s="484"/>
      <c r="BG180" s="484"/>
      <c r="BH180" s="484"/>
      <c r="BI180" s="484"/>
      <c r="BJ180" s="484"/>
      <c r="BK180" s="484"/>
      <c r="BL180" s="484"/>
      <c r="BM180" s="484"/>
      <c r="BN180" s="804" t="s">
        <v>616</v>
      </c>
      <c r="BO180" s="1264"/>
      <c r="BP180" s="1264"/>
      <c r="BQ180" s="820" t="s">
        <v>617</v>
      </c>
      <c r="BR180" s="164"/>
    </row>
    <row r="181" spans="1:70" s="166" customFormat="1" ht="22.95" customHeight="1" outlineLevel="1" x14ac:dyDescent="0.25">
      <c r="A181" s="1131"/>
      <c r="B181" s="1134"/>
      <c r="C181" s="164" t="s">
        <v>618</v>
      </c>
      <c r="D181" s="166" t="s">
        <v>193</v>
      </c>
      <c r="E181" s="1128" t="s">
        <v>149</v>
      </c>
      <c r="F181" s="801" t="s">
        <v>619</v>
      </c>
      <c r="G181" s="801"/>
      <c r="H181" s="1119" t="s">
        <v>477</v>
      </c>
      <c r="I181" s="801" t="s">
        <v>149</v>
      </c>
      <c r="J181" s="1119" t="s">
        <v>483</v>
      </c>
      <c r="K181" s="1121"/>
      <c r="L181" s="802"/>
      <c r="M181" s="802"/>
      <c r="N181" s="1096"/>
      <c r="O181" s="727"/>
      <c r="P181" s="727"/>
      <c r="Q181" s="1096"/>
      <c r="R181" s="1096"/>
      <c r="S181" s="727"/>
      <c r="T181" s="727"/>
      <c r="U181" s="1096"/>
      <c r="V181" s="1096"/>
      <c r="W181" s="1096"/>
      <c r="X181" s="1096"/>
      <c r="Y181" s="1096"/>
      <c r="Z181" s="1096"/>
      <c r="AA181" s="1096"/>
      <c r="AB181" s="1096"/>
      <c r="AC181" s="1096"/>
      <c r="AD181" s="1096"/>
      <c r="AE181" s="1096"/>
      <c r="AF181" s="1096"/>
      <c r="AG181" s="1096"/>
      <c r="AH181" s="1096"/>
      <c r="AI181" s="1096"/>
      <c r="AJ181" s="1096"/>
      <c r="AK181" s="1096"/>
      <c r="AL181" s="1108"/>
      <c r="AM181" s="1096"/>
      <c r="AN181" s="1108"/>
      <c r="AO181" s="1096"/>
      <c r="AP181" s="1108"/>
      <c r="AQ181" s="1096"/>
      <c r="AR181" s="1108"/>
      <c r="AS181" s="1096"/>
      <c r="AT181" s="1096"/>
      <c r="AU181" s="1096"/>
      <c r="AV181" s="1096"/>
      <c r="AW181" s="1096"/>
      <c r="AX181" s="1241"/>
      <c r="AY181" s="1241"/>
      <c r="AZ181" s="1241"/>
      <c r="BA181" s="1164"/>
      <c r="BB181" s="727"/>
      <c r="BC181" s="727"/>
      <c r="BD181" s="1096"/>
      <c r="BE181" s="1121"/>
      <c r="BF181" s="485"/>
      <c r="BG181" s="485"/>
      <c r="BH181" s="485"/>
      <c r="BI181" s="485"/>
      <c r="BJ181" s="485"/>
      <c r="BK181" s="485"/>
      <c r="BL181" s="485"/>
      <c r="BM181" s="485"/>
      <c r="BN181" s="1139"/>
      <c r="BO181" s="1264"/>
      <c r="BP181" s="1264"/>
      <c r="BQ181" s="821"/>
    </row>
    <row r="182" spans="1:70" s="166" customFormat="1" ht="23.25" customHeight="1" outlineLevel="1" x14ac:dyDescent="0.25">
      <c r="A182" s="1131"/>
      <c r="B182" s="1134"/>
      <c r="C182" s="164" t="s">
        <v>620</v>
      </c>
      <c r="D182" s="166" t="s">
        <v>193</v>
      </c>
      <c r="E182" s="1129"/>
      <c r="F182" s="861"/>
      <c r="G182" s="861"/>
      <c r="H182" s="1120"/>
      <c r="I182" s="861"/>
      <c r="J182" s="1121"/>
      <c r="K182" s="1121"/>
      <c r="L182" s="802"/>
      <c r="M182" s="802"/>
      <c r="N182" s="1096"/>
      <c r="O182" s="727"/>
      <c r="P182" s="727"/>
      <c r="Q182" s="1096"/>
      <c r="R182" s="1096"/>
      <c r="S182" s="727"/>
      <c r="T182" s="727"/>
      <c r="U182" s="1096"/>
      <c r="V182" s="1096"/>
      <c r="W182" s="1096"/>
      <c r="X182" s="1096"/>
      <c r="Y182" s="1096"/>
      <c r="Z182" s="1096"/>
      <c r="AA182" s="1096"/>
      <c r="AB182" s="1096"/>
      <c r="AC182" s="1096"/>
      <c r="AD182" s="1096"/>
      <c r="AE182" s="1096"/>
      <c r="AF182" s="1096"/>
      <c r="AG182" s="1096"/>
      <c r="AH182" s="1096"/>
      <c r="AI182" s="1096"/>
      <c r="AJ182" s="1096"/>
      <c r="AK182" s="1096"/>
      <c r="AL182" s="1108"/>
      <c r="AM182" s="1096"/>
      <c r="AN182" s="1108"/>
      <c r="AO182" s="1096"/>
      <c r="AP182" s="1108"/>
      <c r="AQ182" s="1096"/>
      <c r="AR182" s="1108"/>
      <c r="AS182" s="1096"/>
      <c r="AT182" s="1096"/>
      <c r="AU182" s="1096"/>
      <c r="AV182" s="1096"/>
      <c r="AW182" s="1096"/>
      <c r="AX182" s="1241"/>
      <c r="AY182" s="1241"/>
      <c r="AZ182" s="1241"/>
      <c r="BA182" s="1164"/>
      <c r="BB182" s="727"/>
      <c r="BC182" s="727"/>
      <c r="BD182" s="1096"/>
      <c r="BE182" s="1121"/>
      <c r="BF182" s="485"/>
      <c r="BG182" s="485"/>
      <c r="BH182" s="485"/>
      <c r="BI182" s="485"/>
      <c r="BJ182" s="485"/>
      <c r="BK182" s="485"/>
      <c r="BL182" s="485"/>
      <c r="BM182" s="485"/>
      <c r="BN182" s="1139"/>
      <c r="BO182" s="1264"/>
      <c r="BP182" s="1264"/>
      <c r="BQ182" s="821"/>
    </row>
    <row r="183" spans="1:70" s="166" customFormat="1" ht="23.25" customHeight="1" outlineLevel="1" x14ac:dyDescent="0.25">
      <c r="A183" s="1131"/>
      <c r="B183" s="1134"/>
      <c r="C183" s="164" t="s">
        <v>618</v>
      </c>
      <c r="D183" s="166" t="s">
        <v>193</v>
      </c>
      <c r="E183" s="1128" t="s">
        <v>149</v>
      </c>
      <c r="F183" s="801" t="s">
        <v>621</v>
      </c>
      <c r="G183" s="801"/>
      <c r="H183" s="1119" t="s">
        <v>477</v>
      </c>
      <c r="I183" s="1119" t="s">
        <v>149</v>
      </c>
      <c r="J183" s="1121"/>
      <c r="K183" s="1121"/>
      <c r="L183" s="802"/>
      <c r="M183" s="802"/>
      <c r="N183" s="1096"/>
      <c r="O183" s="727"/>
      <c r="P183" s="727"/>
      <c r="Q183" s="1096"/>
      <c r="R183" s="1096"/>
      <c r="S183" s="727"/>
      <c r="T183" s="727"/>
      <c r="U183" s="1096"/>
      <c r="V183" s="1096"/>
      <c r="W183" s="1096"/>
      <c r="X183" s="1096"/>
      <c r="Y183" s="1096"/>
      <c r="Z183" s="1096"/>
      <c r="AA183" s="1096"/>
      <c r="AB183" s="1096"/>
      <c r="AC183" s="1096"/>
      <c r="AD183" s="1096"/>
      <c r="AE183" s="1096"/>
      <c r="AF183" s="1096"/>
      <c r="AG183" s="1096"/>
      <c r="AH183" s="1096"/>
      <c r="AI183" s="1096"/>
      <c r="AJ183" s="1096"/>
      <c r="AK183" s="1096"/>
      <c r="AL183" s="1108"/>
      <c r="AM183" s="1096"/>
      <c r="AN183" s="1108"/>
      <c r="AO183" s="1096"/>
      <c r="AP183" s="1108"/>
      <c r="AQ183" s="1096"/>
      <c r="AR183" s="1108"/>
      <c r="AS183" s="1096"/>
      <c r="AT183" s="1096"/>
      <c r="AU183" s="1096"/>
      <c r="AV183" s="1096"/>
      <c r="AW183" s="1096"/>
      <c r="AX183" s="1241"/>
      <c r="AY183" s="1241"/>
      <c r="AZ183" s="1241"/>
      <c r="BA183" s="1164"/>
      <c r="BB183" s="727"/>
      <c r="BC183" s="727"/>
      <c r="BD183" s="1096"/>
      <c r="BE183" s="1121"/>
      <c r="BF183" s="485"/>
      <c r="BG183" s="485"/>
      <c r="BH183" s="485"/>
      <c r="BI183" s="485"/>
      <c r="BJ183" s="485"/>
      <c r="BK183" s="485"/>
      <c r="BL183" s="485"/>
      <c r="BM183" s="485"/>
      <c r="BN183" s="1139"/>
      <c r="BO183" s="1264"/>
      <c r="BP183" s="1264"/>
      <c r="BQ183" s="821"/>
    </row>
    <row r="184" spans="1:70" s="166" customFormat="1" ht="23.25" customHeight="1" outlineLevel="1" x14ac:dyDescent="0.25">
      <c r="A184" s="1132"/>
      <c r="B184" s="1135"/>
      <c r="C184" s="164" t="s">
        <v>620</v>
      </c>
      <c r="D184" s="166" t="s">
        <v>193</v>
      </c>
      <c r="E184" s="1129"/>
      <c r="F184" s="861"/>
      <c r="G184" s="861"/>
      <c r="H184" s="1120"/>
      <c r="I184" s="1120"/>
      <c r="J184" s="1120"/>
      <c r="K184" s="1120"/>
      <c r="L184" s="861"/>
      <c r="M184" s="861"/>
      <c r="N184" s="1097"/>
      <c r="O184" s="899"/>
      <c r="P184" s="899"/>
      <c r="Q184" s="1097"/>
      <c r="R184" s="1097"/>
      <c r="S184" s="899"/>
      <c r="T184" s="899"/>
      <c r="U184" s="1097"/>
      <c r="V184" s="1097"/>
      <c r="W184" s="1097"/>
      <c r="X184" s="1097"/>
      <c r="Y184" s="1097"/>
      <c r="Z184" s="1097"/>
      <c r="AA184" s="1097"/>
      <c r="AB184" s="1097"/>
      <c r="AC184" s="1097"/>
      <c r="AD184" s="1097"/>
      <c r="AE184" s="1097"/>
      <c r="AF184" s="1097"/>
      <c r="AG184" s="1097"/>
      <c r="AH184" s="1097"/>
      <c r="AI184" s="1097"/>
      <c r="AJ184" s="1097"/>
      <c r="AK184" s="1097"/>
      <c r="AL184" s="1109"/>
      <c r="AM184" s="1097"/>
      <c r="AN184" s="1109"/>
      <c r="AO184" s="1097"/>
      <c r="AP184" s="1109"/>
      <c r="AQ184" s="1097"/>
      <c r="AR184" s="1109"/>
      <c r="AS184" s="1097"/>
      <c r="AT184" s="1097"/>
      <c r="AU184" s="1097"/>
      <c r="AV184" s="1097"/>
      <c r="AW184" s="1097"/>
      <c r="AX184" s="1242"/>
      <c r="AY184" s="1242"/>
      <c r="AZ184" s="1242"/>
      <c r="BA184" s="1165"/>
      <c r="BB184" s="899"/>
      <c r="BC184" s="899"/>
      <c r="BD184" s="1097"/>
      <c r="BE184" s="1120"/>
      <c r="BF184" s="485"/>
      <c r="BG184" s="485"/>
      <c r="BH184" s="485"/>
      <c r="BI184" s="485"/>
      <c r="BJ184" s="485"/>
      <c r="BK184" s="485"/>
      <c r="BL184" s="485"/>
      <c r="BM184" s="485"/>
      <c r="BN184" s="1139"/>
      <c r="BO184" s="1264"/>
      <c r="BP184" s="1264"/>
      <c r="BQ184" s="821"/>
    </row>
    <row r="185" spans="1:70" s="37" customFormat="1" ht="14.4" outlineLevel="1" x14ac:dyDescent="0.25">
      <c r="A185" s="77" t="s">
        <v>622</v>
      </c>
      <c r="B185" s="80"/>
      <c r="C185" s="80"/>
      <c r="D185" s="82"/>
      <c r="E185" s="80"/>
      <c r="F185" s="80"/>
      <c r="G185" s="80"/>
      <c r="H185" s="80"/>
      <c r="I185" s="81"/>
      <c r="J185" s="80"/>
      <c r="K185" s="80"/>
      <c r="L185" s="80"/>
      <c r="M185" s="80"/>
      <c r="N185" s="82"/>
      <c r="O185" s="121"/>
      <c r="P185" s="121"/>
      <c r="Q185" s="121"/>
      <c r="R185" s="121"/>
      <c r="S185" s="121"/>
      <c r="T185" s="121"/>
      <c r="U185" s="258"/>
      <c r="V185" s="258"/>
      <c r="W185" s="38"/>
      <c r="X185" s="38"/>
      <c r="Y185" s="38"/>
      <c r="Z185" s="38"/>
      <c r="AA185" s="38"/>
      <c r="AB185" s="38"/>
      <c r="AC185" s="38"/>
      <c r="AD185" s="38" t="str">
        <f>IF(ISBLANK(AA185),"",AA185&amp;"*")</f>
        <v/>
      </c>
      <c r="AE185" s="38" t="str">
        <f>IF(ISBLANK(AA185),"",AA185)</f>
        <v/>
      </c>
      <c r="AF185" s="38" t="str">
        <f t="shared" ref="AF185" si="16">IF(ISBLANK(AD185),"",AD185)</f>
        <v/>
      </c>
      <c r="AG185" s="38"/>
      <c r="AH185" s="38"/>
      <c r="AI185" s="38"/>
      <c r="AJ185" s="38"/>
      <c r="AK185" s="38" t="str">
        <f>LEFT(IF(ISBLANK(P185),"",P185&amp;"*")&amp;IF(ISBLANK(Q185),"",Q185&amp;"*")&amp;IF(ISBLANK(R185),"",R185&amp;"*")&amp;IF(ISBLANK(S185),"",S185&amp;"*"),2)</f>
        <v/>
      </c>
      <c r="AL185" s="121"/>
      <c r="AM185" s="38"/>
      <c r="AN185" s="121"/>
      <c r="AO185" s="38"/>
      <c r="AP185" s="121"/>
      <c r="AQ185" s="38"/>
      <c r="AR185" s="121"/>
      <c r="AS185" s="38"/>
      <c r="AV185" s="38"/>
      <c r="AW185" s="38"/>
      <c r="AX185" s="157"/>
      <c r="AY185" s="157"/>
      <c r="AZ185" s="157"/>
      <c r="BA185" s="38"/>
      <c r="BB185" s="121"/>
      <c r="BC185" s="121"/>
      <c r="BD185" s="38" t="str">
        <f>LEFT(IF(ISBLANK(Q185),"",Q185&amp;"*")&amp;IF(ISBLANK(R185),"",R185&amp;"*")&amp;IF(ISBLANK(S185),"",S185&amp;"*")&amp;IF(ISBLANK(T185),"",T185&amp;"*"),2)</f>
        <v/>
      </c>
      <c r="BE185" s="80"/>
      <c r="BF185" s="486"/>
      <c r="BG185" s="486"/>
      <c r="BH185" s="486"/>
      <c r="BI185" s="486"/>
      <c r="BJ185" s="486"/>
      <c r="BK185" s="486"/>
      <c r="BL185" s="486"/>
      <c r="BM185" s="486"/>
      <c r="BN185" s="252"/>
      <c r="BO185" s="251"/>
      <c r="BP185" s="251"/>
      <c r="BQ185" s="260"/>
    </row>
    <row r="186" spans="1:70" s="166" customFormat="1" ht="28.95" customHeight="1" outlineLevel="1" x14ac:dyDescent="0.25">
      <c r="A186" s="1288" t="s">
        <v>623</v>
      </c>
      <c r="B186" s="1136" t="s">
        <v>51</v>
      </c>
      <c r="C186" s="164" t="s">
        <v>624</v>
      </c>
      <c r="D186" s="166" t="s">
        <v>521</v>
      </c>
      <c r="E186" s="716" t="s">
        <v>149</v>
      </c>
      <c r="F186" s="716">
        <v>0</v>
      </c>
      <c r="G186" s="716" t="s">
        <v>149</v>
      </c>
      <c r="H186" s="716" t="s">
        <v>150</v>
      </c>
      <c r="I186" s="716" t="s">
        <v>149</v>
      </c>
      <c r="J186" s="1095"/>
      <c r="K186" s="1095" t="s">
        <v>625</v>
      </c>
      <c r="L186" s="716" t="s">
        <v>626</v>
      </c>
      <c r="M186" s="164" t="s">
        <v>627</v>
      </c>
      <c r="N186" s="1095"/>
      <c r="O186" s="1095"/>
      <c r="P186" s="1095"/>
      <c r="Q186" s="1095"/>
      <c r="R186" s="1095"/>
      <c r="S186" s="1095"/>
      <c r="T186" s="1095"/>
      <c r="U186" s="1095"/>
      <c r="V186" s="1095"/>
      <c r="W186" s="1143"/>
      <c r="X186" s="1143"/>
      <c r="Y186" s="1143"/>
      <c r="Z186" s="1107"/>
      <c r="AA186" s="1107"/>
      <c r="AB186" s="1107"/>
      <c r="AC186" s="1107"/>
      <c r="AD186" s="1107"/>
      <c r="AE186" s="1107"/>
      <c r="AF186" s="1107"/>
      <c r="AG186" s="1107"/>
      <c r="AH186" s="1107"/>
      <c r="AI186" s="1107"/>
      <c r="AJ186" s="1107"/>
      <c r="AK186" s="1095" t="str">
        <f>LEFT(IF(ISBLANK(P186),"",P186&amp;"*")&amp;IF(ISBLANK(Q186),"",Q186&amp;"*")&amp;IF(ISBLANK(R186),"",R186&amp;"*")&amp;IF(ISBLANK(S186),"",S186&amp;"*"),2)</f>
        <v/>
      </c>
      <c r="AL186" s="1107"/>
      <c r="AM186" s="1095"/>
      <c r="AN186" s="1107"/>
      <c r="AO186" s="1095"/>
      <c r="AP186" s="1107"/>
      <c r="AQ186" s="1095"/>
      <c r="AR186" s="1107"/>
      <c r="AS186" s="1095"/>
      <c r="AT186" s="1143"/>
      <c r="AU186" s="1143"/>
      <c r="AV186" s="1143"/>
      <c r="AW186" s="1095" t="s">
        <v>242</v>
      </c>
      <c r="AX186" s="1261"/>
      <c r="AY186" s="1261"/>
      <c r="AZ186" s="1261"/>
      <c r="BA186" s="1163"/>
      <c r="BB186" s="1095" t="s">
        <v>199</v>
      </c>
      <c r="BC186" s="1095" t="s">
        <v>199</v>
      </c>
      <c r="BD186" s="1095" t="str">
        <f>LEFT(IF(ISBLANK(Q186),"",Q186&amp;"*")&amp;IF(ISBLANK(R186),"",R186&amp;"*")&amp;IF(ISBLANK(S186),"",S186&amp;"*")&amp;IF(ISBLANK(T186),"",T186&amp;"*"),2)</f>
        <v/>
      </c>
      <c r="BE186" s="1095"/>
      <c r="BF186" s="479"/>
      <c r="BG186" s="479"/>
      <c r="BH186" s="479"/>
      <c r="BI186" s="479"/>
      <c r="BJ186" s="479"/>
      <c r="BK186" s="479"/>
      <c r="BL186" s="479"/>
      <c r="BM186" s="479"/>
      <c r="BN186" s="1272" t="s">
        <v>628</v>
      </c>
      <c r="BQ186" s="716" t="s">
        <v>629</v>
      </c>
    </row>
    <row r="187" spans="1:70" s="166" customFormat="1" ht="28.8" outlineLevel="1" x14ac:dyDescent="0.25">
      <c r="A187" s="1289"/>
      <c r="B187" s="1137"/>
      <c r="C187" s="164" t="s">
        <v>630</v>
      </c>
      <c r="D187" s="166" t="s">
        <v>521</v>
      </c>
      <c r="E187" s="717"/>
      <c r="F187" s="717"/>
      <c r="G187" s="717"/>
      <c r="H187" s="717"/>
      <c r="I187" s="717"/>
      <c r="J187" s="1096"/>
      <c r="K187" s="1096"/>
      <c r="L187" s="717"/>
      <c r="M187" s="164" t="s">
        <v>631</v>
      </c>
      <c r="N187" s="1096"/>
      <c r="O187" s="1096"/>
      <c r="P187" s="1096"/>
      <c r="Q187" s="1096"/>
      <c r="R187" s="1096"/>
      <c r="S187" s="1096"/>
      <c r="T187" s="1096"/>
      <c r="U187" s="1096"/>
      <c r="V187" s="1096"/>
      <c r="W187" s="1144"/>
      <c r="X187" s="1144"/>
      <c r="Y187" s="1144"/>
      <c r="Z187" s="1108"/>
      <c r="AA187" s="1108"/>
      <c r="AB187" s="1108"/>
      <c r="AC187" s="1108"/>
      <c r="AD187" s="1108"/>
      <c r="AE187" s="1108"/>
      <c r="AF187" s="1108"/>
      <c r="AG187" s="1108"/>
      <c r="AH187" s="1108"/>
      <c r="AI187" s="1108"/>
      <c r="AJ187" s="1108"/>
      <c r="AK187" s="1096"/>
      <c r="AL187" s="1108"/>
      <c r="AM187" s="1096"/>
      <c r="AN187" s="1108"/>
      <c r="AO187" s="1096"/>
      <c r="AP187" s="1108"/>
      <c r="AQ187" s="1096"/>
      <c r="AR187" s="1108"/>
      <c r="AS187" s="1096"/>
      <c r="AT187" s="1144"/>
      <c r="AU187" s="1144"/>
      <c r="AV187" s="1144"/>
      <c r="AW187" s="1096"/>
      <c r="AX187" s="1262"/>
      <c r="AY187" s="1262"/>
      <c r="AZ187" s="1262"/>
      <c r="BA187" s="1164"/>
      <c r="BB187" s="1096"/>
      <c r="BC187" s="1096"/>
      <c r="BD187" s="1096"/>
      <c r="BE187" s="1096"/>
      <c r="BF187" s="480"/>
      <c r="BG187" s="480"/>
      <c r="BH187" s="480"/>
      <c r="BI187" s="480"/>
      <c r="BJ187" s="480"/>
      <c r="BK187" s="480"/>
      <c r="BL187" s="480"/>
      <c r="BM187" s="480"/>
      <c r="BN187" s="1273"/>
      <c r="BQ187" s="1096"/>
    </row>
    <row r="188" spans="1:70" s="166" customFormat="1" ht="14.4" outlineLevel="1" x14ac:dyDescent="0.25">
      <c r="A188" s="1289"/>
      <c r="B188" s="1137"/>
      <c r="C188" s="164" t="s">
        <v>632</v>
      </c>
      <c r="D188" s="166" t="s">
        <v>521</v>
      </c>
      <c r="E188" s="717"/>
      <c r="F188" s="717"/>
      <c r="G188" s="717"/>
      <c r="H188" s="717"/>
      <c r="I188" s="717"/>
      <c r="J188" s="1096"/>
      <c r="K188" s="1096"/>
      <c r="L188" s="717"/>
      <c r="M188" s="164" t="s">
        <v>633</v>
      </c>
      <c r="N188" s="1096"/>
      <c r="O188" s="1096"/>
      <c r="P188" s="1096"/>
      <c r="Q188" s="1096"/>
      <c r="R188" s="1096"/>
      <c r="S188" s="1096"/>
      <c r="T188" s="1096"/>
      <c r="U188" s="1096"/>
      <c r="V188" s="1096"/>
      <c r="W188" s="1144"/>
      <c r="X188" s="1144"/>
      <c r="Y188" s="1144"/>
      <c r="Z188" s="1108"/>
      <c r="AA188" s="1108"/>
      <c r="AB188" s="1108"/>
      <c r="AC188" s="1108"/>
      <c r="AD188" s="1108"/>
      <c r="AE188" s="1108"/>
      <c r="AF188" s="1108"/>
      <c r="AG188" s="1108"/>
      <c r="AH188" s="1108"/>
      <c r="AI188" s="1108"/>
      <c r="AJ188" s="1108"/>
      <c r="AK188" s="1096"/>
      <c r="AL188" s="1108"/>
      <c r="AM188" s="1096"/>
      <c r="AN188" s="1108"/>
      <c r="AO188" s="1096"/>
      <c r="AP188" s="1108"/>
      <c r="AQ188" s="1096"/>
      <c r="AR188" s="1108"/>
      <c r="AS188" s="1096"/>
      <c r="AT188" s="1144"/>
      <c r="AU188" s="1144"/>
      <c r="AV188" s="1144"/>
      <c r="AW188" s="1096"/>
      <c r="AX188" s="1262"/>
      <c r="AY188" s="1262"/>
      <c r="AZ188" s="1262"/>
      <c r="BA188" s="1164"/>
      <c r="BB188" s="1096"/>
      <c r="BC188" s="1096"/>
      <c r="BD188" s="1096"/>
      <c r="BE188" s="1096"/>
      <c r="BF188" s="480"/>
      <c r="BG188" s="480"/>
      <c r="BH188" s="480"/>
      <c r="BI188" s="480"/>
      <c r="BJ188" s="480"/>
      <c r="BK188" s="480"/>
      <c r="BL188" s="480"/>
      <c r="BM188" s="480"/>
      <c r="BN188" s="1273"/>
      <c r="BQ188" s="1096"/>
    </row>
    <row r="189" spans="1:70" s="166" customFormat="1" ht="43.2" outlineLevel="1" x14ac:dyDescent="0.25">
      <c r="A189" s="1290"/>
      <c r="B189" s="1138"/>
      <c r="C189" s="164" t="s">
        <v>634</v>
      </c>
      <c r="D189" s="166" t="s">
        <v>521</v>
      </c>
      <c r="E189" s="718"/>
      <c r="F189" s="718"/>
      <c r="G189" s="718"/>
      <c r="H189" s="718"/>
      <c r="I189" s="718"/>
      <c r="J189" s="1097"/>
      <c r="K189" s="1097"/>
      <c r="L189" s="718"/>
      <c r="M189" s="164" t="s">
        <v>635</v>
      </c>
      <c r="N189" s="1097"/>
      <c r="O189" s="1097"/>
      <c r="P189" s="1097"/>
      <c r="Q189" s="1097"/>
      <c r="R189" s="1097"/>
      <c r="S189" s="1097"/>
      <c r="T189" s="1097"/>
      <c r="U189" s="1097"/>
      <c r="V189" s="1097"/>
      <c r="W189" s="1145"/>
      <c r="X189" s="1145"/>
      <c r="Y189" s="1145"/>
      <c r="Z189" s="1109"/>
      <c r="AA189" s="1109"/>
      <c r="AB189" s="1109"/>
      <c r="AC189" s="1109"/>
      <c r="AD189" s="1109"/>
      <c r="AE189" s="1109"/>
      <c r="AF189" s="1109"/>
      <c r="AG189" s="1109"/>
      <c r="AH189" s="1109"/>
      <c r="AI189" s="1109"/>
      <c r="AJ189" s="1109"/>
      <c r="AK189" s="1097" t="str">
        <f>LEFT(IF(ISBLANK(P189),"",P189&amp;"*")&amp;IF(ISBLANK(Q189),"",Q189&amp;"*")&amp;IF(ISBLANK(R189),"",R189&amp;"*")&amp;IF(ISBLANK(S189),"",S189&amp;"*"),2)</f>
        <v/>
      </c>
      <c r="AL189" s="1109"/>
      <c r="AM189" s="1097"/>
      <c r="AN189" s="1109"/>
      <c r="AO189" s="1097"/>
      <c r="AP189" s="1109"/>
      <c r="AQ189" s="1097"/>
      <c r="AR189" s="1109"/>
      <c r="AS189" s="1097"/>
      <c r="AT189" s="1145"/>
      <c r="AU189" s="1145"/>
      <c r="AV189" s="1145"/>
      <c r="AW189" s="1097"/>
      <c r="AX189" s="1263"/>
      <c r="AY189" s="1263"/>
      <c r="AZ189" s="1263"/>
      <c r="BA189" s="1165"/>
      <c r="BB189" s="1097"/>
      <c r="BC189" s="1097"/>
      <c r="BD189" s="1097" t="str">
        <f>LEFT(IF(ISBLANK(Q189),"",Q189&amp;"*")&amp;IF(ISBLANK(R189),"",R189&amp;"*")&amp;IF(ISBLANK(S189),"",S189&amp;"*")&amp;IF(ISBLANK(T189),"",T189&amp;"*"),2)</f>
        <v/>
      </c>
      <c r="BE189" s="1097"/>
      <c r="BF189" s="481"/>
      <c r="BG189" s="481"/>
      <c r="BH189" s="481"/>
      <c r="BI189" s="481"/>
      <c r="BJ189" s="481"/>
      <c r="BK189" s="481"/>
      <c r="BL189" s="481"/>
      <c r="BM189" s="481"/>
      <c r="BN189" s="1274"/>
      <c r="BQ189" s="1097"/>
    </row>
    <row r="190" spans="1:70" s="37" customFormat="1" ht="14.4" outlineLevel="1" x14ac:dyDescent="0.25">
      <c r="A190" s="77" t="s">
        <v>636</v>
      </c>
      <c r="B190" s="80"/>
      <c r="C190" s="80"/>
      <c r="D190" s="82"/>
      <c r="E190" s="80"/>
      <c r="F190" s="80"/>
      <c r="G190" s="80"/>
      <c r="H190" s="80"/>
      <c r="I190" s="81"/>
      <c r="J190" s="80"/>
      <c r="K190" s="80"/>
      <c r="L190" s="80"/>
      <c r="M190" s="80"/>
      <c r="N190" s="82"/>
      <c r="O190" s="121"/>
      <c r="P190" s="121"/>
      <c r="Q190" s="121"/>
      <c r="R190" s="121"/>
      <c r="S190" s="121"/>
      <c r="T190" s="121"/>
      <c r="U190" s="121"/>
      <c r="V190" s="121"/>
      <c r="W190" s="121"/>
      <c r="X190" s="38"/>
      <c r="Y190" s="38"/>
      <c r="Z190" s="38"/>
      <c r="AA190" s="38"/>
      <c r="AB190" s="38"/>
      <c r="AC190" s="38"/>
      <c r="AD190" s="38" t="str">
        <f>IF(ISBLANK(AA190),"",AA190&amp;"*")</f>
        <v/>
      </c>
      <c r="AE190" s="38" t="str">
        <f t="shared" ref="AE190:AE204" si="17">IF(ISBLANK(AA190),"",AA190)</f>
        <v/>
      </c>
      <c r="AF190" s="38" t="str">
        <f t="shared" ref="AF190:AF204" si="18">IF(ISBLANK(AD190),"",AD190)</f>
        <v/>
      </c>
      <c r="AG190" s="38"/>
      <c r="AH190" s="38"/>
      <c r="AI190" s="38"/>
      <c r="AJ190" s="38"/>
      <c r="AK190" s="38" t="str">
        <f>LEFT(IF(ISBLANK(P190),"",P190&amp;"*")&amp;IF(ISBLANK(Q190),"",Q190&amp;"*")&amp;IF(ISBLANK(R190),"",R190&amp;"*")&amp;IF(ISBLANK(S190),"",S190&amp;"*"),2)</f>
        <v/>
      </c>
      <c r="AL190" s="121"/>
      <c r="AM190" s="38"/>
      <c r="AN190" s="121"/>
      <c r="AO190" s="38"/>
      <c r="AP190" s="121"/>
      <c r="AQ190" s="38"/>
      <c r="AR190" s="121"/>
      <c r="AS190" s="38"/>
      <c r="AT190" s="38"/>
      <c r="AU190" s="38"/>
      <c r="AV190" s="38"/>
      <c r="AW190" s="38"/>
      <c r="AX190" s="157"/>
      <c r="AY190" s="157"/>
      <c r="AZ190" s="157"/>
      <c r="BA190" s="38"/>
      <c r="BB190" s="121"/>
      <c r="BC190" s="121"/>
      <c r="BD190" s="38" t="str">
        <f>LEFT(IF(ISBLANK(Q190),"",Q190&amp;"*")&amp;IF(ISBLANK(R190),"",R190&amp;"*")&amp;IF(ISBLANK(S190),"",S190&amp;"*")&amp;IF(ISBLANK(T190),"",T190&amp;"*"),2)</f>
        <v/>
      </c>
      <c r="BE190" s="80"/>
      <c r="BF190" s="486"/>
      <c r="BG190" s="486"/>
      <c r="BH190" s="486"/>
      <c r="BI190" s="486"/>
      <c r="BJ190" s="486"/>
      <c r="BK190" s="486"/>
      <c r="BL190" s="486"/>
      <c r="BM190" s="486"/>
      <c r="BN190" s="252"/>
      <c r="BO190" s="251"/>
      <c r="BP190" s="251"/>
      <c r="BQ190" s="104"/>
    </row>
    <row r="191" spans="1:70" s="1" customFormat="1" ht="14.4" outlineLevel="1" x14ac:dyDescent="0.25">
      <c r="A191" s="159" t="s">
        <v>637</v>
      </c>
      <c r="B191" s="160" t="s">
        <v>51</v>
      </c>
      <c r="C191" s="161" t="s">
        <v>638</v>
      </c>
      <c r="D191" s="162" t="s">
        <v>374</v>
      </c>
      <c r="E191" s="163" t="s">
        <v>149</v>
      </c>
      <c r="F191" s="164">
        <v>0</v>
      </c>
      <c r="G191" s="163" t="s">
        <v>149</v>
      </c>
      <c r="H191" s="164" t="s">
        <v>150</v>
      </c>
      <c r="I191" s="163" t="s">
        <v>149</v>
      </c>
      <c r="J191" s="163"/>
      <c r="K191" s="163" t="s">
        <v>151</v>
      </c>
      <c r="L191" s="164" t="s">
        <v>548</v>
      </c>
      <c r="M191" s="164" t="s">
        <v>639</v>
      </c>
      <c r="N191" s="162"/>
      <c r="O191" s="166"/>
      <c r="P191" s="166"/>
      <c r="Q191" s="166"/>
      <c r="R191" s="166"/>
      <c r="S191" s="166"/>
      <c r="T191" s="166"/>
      <c r="U191" s="166"/>
      <c r="V191" s="166"/>
      <c r="W191" s="167"/>
      <c r="X191" s="167"/>
      <c r="Y191" s="167"/>
      <c r="Z191" s="166"/>
      <c r="AA191" s="166"/>
      <c r="AB191" s="166"/>
      <c r="AC191" s="166"/>
      <c r="AD191" s="166" t="str">
        <f>IF(ISBLANK(AA191),"",AA191)</f>
        <v/>
      </c>
      <c r="AE191" s="166" t="str">
        <f t="shared" ref="AE191:AE194" si="19">IF(ISBLANK(AA191),"",AA191)</f>
        <v/>
      </c>
      <c r="AF191" s="166" t="str">
        <f t="shared" ref="AF191:AF194" si="20">IF(ISBLANK(AD191),"",AD191)</f>
        <v/>
      </c>
      <c r="AG191" s="167"/>
      <c r="AH191" s="167"/>
      <c r="AI191" s="167"/>
      <c r="AJ191" s="167"/>
      <c r="AK191" s="166" t="s">
        <v>154</v>
      </c>
      <c r="AL191" s="168"/>
      <c r="AM191" s="166"/>
      <c r="AN191" s="168"/>
      <c r="AO191" s="166"/>
      <c r="AP191" s="168"/>
      <c r="AQ191" s="166"/>
      <c r="AR191" s="168"/>
      <c r="AS191" s="166"/>
      <c r="AT191" s="166"/>
      <c r="AU191" s="166"/>
      <c r="AV191" s="166"/>
      <c r="AW191" s="166" t="s">
        <v>341</v>
      </c>
      <c r="AX191" s="169"/>
      <c r="AY191" s="169"/>
      <c r="AZ191" s="169"/>
      <c r="BA191" s="69"/>
      <c r="BB191" s="166" t="s">
        <v>154</v>
      </c>
      <c r="BC191" s="166" t="s">
        <v>154</v>
      </c>
      <c r="BD191" s="166"/>
      <c r="BE191" s="163"/>
      <c r="BF191" s="487"/>
      <c r="BG191" s="487"/>
      <c r="BH191" s="487"/>
      <c r="BI191" s="487"/>
      <c r="BJ191" s="487"/>
      <c r="BK191" s="487"/>
      <c r="BL191" s="487"/>
      <c r="BM191" s="487"/>
      <c r="BN191" s="249"/>
      <c r="BO191" s="250"/>
      <c r="BP191" s="250"/>
      <c r="BQ191" s="104"/>
    </row>
    <row r="192" spans="1:70" s="1" customFormat="1" ht="14.4" outlineLevel="1" x14ac:dyDescent="0.25">
      <c r="A192" s="159" t="s">
        <v>640</v>
      </c>
      <c r="B192" s="160" t="s">
        <v>51</v>
      </c>
      <c r="C192" s="161" t="s">
        <v>641</v>
      </c>
      <c r="D192" s="162" t="s">
        <v>374</v>
      </c>
      <c r="E192" s="163" t="s">
        <v>149</v>
      </c>
      <c r="F192" s="164">
        <v>0</v>
      </c>
      <c r="G192" s="163" t="s">
        <v>149</v>
      </c>
      <c r="H192" s="164" t="s">
        <v>150</v>
      </c>
      <c r="I192" s="163" t="s">
        <v>149</v>
      </c>
      <c r="J192" s="163"/>
      <c r="K192" s="163" t="s">
        <v>151</v>
      </c>
      <c r="L192" s="164" t="s">
        <v>553</v>
      </c>
      <c r="M192" s="164" t="s">
        <v>639</v>
      </c>
      <c r="N192" s="162"/>
      <c r="O192" s="166"/>
      <c r="P192" s="166"/>
      <c r="Q192" s="166"/>
      <c r="R192" s="166"/>
      <c r="S192" s="166"/>
      <c r="T192" s="166"/>
      <c r="U192" s="166"/>
      <c r="V192" s="166"/>
      <c r="W192" s="167"/>
      <c r="X192" s="167"/>
      <c r="Y192" s="167"/>
      <c r="Z192" s="166"/>
      <c r="AA192" s="166"/>
      <c r="AB192" s="166"/>
      <c r="AC192" s="166"/>
      <c r="AD192" s="166" t="str">
        <f t="shared" ref="AD192:AD194" si="21">IF(ISBLANK(AA192),"",AA192)</f>
        <v/>
      </c>
      <c r="AE192" s="166" t="str">
        <f t="shared" si="19"/>
        <v/>
      </c>
      <c r="AF192" s="166" t="str">
        <f t="shared" si="20"/>
        <v/>
      </c>
      <c r="AG192" s="167"/>
      <c r="AH192" s="167"/>
      <c r="AI192" s="167"/>
      <c r="AJ192" s="167"/>
      <c r="AK192" s="166" t="s">
        <v>154</v>
      </c>
      <c r="AL192" s="166"/>
      <c r="AM192" s="166"/>
      <c r="AN192" s="166"/>
      <c r="AO192" s="166"/>
      <c r="AP192" s="166"/>
      <c r="AQ192" s="166"/>
      <c r="AR192" s="166"/>
      <c r="AS192" s="166"/>
      <c r="AT192" s="166"/>
      <c r="AU192" s="166"/>
      <c r="AV192" s="166"/>
      <c r="AW192" s="166" t="s">
        <v>341</v>
      </c>
      <c r="AX192" s="169"/>
      <c r="AY192" s="169"/>
      <c r="AZ192" s="169"/>
      <c r="BA192" s="69"/>
      <c r="BB192" s="166" t="s">
        <v>154</v>
      </c>
      <c r="BC192" s="166" t="s">
        <v>154</v>
      </c>
      <c r="BD192" s="166"/>
      <c r="BE192" s="163"/>
      <c r="BF192" s="487"/>
      <c r="BG192" s="487"/>
      <c r="BH192" s="487"/>
      <c r="BI192" s="487"/>
      <c r="BJ192" s="487"/>
      <c r="BK192" s="487"/>
      <c r="BL192" s="487"/>
      <c r="BM192" s="487"/>
      <c r="BN192" s="249" t="s">
        <v>642</v>
      </c>
      <c r="BO192" s="250"/>
      <c r="BP192" s="250"/>
      <c r="BQ192" s="104"/>
    </row>
    <row r="193" spans="1:69" s="1" customFormat="1" ht="14.4" outlineLevel="1" x14ac:dyDescent="0.25">
      <c r="A193" s="159" t="s">
        <v>643</v>
      </c>
      <c r="B193" s="160" t="s">
        <v>51</v>
      </c>
      <c r="C193" s="161" t="s">
        <v>644</v>
      </c>
      <c r="D193" s="162" t="s">
        <v>374</v>
      </c>
      <c r="E193" s="163" t="s">
        <v>149</v>
      </c>
      <c r="F193" s="164">
        <v>0</v>
      </c>
      <c r="G193" s="163" t="s">
        <v>149</v>
      </c>
      <c r="H193" s="164" t="s">
        <v>150</v>
      </c>
      <c r="I193" s="163" t="s">
        <v>149</v>
      </c>
      <c r="J193" s="163"/>
      <c r="K193" s="163" t="s">
        <v>151</v>
      </c>
      <c r="L193" s="164" t="s">
        <v>556</v>
      </c>
      <c r="M193" s="164" t="s">
        <v>639</v>
      </c>
      <c r="N193" s="162"/>
      <c r="O193" s="166"/>
      <c r="P193" s="166"/>
      <c r="Q193" s="166"/>
      <c r="R193" s="166"/>
      <c r="S193" s="166"/>
      <c r="T193" s="166"/>
      <c r="U193" s="166"/>
      <c r="V193" s="166"/>
      <c r="W193" s="167"/>
      <c r="X193" s="167"/>
      <c r="Y193" s="167"/>
      <c r="Z193" s="166"/>
      <c r="AA193" s="166"/>
      <c r="AB193" s="166"/>
      <c r="AC193" s="166"/>
      <c r="AD193" s="166" t="str">
        <f t="shared" si="21"/>
        <v/>
      </c>
      <c r="AE193" s="166" t="str">
        <f t="shared" si="19"/>
        <v/>
      </c>
      <c r="AF193" s="166" t="str">
        <f t="shared" si="20"/>
        <v/>
      </c>
      <c r="AG193" s="167"/>
      <c r="AH193" s="167"/>
      <c r="AI193" s="167"/>
      <c r="AJ193" s="167"/>
      <c r="AK193" s="166" t="s">
        <v>154</v>
      </c>
      <c r="AL193" s="168"/>
      <c r="AM193" s="166"/>
      <c r="AN193" s="168"/>
      <c r="AO193" s="166"/>
      <c r="AP193" s="168"/>
      <c r="AQ193" s="166"/>
      <c r="AR193" s="168"/>
      <c r="AS193" s="166"/>
      <c r="AT193" s="166"/>
      <c r="AU193" s="166"/>
      <c r="AV193" s="166"/>
      <c r="AW193" s="166" t="s">
        <v>341</v>
      </c>
      <c r="AX193" s="169"/>
      <c r="AY193" s="169"/>
      <c r="AZ193" s="169"/>
      <c r="BA193" s="69"/>
      <c r="BB193" s="166" t="s">
        <v>154</v>
      </c>
      <c r="BC193" s="166" t="s">
        <v>154</v>
      </c>
      <c r="BD193" s="166"/>
      <c r="BE193" s="163"/>
      <c r="BF193" s="487"/>
      <c r="BG193" s="487"/>
      <c r="BH193" s="487"/>
      <c r="BI193" s="487"/>
      <c r="BJ193" s="487"/>
      <c r="BK193" s="487"/>
      <c r="BL193" s="487"/>
      <c r="BM193" s="487"/>
      <c r="BN193" s="249"/>
      <c r="BO193" s="250"/>
      <c r="BP193" s="250"/>
      <c r="BQ193" s="104"/>
    </row>
    <row r="194" spans="1:69" s="1" customFormat="1" ht="14.4" outlineLevel="1" x14ac:dyDescent="0.25">
      <c r="A194" s="159" t="s">
        <v>645</v>
      </c>
      <c r="B194" s="160" t="s">
        <v>51</v>
      </c>
      <c r="C194" s="161" t="s">
        <v>646</v>
      </c>
      <c r="D194" s="162" t="s">
        <v>374</v>
      </c>
      <c r="E194" s="163" t="s">
        <v>149</v>
      </c>
      <c r="F194" s="164">
        <v>0</v>
      </c>
      <c r="G194" s="163" t="s">
        <v>149</v>
      </c>
      <c r="H194" s="164" t="s">
        <v>150</v>
      </c>
      <c r="I194" s="163" t="s">
        <v>149</v>
      </c>
      <c r="J194" s="163"/>
      <c r="K194" s="163" t="s">
        <v>151</v>
      </c>
      <c r="L194" s="164" t="s">
        <v>559</v>
      </c>
      <c r="M194" s="164" t="s">
        <v>639</v>
      </c>
      <c r="N194" s="162"/>
      <c r="O194" s="166"/>
      <c r="P194" s="166"/>
      <c r="Q194" s="166"/>
      <c r="R194" s="166"/>
      <c r="S194" s="166"/>
      <c r="T194" s="166"/>
      <c r="U194" s="166"/>
      <c r="V194" s="166"/>
      <c r="W194" s="167"/>
      <c r="X194" s="167"/>
      <c r="Y194" s="167"/>
      <c r="Z194" s="166"/>
      <c r="AA194" s="166"/>
      <c r="AB194" s="166"/>
      <c r="AC194" s="166"/>
      <c r="AD194" s="166" t="str">
        <f t="shared" si="21"/>
        <v/>
      </c>
      <c r="AE194" s="166" t="str">
        <f t="shared" si="19"/>
        <v/>
      </c>
      <c r="AF194" s="166" t="str">
        <f t="shared" si="20"/>
        <v/>
      </c>
      <c r="AG194" s="167"/>
      <c r="AH194" s="167"/>
      <c r="AI194" s="167"/>
      <c r="AJ194" s="167"/>
      <c r="AK194" s="166" t="s">
        <v>154</v>
      </c>
      <c r="AL194" s="168"/>
      <c r="AM194" s="166"/>
      <c r="AN194" s="168"/>
      <c r="AO194" s="166"/>
      <c r="AP194" s="168"/>
      <c r="AQ194" s="166"/>
      <c r="AR194" s="168"/>
      <c r="AS194" s="166"/>
      <c r="AT194" s="166"/>
      <c r="AU194" s="166"/>
      <c r="AV194" s="166"/>
      <c r="AW194" s="166" t="s">
        <v>341</v>
      </c>
      <c r="AX194" s="169"/>
      <c r="AY194" s="169"/>
      <c r="AZ194" s="169"/>
      <c r="BA194" s="69"/>
      <c r="BB194" s="166" t="s">
        <v>154</v>
      </c>
      <c r="BC194" s="166" t="s">
        <v>154</v>
      </c>
      <c r="BD194" s="166"/>
      <c r="BE194" s="163"/>
      <c r="BF194" s="487"/>
      <c r="BG194" s="487"/>
      <c r="BH194" s="487"/>
      <c r="BI194" s="487"/>
      <c r="BJ194" s="487"/>
      <c r="BK194" s="487"/>
      <c r="BL194" s="487"/>
      <c r="BM194" s="487"/>
      <c r="BN194" s="249"/>
      <c r="BO194" s="250"/>
      <c r="BP194" s="250"/>
      <c r="BQ194" s="104"/>
    </row>
    <row r="195" spans="1:69" s="1" customFormat="1" ht="14.4" outlineLevel="1" x14ac:dyDescent="0.25">
      <c r="A195" s="159" t="s">
        <v>647</v>
      </c>
      <c r="B195" s="160" t="s">
        <v>51</v>
      </c>
      <c r="C195" s="161" t="s">
        <v>648</v>
      </c>
      <c r="D195" s="162" t="s">
        <v>148</v>
      </c>
      <c r="E195" s="163" t="s">
        <v>149</v>
      </c>
      <c r="F195" s="164">
        <v>0</v>
      </c>
      <c r="G195" s="163" t="s">
        <v>149</v>
      </c>
      <c r="H195" s="164" t="s">
        <v>150</v>
      </c>
      <c r="I195" s="163" t="s">
        <v>149</v>
      </c>
      <c r="J195" s="163"/>
      <c r="K195" s="163" t="s">
        <v>151</v>
      </c>
      <c r="L195" s="164" t="s">
        <v>569</v>
      </c>
      <c r="M195" s="164" t="s">
        <v>639</v>
      </c>
      <c r="N195" s="214"/>
      <c r="O195" s="166"/>
      <c r="P195" s="166"/>
      <c r="Q195" s="168"/>
      <c r="R195" s="168"/>
      <c r="S195" s="166"/>
      <c r="T195" s="166"/>
      <c r="U195" s="168"/>
      <c r="V195" s="168"/>
      <c r="W195" s="221"/>
      <c r="X195" s="221"/>
      <c r="Y195" s="221"/>
      <c r="Z195" s="168"/>
      <c r="AA195" s="168"/>
      <c r="AB195" s="168"/>
      <c r="AC195" s="168"/>
      <c r="AD195" s="168"/>
      <c r="AE195" s="168"/>
      <c r="AF195" s="168"/>
      <c r="AG195" s="221"/>
      <c r="AH195" s="221"/>
      <c r="AI195" s="221"/>
      <c r="AJ195" s="221"/>
      <c r="AK195" s="166" t="s">
        <v>154</v>
      </c>
      <c r="AL195" s="168"/>
      <c r="AM195" s="168"/>
      <c r="AN195" s="168"/>
      <c r="AO195" s="168"/>
      <c r="AP195" s="168"/>
      <c r="AQ195" s="168"/>
      <c r="AR195" s="168"/>
      <c r="AS195" s="168"/>
      <c r="AT195" s="168"/>
      <c r="AU195" s="168"/>
      <c r="AV195" s="168"/>
      <c r="AW195" s="168" t="s">
        <v>341</v>
      </c>
      <c r="AX195" s="222"/>
      <c r="AY195" s="222"/>
      <c r="AZ195" s="222"/>
      <c r="BA195" s="282"/>
      <c r="BB195" s="166" t="s">
        <v>154</v>
      </c>
      <c r="BC195" s="166" t="s">
        <v>154</v>
      </c>
      <c r="BD195" s="166"/>
      <c r="BE195" s="215"/>
      <c r="BF195" s="488"/>
      <c r="BG195" s="488"/>
      <c r="BH195" s="488"/>
      <c r="BI195" s="488"/>
      <c r="BJ195" s="488"/>
      <c r="BK195" s="488"/>
      <c r="BL195" s="488"/>
      <c r="BM195" s="488"/>
      <c r="BN195" s="249"/>
      <c r="BO195" s="248"/>
      <c r="BP195" s="248"/>
      <c r="BQ195" s="104"/>
    </row>
    <row r="196" spans="1:69" s="1" customFormat="1" ht="60" customHeight="1" outlineLevel="1" x14ac:dyDescent="0.25">
      <c r="A196" s="159" t="s">
        <v>649</v>
      </c>
      <c r="B196" s="160" t="s">
        <v>51</v>
      </c>
      <c r="C196" s="161" t="s">
        <v>650</v>
      </c>
      <c r="D196" s="162" t="s">
        <v>148</v>
      </c>
      <c r="E196" s="163" t="s">
        <v>149</v>
      </c>
      <c r="F196" s="164">
        <v>0</v>
      </c>
      <c r="G196" s="163" t="s">
        <v>149</v>
      </c>
      <c r="H196" s="164" t="s">
        <v>150</v>
      </c>
      <c r="I196" s="163" t="s">
        <v>149</v>
      </c>
      <c r="J196" s="163"/>
      <c r="K196" s="163" t="s">
        <v>151</v>
      </c>
      <c r="L196" s="164" t="s">
        <v>651</v>
      </c>
      <c r="M196" s="164" t="s">
        <v>652</v>
      </c>
      <c r="N196" s="162"/>
      <c r="O196" s="166"/>
      <c r="P196" s="166"/>
      <c r="Q196" s="166"/>
      <c r="R196" s="166"/>
      <c r="S196" s="166"/>
      <c r="T196" s="166"/>
      <c r="U196" s="166"/>
      <c r="V196" s="166"/>
      <c r="W196" s="167"/>
      <c r="X196" s="167"/>
      <c r="Y196" s="167"/>
      <c r="Z196" s="166"/>
      <c r="AA196" s="166"/>
      <c r="AB196" s="166"/>
      <c r="AC196" s="166"/>
      <c r="AD196" s="166" t="str">
        <f t="shared" ref="AD196:AD197" si="22">IF(ISBLANK(AA196),"",AA196)</f>
        <v/>
      </c>
      <c r="AE196" s="166" t="str">
        <f t="shared" ref="AE196:AE197" si="23">IF(ISBLANK(AA196),"",AA196)</f>
        <v/>
      </c>
      <c r="AF196" s="166" t="str">
        <f t="shared" ref="AF196:AF197" si="24">IF(ISBLANK(AD196),"",AD196)</f>
        <v/>
      </c>
      <c r="AG196" s="167"/>
      <c r="AH196" s="167"/>
      <c r="AI196" s="167"/>
      <c r="AJ196" s="167"/>
      <c r="AK196" s="166" t="s">
        <v>154</v>
      </c>
      <c r="AL196" s="168"/>
      <c r="AM196" s="166"/>
      <c r="AN196" s="168"/>
      <c r="AO196" s="166"/>
      <c r="AP196" s="168"/>
      <c r="AQ196" s="166"/>
      <c r="AR196" s="168"/>
      <c r="AS196" s="166"/>
      <c r="AT196" s="166"/>
      <c r="AU196" s="166"/>
      <c r="AV196" s="166"/>
      <c r="AW196" s="166" t="s">
        <v>341</v>
      </c>
      <c r="AX196" s="169"/>
      <c r="AY196" s="169"/>
      <c r="AZ196" s="169"/>
      <c r="BA196" s="69"/>
      <c r="BB196" s="166"/>
      <c r="BC196" s="166"/>
      <c r="BD196" s="166"/>
      <c r="BE196" s="163"/>
      <c r="BF196" s="487"/>
      <c r="BG196" s="487"/>
      <c r="BH196" s="487"/>
      <c r="BI196" s="487"/>
      <c r="BJ196" s="487"/>
      <c r="BK196" s="487"/>
      <c r="BL196" s="487"/>
      <c r="BM196" s="487"/>
      <c r="BN196" s="249" t="s">
        <v>653</v>
      </c>
      <c r="BO196" s="250"/>
      <c r="BP196" s="250"/>
      <c r="BQ196" s="104"/>
    </row>
    <row r="197" spans="1:69" s="166" customFormat="1" ht="14.4" outlineLevel="1" x14ac:dyDescent="0.25">
      <c r="A197" s="159" t="s">
        <v>654</v>
      </c>
      <c r="B197" s="160" t="s">
        <v>51</v>
      </c>
      <c r="C197" s="161" t="s">
        <v>655</v>
      </c>
      <c r="D197" s="162" t="s">
        <v>148</v>
      </c>
      <c r="E197" s="163" t="s">
        <v>149</v>
      </c>
      <c r="F197" s="164">
        <v>0</v>
      </c>
      <c r="G197" s="163" t="s">
        <v>149</v>
      </c>
      <c r="H197" s="164" t="s">
        <v>150</v>
      </c>
      <c r="I197" s="163" t="s">
        <v>149</v>
      </c>
      <c r="J197" s="163"/>
      <c r="K197" s="163" t="s">
        <v>151</v>
      </c>
      <c r="L197" s="164" t="s">
        <v>582</v>
      </c>
      <c r="M197" s="164"/>
      <c r="N197" s="162"/>
      <c r="W197" s="167"/>
      <c r="X197" s="167"/>
      <c r="Y197" s="167"/>
      <c r="AD197" s="166" t="str">
        <f t="shared" si="22"/>
        <v/>
      </c>
      <c r="AE197" s="166" t="str">
        <f t="shared" si="23"/>
        <v/>
      </c>
      <c r="AF197" s="166" t="str">
        <f t="shared" si="24"/>
        <v/>
      </c>
      <c r="AG197" s="167"/>
      <c r="AH197" s="167"/>
      <c r="AI197" s="167"/>
      <c r="AJ197" s="167"/>
      <c r="AK197" s="166" t="s">
        <v>154</v>
      </c>
      <c r="AW197" s="166" t="s">
        <v>341</v>
      </c>
      <c r="AX197" s="169"/>
      <c r="AY197" s="169"/>
      <c r="AZ197" s="169"/>
      <c r="BA197" s="69"/>
      <c r="BB197" s="166" t="s">
        <v>154</v>
      </c>
      <c r="BC197" s="166" t="s">
        <v>154</v>
      </c>
      <c r="BE197" s="163"/>
      <c r="BF197" s="487"/>
      <c r="BG197" s="487"/>
      <c r="BH197" s="487"/>
      <c r="BI197" s="487"/>
      <c r="BJ197" s="487"/>
      <c r="BK197" s="487"/>
      <c r="BL197" s="487"/>
      <c r="BM197" s="487"/>
      <c r="BN197" s="249"/>
      <c r="BO197" s="250"/>
      <c r="BP197" s="250"/>
      <c r="BQ197" s="202"/>
    </row>
    <row r="198" spans="1:69" s="168" customFormat="1" ht="14.4" customHeight="1" outlineLevel="1" x14ac:dyDescent="0.25">
      <c r="A198" s="159" t="s">
        <v>656</v>
      </c>
      <c r="B198" s="160" t="s">
        <v>51</v>
      </c>
      <c r="C198" s="161" t="s">
        <v>657</v>
      </c>
      <c r="D198" s="162" t="s">
        <v>374</v>
      </c>
      <c r="E198" s="163" t="s">
        <v>149</v>
      </c>
      <c r="F198" s="164">
        <v>0</v>
      </c>
      <c r="G198" s="163" t="s">
        <v>149</v>
      </c>
      <c r="H198" s="164" t="s">
        <v>150</v>
      </c>
      <c r="I198" s="163" t="s">
        <v>149</v>
      </c>
      <c r="J198" s="163"/>
      <c r="K198" s="163" t="s">
        <v>151</v>
      </c>
      <c r="L198" s="164" t="s">
        <v>548</v>
      </c>
      <c r="M198" s="164" t="s">
        <v>639</v>
      </c>
      <c r="N198" s="214"/>
      <c r="O198" s="166"/>
      <c r="P198" s="166"/>
      <c r="Q198" s="166"/>
      <c r="R198" s="166"/>
      <c r="S198" s="166"/>
      <c r="T198" s="166"/>
      <c r="U198" s="166"/>
      <c r="V198" s="166"/>
      <c r="W198" s="166"/>
      <c r="X198" s="166"/>
      <c r="Y198" s="166"/>
      <c r="Z198" s="166"/>
      <c r="AA198" s="166"/>
      <c r="AB198" s="166"/>
      <c r="AC198" s="166"/>
      <c r="AD198" s="166"/>
      <c r="AE198" s="166"/>
      <c r="AF198" s="166"/>
      <c r="AG198" s="166"/>
      <c r="AH198" s="166"/>
      <c r="AI198" s="166"/>
      <c r="AJ198" s="166"/>
      <c r="AK198" s="166"/>
      <c r="AL198" s="166"/>
      <c r="AM198" s="166"/>
      <c r="AN198" s="166"/>
      <c r="AO198" s="166"/>
      <c r="AP198" s="166"/>
      <c r="AQ198" s="166"/>
      <c r="AR198" s="166"/>
      <c r="AS198" s="166"/>
      <c r="AT198" s="166"/>
      <c r="AU198" s="166"/>
      <c r="AV198" s="166"/>
      <c r="AW198" s="166"/>
      <c r="AX198" s="166"/>
      <c r="AY198" s="166"/>
      <c r="AZ198" s="166"/>
      <c r="BA198" s="166"/>
      <c r="BB198" s="166" t="s">
        <v>154</v>
      </c>
      <c r="BC198" s="166" t="s">
        <v>154</v>
      </c>
      <c r="BD198" s="166" t="s">
        <v>154</v>
      </c>
      <c r="BE198" s="1266"/>
      <c r="BF198" s="489"/>
      <c r="BG198" s="489"/>
      <c r="BH198" s="489"/>
      <c r="BI198" s="489"/>
      <c r="BJ198" s="489"/>
      <c r="BK198" s="489"/>
      <c r="BL198" s="489"/>
      <c r="BM198" s="489"/>
      <c r="BN198" s="249"/>
      <c r="BO198" s="248"/>
      <c r="BP198" s="248"/>
      <c r="BQ198" s="231"/>
    </row>
    <row r="199" spans="1:69" s="168" customFormat="1" ht="14.4" outlineLevel="1" x14ac:dyDescent="0.25">
      <c r="A199" s="159" t="s">
        <v>640</v>
      </c>
      <c r="B199" s="160" t="s">
        <v>51</v>
      </c>
      <c r="C199" s="161" t="s">
        <v>658</v>
      </c>
      <c r="D199" s="162" t="s">
        <v>374</v>
      </c>
      <c r="E199" s="163" t="s">
        <v>149</v>
      </c>
      <c r="F199" s="164">
        <v>0</v>
      </c>
      <c r="G199" s="163" t="s">
        <v>149</v>
      </c>
      <c r="H199" s="164" t="s">
        <v>150</v>
      </c>
      <c r="I199" s="163" t="s">
        <v>149</v>
      </c>
      <c r="J199" s="163"/>
      <c r="K199" s="163" t="s">
        <v>151</v>
      </c>
      <c r="L199" s="164" t="s">
        <v>553</v>
      </c>
      <c r="M199" s="164" t="s">
        <v>639</v>
      </c>
      <c r="N199" s="214"/>
      <c r="O199" s="166"/>
      <c r="P199" s="166"/>
      <c r="Q199" s="166"/>
      <c r="R199" s="166"/>
      <c r="S199" s="166"/>
      <c r="T199" s="166"/>
      <c r="U199" s="166"/>
      <c r="V199" s="166"/>
      <c r="W199" s="166"/>
      <c r="X199" s="166"/>
      <c r="Y199" s="166"/>
      <c r="Z199" s="166"/>
      <c r="AA199" s="166"/>
      <c r="AB199" s="166"/>
      <c r="AC199" s="166"/>
      <c r="AD199" s="166"/>
      <c r="AE199" s="166"/>
      <c r="AF199" s="166"/>
      <c r="AG199" s="166"/>
      <c r="AH199" s="166"/>
      <c r="AI199" s="166"/>
      <c r="AJ199" s="166"/>
      <c r="AK199" s="166"/>
      <c r="AL199" s="166"/>
      <c r="AM199" s="166"/>
      <c r="AN199" s="166"/>
      <c r="AO199" s="166"/>
      <c r="AP199" s="166"/>
      <c r="AQ199" s="166"/>
      <c r="AR199" s="166"/>
      <c r="AS199" s="166"/>
      <c r="AT199" s="166"/>
      <c r="AU199" s="166"/>
      <c r="AV199" s="166"/>
      <c r="AW199" s="166"/>
      <c r="AX199" s="166"/>
      <c r="AY199" s="166"/>
      <c r="AZ199" s="166"/>
      <c r="BA199" s="166"/>
      <c r="BB199" s="166" t="s">
        <v>154</v>
      </c>
      <c r="BC199" s="166" t="s">
        <v>154</v>
      </c>
      <c r="BD199" s="166" t="s">
        <v>154</v>
      </c>
      <c r="BE199" s="1267"/>
      <c r="BF199" s="490"/>
      <c r="BG199" s="490"/>
      <c r="BH199" s="490"/>
      <c r="BI199" s="490"/>
      <c r="BJ199" s="490"/>
      <c r="BK199" s="490"/>
      <c r="BL199" s="490"/>
      <c r="BM199" s="490"/>
      <c r="BN199" s="249" t="s">
        <v>659</v>
      </c>
      <c r="BO199" s="248"/>
      <c r="BP199" s="248"/>
      <c r="BQ199" s="231"/>
    </row>
    <row r="200" spans="1:69" s="1" customFormat="1" ht="14.4" outlineLevel="1" x14ac:dyDescent="0.25">
      <c r="A200" s="159" t="s">
        <v>660</v>
      </c>
      <c r="B200" s="160" t="s">
        <v>51</v>
      </c>
      <c r="C200" s="161" t="s">
        <v>661</v>
      </c>
      <c r="D200" s="162" t="s">
        <v>374</v>
      </c>
      <c r="E200" s="163" t="s">
        <v>149</v>
      </c>
      <c r="F200" s="164">
        <v>0</v>
      </c>
      <c r="G200" s="163" t="s">
        <v>149</v>
      </c>
      <c r="H200" s="164" t="s">
        <v>150</v>
      </c>
      <c r="I200" s="163" t="s">
        <v>149</v>
      </c>
      <c r="J200" s="163"/>
      <c r="K200" s="163" t="s">
        <v>151</v>
      </c>
      <c r="L200" s="164" t="s">
        <v>556</v>
      </c>
      <c r="M200" s="164" t="s">
        <v>639</v>
      </c>
      <c r="N200" s="162"/>
      <c r="O200" s="166"/>
      <c r="P200" s="166"/>
      <c r="Q200" s="166"/>
      <c r="R200" s="166"/>
      <c r="S200" s="166"/>
      <c r="T200" s="166"/>
      <c r="U200" s="166"/>
      <c r="V200" s="166"/>
      <c r="W200" s="167"/>
      <c r="X200" s="167"/>
      <c r="Y200" s="167"/>
      <c r="Z200" s="166"/>
      <c r="AA200" s="166"/>
      <c r="AB200" s="166"/>
      <c r="AC200" s="166"/>
      <c r="AD200" s="166" t="str">
        <f t="shared" ref="AD200" si="25">IF(ISBLANK(AA200),"",AA200)</f>
        <v/>
      </c>
      <c r="AE200" s="166" t="str">
        <f t="shared" ref="AE200" si="26">IF(ISBLANK(AA200),"",AA200)</f>
        <v/>
      </c>
      <c r="AF200" s="166" t="str">
        <f t="shared" ref="AF200" si="27">IF(ISBLANK(AD200),"",AD200)</f>
        <v/>
      </c>
      <c r="AG200" s="167"/>
      <c r="AH200" s="167"/>
      <c r="AI200" s="167"/>
      <c r="AJ200" s="167"/>
      <c r="AK200" s="166"/>
      <c r="AL200" s="168"/>
      <c r="AM200" s="166"/>
      <c r="AN200" s="168"/>
      <c r="AO200" s="166"/>
      <c r="AP200" s="168"/>
      <c r="AQ200" s="166"/>
      <c r="AR200" s="168"/>
      <c r="AS200" s="166"/>
      <c r="AT200" s="166"/>
      <c r="AU200" s="166"/>
      <c r="AV200" s="166"/>
      <c r="AW200" s="166" t="s">
        <v>341</v>
      </c>
      <c r="AX200" s="169"/>
      <c r="AY200" s="169"/>
      <c r="AZ200" s="169"/>
      <c r="BA200" s="69"/>
      <c r="BB200" s="166" t="s">
        <v>154</v>
      </c>
      <c r="BC200" s="166" t="s">
        <v>154</v>
      </c>
      <c r="BD200" s="166" t="s">
        <v>154</v>
      </c>
      <c r="BE200" s="163"/>
      <c r="BF200" s="487"/>
      <c r="BG200" s="487"/>
      <c r="BH200" s="487"/>
      <c r="BI200" s="487"/>
      <c r="BJ200" s="487"/>
      <c r="BK200" s="487"/>
      <c r="BL200" s="487"/>
      <c r="BM200" s="487"/>
      <c r="BN200" s="249"/>
      <c r="BO200" s="250"/>
      <c r="BP200" s="250"/>
      <c r="BQ200" s="104"/>
    </row>
    <row r="201" spans="1:69" s="1" customFormat="1" ht="14.4" outlineLevel="1" x14ac:dyDescent="0.25">
      <c r="A201" s="159" t="s">
        <v>662</v>
      </c>
      <c r="B201" s="160" t="s">
        <v>51</v>
      </c>
      <c r="C201" s="161" t="s">
        <v>663</v>
      </c>
      <c r="D201" s="162" t="s">
        <v>374</v>
      </c>
      <c r="E201" s="163" t="s">
        <v>149</v>
      </c>
      <c r="F201" s="164">
        <v>0</v>
      </c>
      <c r="G201" s="163" t="s">
        <v>149</v>
      </c>
      <c r="H201" s="164" t="s">
        <v>150</v>
      </c>
      <c r="I201" s="163" t="s">
        <v>149</v>
      </c>
      <c r="J201" s="163"/>
      <c r="K201" s="163" t="s">
        <v>151</v>
      </c>
      <c r="L201" s="164" t="s">
        <v>559</v>
      </c>
      <c r="M201" s="164" t="s">
        <v>639</v>
      </c>
      <c r="N201" s="162"/>
      <c r="O201" s="166"/>
      <c r="P201" s="166"/>
      <c r="Q201" s="166"/>
      <c r="R201" s="166"/>
      <c r="S201" s="166"/>
      <c r="T201" s="166"/>
      <c r="U201" s="166"/>
      <c r="V201" s="166"/>
      <c r="W201" s="167"/>
      <c r="X201" s="167"/>
      <c r="Y201" s="167"/>
      <c r="Z201" s="166"/>
      <c r="AA201" s="166"/>
      <c r="AB201" s="166"/>
      <c r="AC201" s="166"/>
      <c r="AD201" s="166" t="str">
        <f>IF(ISBLANK(AA201),"",AA201)</f>
        <v/>
      </c>
      <c r="AE201" s="166" t="str">
        <f t="shared" si="17"/>
        <v/>
      </c>
      <c r="AF201" s="166" t="str">
        <f t="shared" si="18"/>
        <v/>
      </c>
      <c r="AG201" s="167"/>
      <c r="AH201" s="167"/>
      <c r="AI201" s="167"/>
      <c r="AJ201" s="167"/>
      <c r="AK201" s="166"/>
      <c r="AL201" s="168"/>
      <c r="AM201" s="166"/>
      <c r="AN201" s="168"/>
      <c r="AO201" s="166"/>
      <c r="AP201" s="168"/>
      <c r="AQ201" s="166"/>
      <c r="AR201" s="168"/>
      <c r="AS201" s="166"/>
      <c r="AT201" s="166"/>
      <c r="AU201" s="166"/>
      <c r="AV201" s="166"/>
      <c r="AW201" s="166" t="s">
        <v>341</v>
      </c>
      <c r="AX201" s="169"/>
      <c r="AY201" s="169"/>
      <c r="AZ201" s="169"/>
      <c r="BA201" s="69"/>
      <c r="BB201" s="166" t="s">
        <v>154</v>
      </c>
      <c r="BC201" s="166" t="s">
        <v>154</v>
      </c>
      <c r="BD201" s="166" t="s">
        <v>154</v>
      </c>
      <c r="BE201" s="163"/>
      <c r="BF201" s="487"/>
      <c r="BG201" s="487"/>
      <c r="BH201" s="487"/>
      <c r="BI201" s="487"/>
      <c r="BJ201" s="487"/>
      <c r="BK201" s="487"/>
      <c r="BL201" s="487"/>
      <c r="BM201" s="487"/>
      <c r="BN201" s="249"/>
      <c r="BO201" s="250"/>
      <c r="BP201" s="250"/>
      <c r="BQ201" s="104"/>
    </row>
    <row r="202" spans="1:69" s="1" customFormat="1" ht="14.4" outlineLevel="1" x14ac:dyDescent="0.25">
      <c r="A202" s="159" t="s">
        <v>664</v>
      </c>
      <c r="B202" s="160" t="s">
        <v>51</v>
      </c>
      <c r="C202" s="161" t="s">
        <v>665</v>
      </c>
      <c r="D202" s="162" t="s">
        <v>148</v>
      </c>
      <c r="E202" s="163" t="s">
        <v>149</v>
      </c>
      <c r="F202" s="164">
        <v>0</v>
      </c>
      <c r="G202" s="163" t="s">
        <v>149</v>
      </c>
      <c r="H202" s="164" t="s">
        <v>150</v>
      </c>
      <c r="I202" s="163" t="s">
        <v>149</v>
      </c>
      <c r="J202" s="163"/>
      <c r="K202" s="163" t="s">
        <v>151</v>
      </c>
      <c r="L202" s="164" t="s">
        <v>569</v>
      </c>
      <c r="M202" s="164" t="s">
        <v>639</v>
      </c>
      <c r="N202" s="162"/>
      <c r="O202" s="166"/>
      <c r="P202" s="166"/>
      <c r="Q202" s="166"/>
      <c r="R202" s="166"/>
      <c r="S202" s="166"/>
      <c r="T202" s="166"/>
      <c r="U202" s="166"/>
      <c r="V202" s="166"/>
      <c r="W202" s="167"/>
      <c r="X202" s="167"/>
      <c r="Y202" s="167"/>
      <c r="Z202" s="166"/>
      <c r="AA202" s="166"/>
      <c r="AB202" s="166"/>
      <c r="AC202" s="166"/>
      <c r="AD202" s="166" t="str">
        <f t="shared" ref="AD202:AD204" si="28">IF(ISBLANK(AA202),"",AA202)</f>
        <v/>
      </c>
      <c r="AE202" s="166" t="str">
        <f t="shared" si="17"/>
        <v/>
      </c>
      <c r="AF202" s="166" t="str">
        <f t="shared" si="18"/>
        <v/>
      </c>
      <c r="AG202" s="167"/>
      <c r="AH202" s="167"/>
      <c r="AI202" s="167"/>
      <c r="AJ202" s="167"/>
      <c r="AK202" s="166"/>
      <c r="AL202" s="166"/>
      <c r="AM202" s="166"/>
      <c r="AN202" s="166"/>
      <c r="AO202" s="166"/>
      <c r="AP202" s="166"/>
      <c r="AQ202" s="166"/>
      <c r="AR202" s="166"/>
      <c r="AS202" s="166"/>
      <c r="AT202" s="166"/>
      <c r="AU202" s="166"/>
      <c r="AV202" s="166"/>
      <c r="AW202" s="166" t="s">
        <v>341</v>
      </c>
      <c r="AX202" s="169"/>
      <c r="AY202" s="169"/>
      <c r="AZ202" s="169"/>
      <c r="BA202" s="69"/>
      <c r="BB202" s="166" t="s">
        <v>154</v>
      </c>
      <c r="BC202" s="166" t="s">
        <v>154</v>
      </c>
      <c r="BD202" s="166" t="s">
        <v>154</v>
      </c>
      <c r="BE202" s="163"/>
      <c r="BF202" s="487"/>
      <c r="BG202" s="487"/>
      <c r="BH202" s="487"/>
      <c r="BI202" s="487"/>
      <c r="BJ202" s="487"/>
      <c r="BK202" s="487"/>
      <c r="BL202" s="487"/>
      <c r="BM202" s="487"/>
      <c r="BN202" s="249"/>
      <c r="BO202" s="250"/>
      <c r="BP202" s="250"/>
      <c r="BQ202" s="104"/>
    </row>
    <row r="203" spans="1:69" s="1" customFormat="1" ht="60" customHeight="1" outlineLevel="1" x14ac:dyDescent="0.25">
      <c r="A203" s="159" t="s">
        <v>666</v>
      </c>
      <c r="B203" s="160" t="s">
        <v>51</v>
      </c>
      <c r="C203" s="161" t="s">
        <v>667</v>
      </c>
      <c r="D203" s="162" t="s">
        <v>148</v>
      </c>
      <c r="E203" s="163" t="s">
        <v>149</v>
      </c>
      <c r="F203" s="164">
        <v>0</v>
      </c>
      <c r="G203" s="163" t="s">
        <v>149</v>
      </c>
      <c r="H203" s="164" t="s">
        <v>150</v>
      </c>
      <c r="I203" s="163" t="s">
        <v>149</v>
      </c>
      <c r="J203" s="163"/>
      <c r="K203" s="163" t="s">
        <v>151</v>
      </c>
      <c r="L203" s="164" t="s">
        <v>668</v>
      </c>
      <c r="M203" s="164" t="s">
        <v>652</v>
      </c>
      <c r="N203" s="162"/>
      <c r="O203" s="166"/>
      <c r="P203" s="166"/>
      <c r="Q203" s="166"/>
      <c r="R203" s="166"/>
      <c r="S203" s="166"/>
      <c r="T203" s="166"/>
      <c r="U203" s="166"/>
      <c r="V203" s="166"/>
      <c r="W203" s="167"/>
      <c r="X203" s="167"/>
      <c r="Y203" s="167"/>
      <c r="Z203" s="166"/>
      <c r="AA203" s="166"/>
      <c r="AB203" s="166"/>
      <c r="AC203" s="166"/>
      <c r="AD203" s="166" t="str">
        <f t="shared" si="28"/>
        <v/>
      </c>
      <c r="AE203" s="166" t="str">
        <f t="shared" si="17"/>
        <v/>
      </c>
      <c r="AF203" s="166" t="str">
        <f t="shared" si="18"/>
        <v/>
      </c>
      <c r="AG203" s="167"/>
      <c r="AH203" s="167"/>
      <c r="AI203" s="167"/>
      <c r="AJ203" s="167"/>
      <c r="AK203" s="166"/>
      <c r="AL203" s="168"/>
      <c r="AM203" s="166"/>
      <c r="AN203" s="168"/>
      <c r="AO203" s="166"/>
      <c r="AP203" s="168"/>
      <c r="AQ203" s="166"/>
      <c r="AR203" s="168"/>
      <c r="AS203" s="166"/>
      <c r="AT203" s="166"/>
      <c r="AU203" s="166"/>
      <c r="AV203" s="166"/>
      <c r="AW203" s="166" t="s">
        <v>341</v>
      </c>
      <c r="AX203" s="169"/>
      <c r="AY203" s="169"/>
      <c r="AZ203" s="169"/>
      <c r="BA203" s="69"/>
      <c r="BB203" s="166"/>
      <c r="BC203" s="166"/>
      <c r="BD203" s="166" t="s">
        <v>154</v>
      </c>
      <c r="BE203" s="163"/>
      <c r="BF203" s="487"/>
      <c r="BG203" s="487"/>
      <c r="BH203" s="487"/>
      <c r="BI203" s="487"/>
      <c r="BJ203" s="487"/>
      <c r="BK203" s="487"/>
      <c r="BL203" s="487"/>
      <c r="BM203" s="487"/>
      <c r="BN203" s="249" t="s">
        <v>653</v>
      </c>
      <c r="BO203" s="250"/>
      <c r="BP203" s="250"/>
      <c r="BQ203" s="104"/>
    </row>
    <row r="204" spans="1:69" s="1" customFormat="1" ht="14.4" outlineLevel="1" x14ac:dyDescent="0.25">
      <c r="A204" s="159" t="s">
        <v>669</v>
      </c>
      <c r="B204" s="160" t="s">
        <v>51</v>
      </c>
      <c r="C204" s="161" t="s">
        <v>670</v>
      </c>
      <c r="D204" s="162" t="s">
        <v>148</v>
      </c>
      <c r="E204" s="163" t="s">
        <v>149</v>
      </c>
      <c r="F204" s="164">
        <v>0</v>
      </c>
      <c r="G204" s="163" t="s">
        <v>149</v>
      </c>
      <c r="H204" s="164" t="s">
        <v>150</v>
      </c>
      <c r="I204" s="163" t="s">
        <v>149</v>
      </c>
      <c r="J204" s="163"/>
      <c r="K204" s="163" t="s">
        <v>151</v>
      </c>
      <c r="L204" s="164" t="s">
        <v>582</v>
      </c>
      <c r="M204" s="164"/>
      <c r="N204" s="162"/>
      <c r="O204" s="166"/>
      <c r="P204" s="166"/>
      <c r="Q204" s="166"/>
      <c r="R204" s="166"/>
      <c r="S204" s="166"/>
      <c r="T204" s="166"/>
      <c r="U204" s="166"/>
      <c r="V204" s="166"/>
      <c r="W204" s="167"/>
      <c r="X204" s="167"/>
      <c r="Y204" s="167"/>
      <c r="Z204" s="166"/>
      <c r="AA204" s="166"/>
      <c r="AB204" s="166"/>
      <c r="AC204" s="166"/>
      <c r="AD204" s="166" t="str">
        <f t="shared" si="28"/>
        <v/>
      </c>
      <c r="AE204" s="166" t="str">
        <f t="shared" si="17"/>
        <v/>
      </c>
      <c r="AF204" s="166" t="str">
        <f t="shared" si="18"/>
        <v/>
      </c>
      <c r="AG204" s="167"/>
      <c r="AH204" s="167"/>
      <c r="AI204" s="167"/>
      <c r="AJ204" s="167"/>
      <c r="AK204" s="166"/>
      <c r="AL204" s="168"/>
      <c r="AM204" s="166"/>
      <c r="AN204" s="168"/>
      <c r="AO204" s="166"/>
      <c r="AP204" s="168"/>
      <c r="AQ204" s="166"/>
      <c r="AR204" s="168"/>
      <c r="AS204" s="166"/>
      <c r="AT204" s="166"/>
      <c r="AU204" s="166"/>
      <c r="AV204" s="166"/>
      <c r="AW204" s="166" t="s">
        <v>341</v>
      </c>
      <c r="AX204" s="169"/>
      <c r="AY204" s="169"/>
      <c r="AZ204" s="169"/>
      <c r="BA204" s="69"/>
      <c r="BB204" s="166" t="s">
        <v>154</v>
      </c>
      <c r="BC204" s="166" t="s">
        <v>154</v>
      </c>
      <c r="BD204" s="166" t="s">
        <v>154</v>
      </c>
      <c r="BE204" s="163"/>
      <c r="BF204" s="487"/>
      <c r="BG204" s="487"/>
      <c r="BH204" s="487"/>
      <c r="BI204" s="487"/>
      <c r="BJ204" s="487"/>
      <c r="BK204" s="487"/>
      <c r="BL204" s="487"/>
      <c r="BM204" s="487"/>
      <c r="BN204" s="249"/>
      <c r="BO204" s="250"/>
      <c r="BP204" s="250"/>
      <c r="BQ204" s="104"/>
    </row>
    <row r="205" spans="1:69" s="37" customFormat="1" ht="14.4" outlineLevel="1" x14ac:dyDescent="0.25">
      <c r="A205" s="77" t="s">
        <v>671</v>
      </c>
      <c r="B205" s="80"/>
      <c r="C205" s="80"/>
      <c r="D205" s="82"/>
      <c r="E205" s="80"/>
      <c r="F205" s="80"/>
      <c r="G205" s="80"/>
      <c r="H205" s="80"/>
      <c r="I205" s="81"/>
      <c r="J205" s="80"/>
      <c r="K205" s="80"/>
      <c r="L205" s="80"/>
      <c r="M205" s="80"/>
      <c r="N205" s="82"/>
      <c r="O205" s="121"/>
      <c r="P205" s="121"/>
      <c r="Q205" s="121"/>
      <c r="R205" s="121"/>
      <c r="S205" s="121"/>
      <c r="T205" s="121"/>
      <c r="U205" s="121"/>
      <c r="V205" s="121"/>
      <c r="W205" s="38"/>
      <c r="X205" s="38"/>
      <c r="Y205" s="38"/>
      <c r="Z205" s="38"/>
      <c r="AA205" s="38"/>
      <c r="AB205" s="38"/>
      <c r="AC205" s="38"/>
      <c r="AD205" s="38" t="str">
        <f>IF(ISBLANK(AA205),"",AA205&amp;"*")</f>
        <v/>
      </c>
      <c r="AE205" s="38" t="str">
        <f t="shared" ref="AE205" si="29">IF(ISBLANK(AA205),"",AA205)</f>
        <v/>
      </c>
      <c r="AF205" s="38" t="str">
        <f>IF(ISBLANK(AD205),"",AD205)</f>
        <v/>
      </c>
      <c r="AG205" s="38"/>
      <c r="AH205" s="38"/>
      <c r="AI205" s="38"/>
      <c r="AJ205" s="38"/>
      <c r="AK205" s="38" t="str">
        <f>LEFT(IF(ISBLANK(P205),"",P205&amp;"*")&amp;IF(ISBLANK(Q205),"",Q205&amp;"*")&amp;IF(ISBLANK(R205),"",R205&amp;"*")&amp;IF(ISBLANK(S205),"",S205&amp;"*"),2)</f>
        <v/>
      </c>
      <c r="AL205" s="121"/>
      <c r="AM205" s="38"/>
      <c r="AN205" s="121"/>
      <c r="AO205" s="38"/>
      <c r="AP205" s="121"/>
      <c r="AQ205" s="38"/>
      <c r="AR205" s="121"/>
      <c r="AS205" s="38"/>
      <c r="AT205" s="38"/>
      <c r="AU205" s="38"/>
      <c r="AV205" s="38"/>
      <c r="AW205" s="38"/>
      <c r="AX205" s="157"/>
      <c r="AY205" s="157"/>
      <c r="AZ205" s="157"/>
      <c r="BA205" s="38"/>
      <c r="BB205" s="121"/>
      <c r="BC205" s="121"/>
      <c r="BD205" s="38" t="str">
        <f>LEFT(IF(ISBLANK(Q205),"",Q205&amp;"*")&amp;IF(ISBLANK(R205),"",R205&amp;"*")&amp;IF(ISBLANK(S205),"",S205&amp;"*")&amp;IF(ISBLANK(T205),"",T205&amp;"*"),2)</f>
        <v/>
      </c>
      <c r="BE205" s="80"/>
      <c r="BF205" s="486"/>
      <c r="BG205" s="486"/>
      <c r="BH205" s="486"/>
      <c r="BI205" s="486"/>
      <c r="BJ205" s="486"/>
      <c r="BK205" s="486"/>
      <c r="BL205" s="486"/>
      <c r="BM205" s="486"/>
      <c r="BN205" s="252"/>
      <c r="BO205" s="251"/>
      <c r="BP205" s="251"/>
      <c r="BQ205" s="104"/>
    </row>
    <row r="206" spans="1:69" s="1" customFormat="1" ht="15" customHeight="1" outlineLevel="1" x14ac:dyDescent="0.25">
      <c r="A206" s="858" t="s">
        <v>672</v>
      </c>
      <c r="B206" s="1136" t="s">
        <v>51</v>
      </c>
      <c r="C206" s="161" t="s">
        <v>673</v>
      </c>
      <c r="D206" s="208" t="s">
        <v>674</v>
      </c>
      <c r="E206" s="163" t="s">
        <v>149</v>
      </c>
      <c r="F206" s="164">
        <v>1</v>
      </c>
      <c r="G206" s="163" t="s">
        <v>149</v>
      </c>
      <c r="H206" s="164" t="s">
        <v>150</v>
      </c>
      <c r="I206" s="801" t="s">
        <v>675</v>
      </c>
      <c r="J206" s="163"/>
      <c r="K206" s="801" t="s">
        <v>676</v>
      </c>
      <c r="L206" s="804" t="s">
        <v>677</v>
      </c>
      <c r="M206" s="723" t="s">
        <v>678</v>
      </c>
      <c r="N206" s="1140"/>
      <c r="O206" s="1095"/>
      <c r="P206" s="1095"/>
      <c r="Q206" s="1246"/>
      <c r="R206" s="1249"/>
      <c r="S206" s="1095"/>
      <c r="T206" s="1095"/>
      <c r="U206" s="1095"/>
      <c r="V206" s="1095"/>
      <c r="W206" s="1095"/>
      <c r="X206" s="1095"/>
      <c r="Y206" s="1095"/>
      <c r="Z206" s="1095"/>
      <c r="AA206" s="1095"/>
      <c r="AB206" s="1095"/>
      <c r="AC206" s="1095"/>
      <c r="AD206" s="1095"/>
      <c r="AE206" s="1095"/>
      <c r="AF206" s="1095"/>
      <c r="AG206" s="1095"/>
      <c r="AH206" s="1095"/>
      <c r="AI206" s="1095"/>
      <c r="AJ206" s="1095"/>
      <c r="AK206" s="1095" t="s">
        <v>154</v>
      </c>
      <c r="AL206" s="1095"/>
      <c r="AM206" s="1095"/>
      <c r="AN206" s="1095"/>
      <c r="AO206" s="1095"/>
      <c r="AP206" s="1095"/>
      <c r="AQ206" s="1095"/>
      <c r="AR206" s="1095"/>
      <c r="AS206" s="1095"/>
      <c r="AT206" s="1095"/>
      <c r="AU206" s="1095"/>
      <c r="AV206" s="1095"/>
      <c r="AW206" s="1095"/>
      <c r="AX206" s="1095"/>
      <c r="AY206" s="1095"/>
      <c r="AZ206" s="1163"/>
      <c r="BA206" s="801"/>
      <c r="BB206" s="1095"/>
      <c r="BC206" s="1095"/>
      <c r="BD206" s="1095"/>
      <c r="BE206" s="228"/>
      <c r="BF206" s="491"/>
      <c r="BG206" s="491"/>
      <c r="BH206" s="491"/>
      <c r="BI206" s="491"/>
      <c r="BJ206" s="491"/>
      <c r="BK206" s="491"/>
      <c r="BL206" s="491"/>
      <c r="BM206" s="491"/>
      <c r="BN206" s="804" t="s">
        <v>679</v>
      </c>
      <c r="BO206" s="1006"/>
    </row>
    <row r="207" spans="1:69" s="1" customFormat="1" ht="14.4" outlineLevel="1" x14ac:dyDescent="0.25">
      <c r="A207" s="859"/>
      <c r="B207" s="1137"/>
      <c r="C207" s="207" t="s">
        <v>680</v>
      </c>
      <c r="D207" s="208" t="s">
        <v>674</v>
      </c>
      <c r="E207" s="163" t="s">
        <v>149</v>
      </c>
      <c r="F207" s="164">
        <v>1</v>
      </c>
      <c r="G207" s="163" t="s">
        <v>149</v>
      </c>
      <c r="H207" s="164" t="s">
        <v>150</v>
      </c>
      <c r="I207" s="802"/>
      <c r="J207" s="163"/>
      <c r="K207" s="802"/>
      <c r="L207" s="1139"/>
      <c r="M207" s="724"/>
      <c r="N207" s="1141"/>
      <c r="O207" s="1096"/>
      <c r="P207" s="1096"/>
      <c r="Q207" s="1247"/>
      <c r="R207" s="1250"/>
      <c r="S207" s="1096"/>
      <c r="T207" s="1096"/>
      <c r="U207" s="1096"/>
      <c r="V207" s="1096"/>
      <c r="W207" s="1096"/>
      <c r="X207" s="1096"/>
      <c r="Y207" s="1096"/>
      <c r="Z207" s="1096"/>
      <c r="AA207" s="1096"/>
      <c r="AB207" s="1096"/>
      <c r="AC207" s="1096"/>
      <c r="AD207" s="1096"/>
      <c r="AE207" s="1096"/>
      <c r="AF207" s="1096"/>
      <c r="AG207" s="1096"/>
      <c r="AH207" s="1096"/>
      <c r="AI207" s="1096"/>
      <c r="AJ207" s="1096"/>
      <c r="AK207" s="1096"/>
      <c r="AL207" s="1096"/>
      <c r="AM207" s="1096"/>
      <c r="AN207" s="1096"/>
      <c r="AO207" s="1096"/>
      <c r="AP207" s="1096"/>
      <c r="AQ207" s="1096"/>
      <c r="AR207" s="1096"/>
      <c r="AS207" s="1096"/>
      <c r="AT207" s="1096"/>
      <c r="AU207" s="1096"/>
      <c r="AV207" s="1096"/>
      <c r="AW207" s="1096"/>
      <c r="AX207" s="1096"/>
      <c r="AY207" s="1096"/>
      <c r="AZ207" s="1164"/>
      <c r="BA207" s="802"/>
      <c r="BB207" s="1096"/>
      <c r="BC207" s="1096"/>
      <c r="BD207" s="1096"/>
      <c r="BE207" s="228"/>
      <c r="BF207" s="491"/>
      <c r="BG207" s="491"/>
      <c r="BH207" s="491"/>
      <c r="BI207" s="491"/>
      <c r="BJ207" s="491"/>
      <c r="BK207" s="491"/>
      <c r="BL207" s="491"/>
      <c r="BM207" s="491"/>
      <c r="BN207" s="1139"/>
      <c r="BO207" s="1265"/>
    </row>
    <row r="208" spans="1:69" s="1" customFormat="1" ht="14.4" outlineLevel="1" x14ac:dyDescent="0.25">
      <c r="A208" s="859"/>
      <c r="B208" s="1137"/>
      <c r="C208" s="207" t="s">
        <v>681</v>
      </c>
      <c r="D208" s="208" t="s">
        <v>674</v>
      </c>
      <c r="E208" s="163" t="s">
        <v>149</v>
      </c>
      <c r="F208" s="164">
        <v>1</v>
      </c>
      <c r="G208" s="163" t="s">
        <v>149</v>
      </c>
      <c r="H208" s="164" t="s">
        <v>150</v>
      </c>
      <c r="I208" s="802"/>
      <c r="J208" s="163"/>
      <c r="K208" s="802"/>
      <c r="L208" s="1139"/>
      <c r="M208" s="724"/>
      <c r="N208" s="1141"/>
      <c r="O208" s="1096"/>
      <c r="P208" s="1096"/>
      <c r="Q208" s="1247"/>
      <c r="R208" s="1250"/>
      <c r="S208" s="1096"/>
      <c r="T208" s="1096"/>
      <c r="U208" s="1096"/>
      <c r="V208" s="1096"/>
      <c r="W208" s="1096"/>
      <c r="X208" s="1096"/>
      <c r="Y208" s="1096"/>
      <c r="Z208" s="1096"/>
      <c r="AA208" s="1096"/>
      <c r="AB208" s="1096"/>
      <c r="AC208" s="1096"/>
      <c r="AD208" s="1096"/>
      <c r="AE208" s="1096"/>
      <c r="AF208" s="1096"/>
      <c r="AG208" s="1096"/>
      <c r="AH208" s="1096"/>
      <c r="AI208" s="1096"/>
      <c r="AJ208" s="1096"/>
      <c r="AK208" s="1096"/>
      <c r="AL208" s="1096"/>
      <c r="AM208" s="1096"/>
      <c r="AN208" s="1096"/>
      <c r="AO208" s="1096"/>
      <c r="AP208" s="1096"/>
      <c r="AQ208" s="1096"/>
      <c r="AR208" s="1096"/>
      <c r="AS208" s="1096"/>
      <c r="AT208" s="1096"/>
      <c r="AU208" s="1096"/>
      <c r="AV208" s="1096"/>
      <c r="AW208" s="1096"/>
      <c r="AX208" s="1096"/>
      <c r="AY208" s="1096"/>
      <c r="AZ208" s="1164"/>
      <c r="BA208" s="802"/>
      <c r="BB208" s="1096"/>
      <c r="BC208" s="1096"/>
      <c r="BD208" s="1096"/>
      <c r="BE208" s="228"/>
      <c r="BF208" s="491"/>
      <c r="BG208" s="491"/>
      <c r="BH208" s="491"/>
      <c r="BI208" s="491"/>
      <c r="BJ208" s="491"/>
      <c r="BK208" s="491"/>
      <c r="BL208" s="491"/>
      <c r="BM208" s="491"/>
      <c r="BN208" s="1139"/>
      <c r="BO208" s="1265"/>
    </row>
    <row r="209" spans="1:68" s="1" customFormat="1" ht="14.4" outlineLevel="1" x14ac:dyDescent="0.25">
      <c r="A209" s="860"/>
      <c r="B209" s="1138"/>
      <c r="C209" s="207" t="s">
        <v>682</v>
      </c>
      <c r="D209" s="208" t="s">
        <v>674</v>
      </c>
      <c r="E209" s="163" t="s">
        <v>149</v>
      </c>
      <c r="F209" s="164">
        <v>1</v>
      </c>
      <c r="G209" s="163" t="s">
        <v>149</v>
      </c>
      <c r="H209" s="164" t="s">
        <v>150</v>
      </c>
      <c r="I209" s="861"/>
      <c r="J209" s="163"/>
      <c r="K209" s="861"/>
      <c r="L209" s="805"/>
      <c r="M209" s="724"/>
      <c r="N209" s="1142"/>
      <c r="O209" s="1096"/>
      <c r="P209" s="1096"/>
      <c r="Q209" s="1248"/>
      <c r="R209" s="1251"/>
      <c r="S209" s="1097"/>
      <c r="T209" s="1097"/>
      <c r="U209" s="1097"/>
      <c r="V209" s="1097"/>
      <c r="W209" s="1097"/>
      <c r="X209" s="1097"/>
      <c r="Y209" s="1097"/>
      <c r="Z209" s="1097"/>
      <c r="AA209" s="1097"/>
      <c r="AB209" s="1097"/>
      <c r="AC209" s="1097"/>
      <c r="AD209" s="1097"/>
      <c r="AE209" s="1097"/>
      <c r="AF209" s="1097"/>
      <c r="AG209" s="1097"/>
      <c r="AH209" s="1097"/>
      <c r="AI209" s="1097"/>
      <c r="AJ209" s="1097"/>
      <c r="AK209" s="1097"/>
      <c r="AL209" s="1097"/>
      <c r="AM209" s="1097"/>
      <c r="AN209" s="1097"/>
      <c r="AO209" s="1097"/>
      <c r="AP209" s="1097"/>
      <c r="AQ209" s="1097"/>
      <c r="AR209" s="1097"/>
      <c r="AS209" s="1097"/>
      <c r="AT209" s="1097"/>
      <c r="AU209" s="1097"/>
      <c r="AV209" s="1097"/>
      <c r="AW209" s="1097"/>
      <c r="AX209" s="1097"/>
      <c r="AY209" s="1097"/>
      <c r="AZ209" s="1165"/>
      <c r="BA209" s="861"/>
      <c r="BB209" s="1096"/>
      <c r="BC209" s="1096"/>
      <c r="BD209" s="1097"/>
      <c r="BE209" s="228"/>
      <c r="BF209" s="491"/>
      <c r="BG209" s="491"/>
      <c r="BH209" s="491"/>
      <c r="BI209" s="491"/>
      <c r="BJ209" s="491"/>
      <c r="BK209" s="491"/>
      <c r="BL209" s="491"/>
      <c r="BM209" s="491"/>
      <c r="BN209" s="1139"/>
      <c r="BO209" s="1007"/>
    </row>
    <row r="210" spans="1:68" s="1" customFormat="1" ht="15" customHeight="1" outlineLevel="1" x14ac:dyDescent="0.25">
      <c r="A210" s="858" t="s">
        <v>683</v>
      </c>
      <c r="B210" s="1136" t="s">
        <v>51</v>
      </c>
      <c r="C210" s="207" t="s">
        <v>684</v>
      </c>
      <c r="D210" s="208" t="s">
        <v>674</v>
      </c>
      <c r="E210" s="163" t="s">
        <v>149</v>
      </c>
      <c r="F210" s="164">
        <v>1</v>
      </c>
      <c r="G210" s="163" t="s">
        <v>149</v>
      </c>
      <c r="H210" s="164" t="s">
        <v>150</v>
      </c>
      <c r="I210" s="801" t="s">
        <v>675</v>
      </c>
      <c r="J210" s="163"/>
      <c r="K210" s="801" t="s">
        <v>676</v>
      </c>
      <c r="L210" s="804" t="s">
        <v>685</v>
      </c>
      <c r="M210" s="724"/>
      <c r="N210" s="1140"/>
      <c r="O210" s="1110"/>
      <c r="P210" s="1113"/>
      <c r="Q210" s="1095"/>
      <c r="R210" s="1096"/>
      <c r="S210" s="1095"/>
      <c r="T210" s="1095"/>
      <c r="U210" s="1095"/>
      <c r="V210" s="1095"/>
      <c r="W210" s="1095"/>
      <c r="X210" s="1095"/>
      <c r="Y210" s="1095"/>
      <c r="Z210" s="1095"/>
      <c r="AA210" s="1095"/>
      <c r="AB210" s="1095"/>
      <c r="AC210" s="1095"/>
      <c r="AD210" s="1095"/>
      <c r="AE210" s="1095"/>
      <c r="AF210" s="1095"/>
      <c r="AG210" s="1095"/>
      <c r="AH210" s="1095"/>
      <c r="AI210" s="1095"/>
      <c r="AJ210" s="1095"/>
      <c r="AK210" s="1095"/>
      <c r="AL210" s="1095"/>
      <c r="AM210" s="1095"/>
      <c r="AN210" s="1095"/>
      <c r="AO210" s="1095"/>
      <c r="AP210" s="1095"/>
      <c r="AQ210" s="1095"/>
      <c r="AR210" s="1095"/>
      <c r="AS210" s="1095"/>
      <c r="AT210" s="1095"/>
      <c r="AU210" s="1095"/>
      <c r="AV210" s="1095"/>
      <c r="AW210" s="1095"/>
      <c r="AX210" s="1095"/>
      <c r="AY210" s="1095"/>
      <c r="AZ210" s="1163"/>
      <c r="BA210" s="801"/>
      <c r="BB210" s="1110"/>
      <c r="BC210" s="1113"/>
      <c r="BD210" s="1095" t="s">
        <v>154</v>
      </c>
      <c r="BE210" s="228"/>
      <c r="BF210" s="491"/>
      <c r="BG210" s="491"/>
      <c r="BH210" s="491"/>
      <c r="BI210" s="491"/>
      <c r="BJ210" s="491"/>
      <c r="BK210" s="491"/>
      <c r="BL210" s="491"/>
      <c r="BM210" s="491"/>
      <c r="BN210" s="1139"/>
      <c r="BO210" s="1006"/>
    </row>
    <row r="211" spans="1:68" s="1" customFormat="1" ht="14.4" outlineLevel="1" x14ac:dyDescent="0.25">
      <c r="A211" s="859"/>
      <c r="B211" s="1137"/>
      <c r="C211" s="207" t="s">
        <v>686</v>
      </c>
      <c r="D211" s="208" t="s">
        <v>674</v>
      </c>
      <c r="E211" s="163" t="s">
        <v>149</v>
      </c>
      <c r="F211" s="164">
        <v>1</v>
      </c>
      <c r="G211" s="163" t="s">
        <v>149</v>
      </c>
      <c r="H211" s="164" t="s">
        <v>150</v>
      </c>
      <c r="I211" s="802"/>
      <c r="J211" s="163"/>
      <c r="K211" s="802"/>
      <c r="L211" s="1139"/>
      <c r="M211" s="724"/>
      <c r="N211" s="1141"/>
      <c r="O211" s="1111"/>
      <c r="P211" s="1114"/>
      <c r="Q211" s="1096"/>
      <c r="R211" s="1096"/>
      <c r="S211" s="1096"/>
      <c r="T211" s="1096"/>
      <c r="U211" s="1096"/>
      <c r="V211" s="1096"/>
      <c r="W211" s="1096"/>
      <c r="X211" s="1096"/>
      <c r="Y211" s="1096"/>
      <c r="Z211" s="1096"/>
      <c r="AA211" s="1096"/>
      <c r="AB211" s="1096"/>
      <c r="AC211" s="1096"/>
      <c r="AD211" s="1096"/>
      <c r="AE211" s="1096"/>
      <c r="AF211" s="1096"/>
      <c r="AG211" s="1096"/>
      <c r="AH211" s="1096"/>
      <c r="AI211" s="1096"/>
      <c r="AJ211" s="1096"/>
      <c r="AK211" s="1096"/>
      <c r="AL211" s="1096"/>
      <c r="AM211" s="1096"/>
      <c r="AN211" s="1096"/>
      <c r="AO211" s="1096"/>
      <c r="AP211" s="1096"/>
      <c r="AQ211" s="1096"/>
      <c r="AR211" s="1096"/>
      <c r="AS211" s="1096"/>
      <c r="AT211" s="1096"/>
      <c r="AU211" s="1096"/>
      <c r="AV211" s="1096"/>
      <c r="AW211" s="1096"/>
      <c r="AX211" s="1096"/>
      <c r="AY211" s="1096"/>
      <c r="AZ211" s="1164"/>
      <c r="BA211" s="802"/>
      <c r="BB211" s="1111"/>
      <c r="BC211" s="1114"/>
      <c r="BD211" s="1096"/>
      <c r="BE211" s="228"/>
      <c r="BF211" s="491"/>
      <c r="BG211" s="491"/>
      <c r="BH211" s="491"/>
      <c r="BI211" s="491"/>
      <c r="BJ211" s="491"/>
      <c r="BK211" s="491"/>
      <c r="BL211" s="491"/>
      <c r="BM211" s="491"/>
      <c r="BN211" s="1139"/>
      <c r="BO211" s="1265"/>
    </row>
    <row r="212" spans="1:68" s="1" customFormat="1" ht="14.4" outlineLevel="1" x14ac:dyDescent="0.25">
      <c r="A212" s="859"/>
      <c r="B212" s="1137"/>
      <c r="C212" s="207" t="s">
        <v>687</v>
      </c>
      <c r="D212" s="208" t="s">
        <v>674</v>
      </c>
      <c r="E212" s="163" t="s">
        <v>149</v>
      </c>
      <c r="F212" s="164">
        <v>1</v>
      </c>
      <c r="G212" s="163" t="s">
        <v>149</v>
      </c>
      <c r="H212" s="164" t="s">
        <v>150</v>
      </c>
      <c r="I212" s="802"/>
      <c r="J212" s="163"/>
      <c r="K212" s="802"/>
      <c r="L212" s="1139"/>
      <c r="M212" s="724"/>
      <c r="N212" s="1141"/>
      <c r="O212" s="1111"/>
      <c r="P212" s="1114"/>
      <c r="Q212" s="1096"/>
      <c r="R212" s="1096"/>
      <c r="S212" s="1096"/>
      <c r="T212" s="1096"/>
      <c r="U212" s="1096"/>
      <c r="V212" s="1096"/>
      <c r="W212" s="1096"/>
      <c r="X212" s="1096"/>
      <c r="Y212" s="1096"/>
      <c r="Z212" s="1096"/>
      <c r="AA212" s="1096"/>
      <c r="AB212" s="1096"/>
      <c r="AC212" s="1096"/>
      <c r="AD212" s="1096"/>
      <c r="AE212" s="1096"/>
      <c r="AF212" s="1096"/>
      <c r="AG212" s="1096"/>
      <c r="AH212" s="1096"/>
      <c r="AI212" s="1096"/>
      <c r="AJ212" s="1096"/>
      <c r="AK212" s="1096"/>
      <c r="AL212" s="1096"/>
      <c r="AM212" s="1096"/>
      <c r="AN212" s="1096"/>
      <c r="AO212" s="1096"/>
      <c r="AP212" s="1096"/>
      <c r="AQ212" s="1096"/>
      <c r="AR212" s="1096"/>
      <c r="AS212" s="1096"/>
      <c r="AT212" s="1096"/>
      <c r="AU212" s="1096"/>
      <c r="AV212" s="1096"/>
      <c r="AW212" s="1096"/>
      <c r="AX212" s="1096"/>
      <c r="AY212" s="1096"/>
      <c r="AZ212" s="1164"/>
      <c r="BA212" s="802"/>
      <c r="BB212" s="1111"/>
      <c r="BC212" s="1114"/>
      <c r="BD212" s="1096"/>
      <c r="BE212" s="228"/>
      <c r="BF212" s="491"/>
      <c r="BG212" s="491"/>
      <c r="BH212" s="491"/>
      <c r="BI212" s="491"/>
      <c r="BJ212" s="491"/>
      <c r="BK212" s="491"/>
      <c r="BL212" s="491"/>
      <c r="BM212" s="491"/>
      <c r="BN212" s="1139"/>
      <c r="BO212" s="1265"/>
    </row>
    <row r="213" spans="1:68" s="1" customFormat="1" ht="14.4" outlineLevel="1" x14ac:dyDescent="0.25">
      <c r="A213" s="860"/>
      <c r="B213" s="1138"/>
      <c r="C213" s="207" t="s">
        <v>688</v>
      </c>
      <c r="D213" s="208" t="s">
        <v>674</v>
      </c>
      <c r="E213" s="163" t="s">
        <v>149</v>
      </c>
      <c r="F213" s="164">
        <v>1</v>
      </c>
      <c r="G213" s="163" t="s">
        <v>149</v>
      </c>
      <c r="H213" s="164" t="s">
        <v>150</v>
      </c>
      <c r="I213" s="861"/>
      <c r="J213" s="163"/>
      <c r="K213" s="861"/>
      <c r="L213" s="805"/>
      <c r="M213" s="725"/>
      <c r="N213" s="1142"/>
      <c r="O213" s="1112"/>
      <c r="P213" s="1115"/>
      <c r="Q213" s="1097"/>
      <c r="R213" s="1097"/>
      <c r="S213" s="1097"/>
      <c r="T213" s="1097"/>
      <c r="U213" s="1097"/>
      <c r="V213" s="1097"/>
      <c r="W213" s="1097"/>
      <c r="X213" s="1097"/>
      <c r="Y213" s="1097"/>
      <c r="Z213" s="1097"/>
      <c r="AA213" s="1097"/>
      <c r="AB213" s="1097"/>
      <c r="AC213" s="1097"/>
      <c r="AD213" s="1097"/>
      <c r="AE213" s="1097"/>
      <c r="AF213" s="1097"/>
      <c r="AG213" s="1097"/>
      <c r="AH213" s="1097"/>
      <c r="AI213" s="1097"/>
      <c r="AJ213" s="1097"/>
      <c r="AK213" s="1097"/>
      <c r="AL213" s="1097"/>
      <c r="AM213" s="1097"/>
      <c r="AN213" s="1097"/>
      <c r="AO213" s="1097"/>
      <c r="AP213" s="1097"/>
      <c r="AQ213" s="1097"/>
      <c r="AR213" s="1097"/>
      <c r="AS213" s="1097"/>
      <c r="AT213" s="1097"/>
      <c r="AU213" s="1097"/>
      <c r="AV213" s="1097"/>
      <c r="AW213" s="1097"/>
      <c r="AX213" s="1097"/>
      <c r="AY213" s="1097"/>
      <c r="AZ213" s="1165"/>
      <c r="BA213" s="861"/>
      <c r="BB213" s="1112"/>
      <c r="BC213" s="1115"/>
      <c r="BD213" s="1097"/>
      <c r="BE213" s="228"/>
      <c r="BF213" s="491"/>
      <c r="BG213" s="491"/>
      <c r="BH213" s="491"/>
      <c r="BI213" s="491"/>
      <c r="BJ213" s="491"/>
      <c r="BK213" s="491"/>
      <c r="BL213" s="491"/>
      <c r="BM213" s="491"/>
      <c r="BN213" s="805"/>
      <c r="BO213" s="1007"/>
    </row>
    <row r="214" spans="1:68" ht="14.4" x14ac:dyDescent="0.25">
      <c r="M214" s="57"/>
      <c r="O214" s="206"/>
      <c r="P214" s="206"/>
      <c r="BO214" s="111"/>
      <c r="BP214" s="111"/>
    </row>
  </sheetData>
  <autoFilter ref="A6:BQ213" xr:uid="{00000000-0001-0000-0000-000000000000}"/>
  <mergeCells count="1972">
    <mergeCell ref="K34:K35"/>
    <mergeCell ref="L34:L35"/>
    <mergeCell ref="N34:N35"/>
    <mergeCell ref="O34:O35"/>
    <mergeCell ref="P34:P35"/>
    <mergeCell ref="Q34:Q35"/>
    <mergeCell ref="R34:R35"/>
    <mergeCell ref="S34:S35"/>
    <mergeCell ref="T34:T35"/>
    <mergeCell ref="U34:U35"/>
    <mergeCell ref="A145:A147"/>
    <mergeCell ref="B145:B147"/>
    <mergeCell ref="S145:S147"/>
    <mergeCell ref="T145:T147"/>
    <mergeCell ref="J145:J146"/>
    <mergeCell ref="A186:A189"/>
    <mergeCell ref="B186:B189"/>
    <mergeCell ref="U180:U184"/>
    <mergeCell ref="I181:I182"/>
    <mergeCell ref="T148:T150"/>
    <mergeCell ref="U148:U150"/>
    <mergeCell ref="A34:A35"/>
    <mergeCell ref="B34:B35"/>
    <mergeCell ref="B39:B40"/>
    <mergeCell ref="A39:A40"/>
    <mergeCell ref="L39:L40"/>
    <mergeCell ref="J142:J143"/>
    <mergeCell ref="S142:S144"/>
    <mergeCell ref="K186:K189"/>
    <mergeCell ref="L186:L189"/>
    <mergeCell ref="N186:N189"/>
    <mergeCell ref="O186:O189"/>
    <mergeCell ref="BQ34:BQ35"/>
    <mergeCell ref="BP34:BP35"/>
    <mergeCell ref="BO34:BO35"/>
    <mergeCell ref="J34:J35"/>
    <mergeCell ref="I34:I35"/>
    <mergeCell ref="AP34:AP35"/>
    <mergeCell ref="AQ34:AQ35"/>
    <mergeCell ref="AR34:AR35"/>
    <mergeCell ref="AS34:AS35"/>
    <mergeCell ref="AT34:AT35"/>
    <mergeCell ref="AU34:AU35"/>
    <mergeCell ref="AV34:AV35"/>
    <mergeCell ref="AW34:AW35"/>
    <mergeCell ref="AX34:AX35"/>
    <mergeCell ref="AY34:AY35"/>
    <mergeCell ref="AZ34:AZ35"/>
    <mergeCell ref="AC34:AC35"/>
    <mergeCell ref="AD34:AD35"/>
    <mergeCell ref="AE34:AE35"/>
    <mergeCell ref="AF34:AF35"/>
    <mergeCell ref="AH34:AH35"/>
    <mergeCell ref="V34:V35"/>
    <mergeCell ref="W34:W35"/>
    <mergeCell ref="X34:X35"/>
    <mergeCell ref="Y34:Y35"/>
    <mergeCell ref="Z34:Z35"/>
    <mergeCell ref="AA34:AA35"/>
    <mergeCell ref="AB34:AB35"/>
    <mergeCell ref="BE34:BE35"/>
    <mergeCell ref="BN34:BN35"/>
    <mergeCell ref="AK34:AK35"/>
    <mergeCell ref="AL34:AL35"/>
    <mergeCell ref="BE100:BE105"/>
    <mergeCell ref="BE106:BE111"/>
    <mergeCell ref="B49:B50"/>
    <mergeCell ref="A41:A42"/>
    <mergeCell ref="A43:A44"/>
    <mergeCell ref="A45:A46"/>
    <mergeCell ref="A47:A48"/>
    <mergeCell ref="A49:A50"/>
    <mergeCell ref="K41:K42"/>
    <mergeCell ref="K43:K44"/>
    <mergeCell ref="K45:K46"/>
    <mergeCell ref="K47:K48"/>
    <mergeCell ref="K49:K50"/>
    <mergeCell ref="L41:L42"/>
    <mergeCell ref="L43:L44"/>
    <mergeCell ref="L45:L46"/>
    <mergeCell ref="L47:L48"/>
    <mergeCell ref="L49:L50"/>
    <mergeCell ref="B41:B42"/>
    <mergeCell ref="B43:B44"/>
    <mergeCell ref="B45:B46"/>
    <mergeCell ref="B47:B48"/>
    <mergeCell ref="AI81:AI88"/>
    <mergeCell ref="AI89:AI95"/>
    <mergeCell ref="AI106:AI111"/>
    <mergeCell ref="O75:O80"/>
    <mergeCell ref="P69:P74"/>
    <mergeCell ref="P75:P80"/>
    <mergeCell ref="X69:X74"/>
    <mergeCell ref="O69:O74"/>
    <mergeCell ref="AK81:AK88"/>
    <mergeCell ref="AK89:AK95"/>
    <mergeCell ref="AS112:AS119"/>
    <mergeCell ref="AV134:AV138"/>
    <mergeCell ref="AT112:AT119"/>
    <mergeCell ref="AR142:AR144"/>
    <mergeCell ref="BC180:BC184"/>
    <mergeCell ref="BB186:BB189"/>
    <mergeCell ref="BC186:BC189"/>
    <mergeCell ref="AG112:AG119"/>
    <mergeCell ref="AG120:AG126"/>
    <mergeCell ref="AG129:AG133"/>
    <mergeCell ref="V142:V144"/>
    <mergeCell ref="W142:W144"/>
    <mergeCell ref="AM145:AM147"/>
    <mergeCell ref="AN145:AN147"/>
    <mergeCell ref="AO145:AO147"/>
    <mergeCell ref="AM186:AM189"/>
    <mergeCell ref="X145:X147"/>
    <mergeCell ref="AL145:AL147"/>
    <mergeCell ref="AI148:AI150"/>
    <mergeCell ref="AU148:AU150"/>
    <mergeCell ref="W148:W150"/>
    <mergeCell ref="X148:X150"/>
    <mergeCell ref="Y148:Y150"/>
    <mergeCell ref="AT139:AT141"/>
    <mergeCell ref="AO139:AO141"/>
    <mergeCell ref="AT186:AT189"/>
    <mergeCell ref="AU186:AU189"/>
    <mergeCell ref="AI145:AI147"/>
    <mergeCell ref="BA186:BA189"/>
    <mergeCell ref="AS186:AS189"/>
    <mergeCell ref="AI186:AI189"/>
    <mergeCell ref="AN186:AN189"/>
    <mergeCell ref="AM34:AM35"/>
    <mergeCell ref="AI206:AI209"/>
    <mergeCell ref="AI210:AI213"/>
    <mergeCell ref="BE129:BE133"/>
    <mergeCell ref="BE134:BE138"/>
    <mergeCell ref="BE139:BE141"/>
    <mergeCell ref="BE142:BE144"/>
    <mergeCell ref="BE145:BE147"/>
    <mergeCell ref="BE148:BE150"/>
    <mergeCell ref="BE180:BE184"/>
    <mergeCell ref="BE186:BE189"/>
    <mergeCell ref="Y134:Y138"/>
    <mergeCell ref="Z134:Z138"/>
    <mergeCell ref="AA134:AA138"/>
    <mergeCell ref="AB134:AB138"/>
    <mergeCell ref="AC134:AC138"/>
    <mergeCell ref="AD134:AD138"/>
    <mergeCell ref="AE134:AE138"/>
    <mergeCell ref="AF134:AF138"/>
    <mergeCell ref="AL139:AL141"/>
    <mergeCell ref="AM139:AM141"/>
    <mergeCell ref="AZ186:AZ189"/>
    <mergeCell ref="AB142:AB144"/>
    <mergeCell ref="AC145:AC147"/>
    <mergeCell ref="AD145:AD147"/>
    <mergeCell ref="AE145:AE147"/>
    <mergeCell ref="AF145:AF147"/>
    <mergeCell ref="AH145:AH147"/>
    <mergeCell ref="BA34:BA35"/>
    <mergeCell ref="BD34:BD35"/>
    <mergeCell ref="AW186:AW189"/>
    <mergeCell ref="AX186:AX189"/>
    <mergeCell ref="AP186:AP189"/>
    <mergeCell ref="AO186:AO189"/>
    <mergeCell ref="AN142:AN144"/>
    <mergeCell ref="U186:U189"/>
    <mergeCell ref="AC186:AC189"/>
    <mergeCell ref="AD186:AD189"/>
    <mergeCell ref="K39:K40"/>
    <mergeCell ref="AI31:AI32"/>
    <mergeCell ref="AI139:AI141"/>
    <mergeCell ref="BQ100:BQ111"/>
    <mergeCell ref="BR145:BR147"/>
    <mergeCell ref="BZ145:BZ147"/>
    <mergeCell ref="BR148:BR150"/>
    <mergeCell ref="BO139:BO141"/>
    <mergeCell ref="BO145:BO147"/>
    <mergeCell ref="BP145:BP147"/>
    <mergeCell ref="AS206:AS209"/>
    <mergeCell ref="AT206:AT209"/>
    <mergeCell ref="AU206:AU209"/>
    <mergeCell ref="BO75:BO80"/>
    <mergeCell ref="BP75:BP80"/>
    <mergeCell ref="BO69:BO74"/>
    <mergeCell ref="BP69:BP74"/>
    <mergeCell ref="BO67:BO68"/>
    <mergeCell ref="BP67:BP68"/>
    <mergeCell ref="BO148:BO150"/>
    <mergeCell ref="BP148:BP150"/>
    <mergeCell ref="BP142:BP144"/>
    <mergeCell ref="BO206:BO209"/>
    <mergeCell ref="P142:P144"/>
    <mergeCell ref="Q142:Q144"/>
    <mergeCell ref="R142:R144"/>
    <mergeCell ref="BO210:BO213"/>
    <mergeCell ref="BO81:BO88"/>
    <mergeCell ref="BP81:BP88"/>
    <mergeCell ref="BO112:BO119"/>
    <mergeCell ref="BP112:BP119"/>
    <mergeCell ref="BO129:BO133"/>
    <mergeCell ref="BP129:BP133"/>
    <mergeCell ref="BP134:BP138"/>
    <mergeCell ref="BO134:BO138"/>
    <mergeCell ref="BN186:BN189"/>
    <mergeCell ref="BN206:BN213"/>
    <mergeCell ref="BN129:BN138"/>
    <mergeCell ref="AU134:AU138"/>
    <mergeCell ref="BD206:BD209"/>
    <mergeCell ref="AV210:AV213"/>
    <mergeCell ref="AW210:AW213"/>
    <mergeCell ref="AX210:AX213"/>
    <mergeCell ref="AY210:AY213"/>
    <mergeCell ref="AZ210:AZ213"/>
    <mergeCell ref="AW134:AW138"/>
    <mergeCell ref="BE112:BE119"/>
    <mergeCell ref="BE120:BE126"/>
    <mergeCell ref="BO89:BO95"/>
    <mergeCell ref="BP89:BP95"/>
    <mergeCell ref="BO98:BO99"/>
    <mergeCell ref="BP98:BP99"/>
    <mergeCell ref="BO100:BO105"/>
    <mergeCell ref="BP100:BP105"/>
    <mergeCell ref="BO106:BO111"/>
    <mergeCell ref="BP106:BP111"/>
    <mergeCell ref="BO120:BO126"/>
    <mergeCell ref="BP120:BP126"/>
    <mergeCell ref="CA139:CA141"/>
    <mergeCell ref="AV139:AV141"/>
    <mergeCell ref="AW139:AW141"/>
    <mergeCell ref="AX139:AX141"/>
    <mergeCell ref="AY139:AY141"/>
    <mergeCell ref="AZ139:AZ141"/>
    <mergeCell ref="BR139:BR141"/>
    <mergeCell ref="BU139:BU141"/>
    <mergeCell ref="BV139:BV141"/>
    <mergeCell ref="BW139:BW141"/>
    <mergeCell ref="BX139:BX141"/>
    <mergeCell ref="BY139:BY141"/>
    <mergeCell ref="BZ139:BZ141"/>
    <mergeCell ref="BP139:BP141"/>
    <mergeCell ref="CA148:CA150"/>
    <mergeCell ref="AV148:AV150"/>
    <mergeCell ref="BU142:BU144"/>
    <mergeCell ref="BS148:BS150"/>
    <mergeCell ref="AV142:AV144"/>
    <mergeCell ref="BD145:BD147"/>
    <mergeCell ref="BV145:BV147"/>
    <mergeCell ref="BX148:BX150"/>
    <mergeCell ref="BY148:BY150"/>
    <mergeCell ref="BX142:BX144"/>
    <mergeCell ref="BY142:BY144"/>
    <mergeCell ref="BZ142:BZ144"/>
    <mergeCell ref="BZ148:BZ150"/>
    <mergeCell ref="BS139:BS141"/>
    <mergeCell ref="BW148:BW150"/>
    <mergeCell ref="CA142:CA144"/>
    <mergeCell ref="P186:P189"/>
    <mergeCell ref="Q186:Q189"/>
    <mergeCell ref="R186:R189"/>
    <mergeCell ref="S186:S189"/>
    <mergeCell ref="T186:T189"/>
    <mergeCell ref="J186:J189"/>
    <mergeCell ref="AE186:AE189"/>
    <mergeCell ref="AF186:AF189"/>
    <mergeCell ref="AH186:AH189"/>
    <mergeCell ref="BO180:BO184"/>
    <mergeCell ref="AX206:AX209"/>
    <mergeCell ref="BE198:BE199"/>
    <mergeCell ref="AI142:AI144"/>
    <mergeCell ref="S180:S184"/>
    <mergeCell ref="AR206:AR209"/>
    <mergeCell ref="AH142:AH144"/>
    <mergeCell ref="AK142:AK144"/>
    <mergeCell ref="BN171:BN178"/>
    <mergeCell ref="BA206:BA209"/>
    <mergeCell ref="K145:K147"/>
    <mergeCell ref="L145:L147"/>
    <mergeCell ref="N145:N147"/>
    <mergeCell ref="AC142:AC144"/>
    <mergeCell ref="AD142:AD144"/>
    <mergeCell ref="AE142:AE144"/>
    <mergeCell ref="Y145:Y147"/>
    <mergeCell ref="Z145:Z147"/>
    <mergeCell ref="Y142:Y144"/>
    <mergeCell ref="X142:X144"/>
    <mergeCell ref="T180:T184"/>
    <mergeCell ref="V186:V189"/>
    <mergeCell ref="AK186:AK189"/>
    <mergeCell ref="AA139:AA141"/>
    <mergeCell ref="BW142:BW144"/>
    <mergeCell ref="BT142:BT144"/>
    <mergeCell ref="AW142:AW144"/>
    <mergeCell ref="AX142:AX144"/>
    <mergeCell ref="AY142:AY144"/>
    <mergeCell ref="AZ142:AZ144"/>
    <mergeCell ref="BW145:BW147"/>
    <mergeCell ref="BX145:BX147"/>
    <mergeCell ref="BY145:BY147"/>
    <mergeCell ref="BT139:BT141"/>
    <mergeCell ref="BV142:BV144"/>
    <mergeCell ref="BV148:BV150"/>
    <mergeCell ref="AK139:AK141"/>
    <mergeCell ref="BD139:BD141"/>
    <mergeCell ref="AS139:AS141"/>
    <mergeCell ref="AN139:AN141"/>
    <mergeCell ref="BS142:BS144"/>
    <mergeCell ref="AC148:AC150"/>
    <mergeCell ref="AW145:AW147"/>
    <mergeCell ref="AX145:AX147"/>
    <mergeCell ref="AY145:AY147"/>
    <mergeCell ref="AZ145:AZ147"/>
    <mergeCell ref="AR145:AR147"/>
    <mergeCell ref="BS145:BS147"/>
    <mergeCell ref="AS148:AS150"/>
    <mergeCell ref="BD148:BD150"/>
    <mergeCell ref="AS145:AS147"/>
    <mergeCell ref="BB142:BB144"/>
    <mergeCell ref="BC142:BC144"/>
    <mergeCell ref="AG145:AG147"/>
    <mergeCell ref="AG148:AG150"/>
    <mergeCell ref="BD186:BD189"/>
    <mergeCell ref="AL186:AL189"/>
    <mergeCell ref="CA145:CA147"/>
    <mergeCell ref="W186:W189"/>
    <mergeCell ref="BQ151:BQ154"/>
    <mergeCell ref="AA186:AA189"/>
    <mergeCell ref="T142:T144"/>
    <mergeCell ref="U142:U144"/>
    <mergeCell ref="S148:S150"/>
    <mergeCell ref="AU139:AU141"/>
    <mergeCell ref="AV145:AV147"/>
    <mergeCell ref="AM142:AM144"/>
    <mergeCell ref="BR142:BR144"/>
    <mergeCell ref="BN139:BN150"/>
    <mergeCell ref="BO142:BO144"/>
    <mergeCell ref="BQ186:BQ189"/>
    <mergeCell ref="BT148:BT150"/>
    <mergeCell ref="BT145:BT147"/>
    <mergeCell ref="BU145:BU147"/>
    <mergeCell ref="AD148:AD150"/>
    <mergeCell ref="AE148:AE150"/>
    <mergeCell ref="AT142:AT144"/>
    <mergeCell ref="AF142:AF144"/>
    <mergeCell ref="AA145:AA147"/>
    <mergeCell ref="AA148:AA150"/>
    <mergeCell ref="BU148:BU150"/>
    <mergeCell ref="AB186:AB189"/>
    <mergeCell ref="AY186:AY189"/>
    <mergeCell ref="BN151:BN154"/>
    <mergeCell ref="BP180:BP184"/>
    <mergeCell ref="BQ171:BQ178"/>
    <mergeCell ref="AQ148:AQ150"/>
    <mergeCell ref="AG180:AG184"/>
    <mergeCell ref="AG186:AG189"/>
    <mergeCell ref="U145:U147"/>
    <mergeCell ref="V145:V147"/>
    <mergeCell ref="L180:L184"/>
    <mergeCell ref="K180:K184"/>
    <mergeCell ref="P180:P184"/>
    <mergeCell ref="Q180:Q184"/>
    <mergeCell ref="R180:R184"/>
    <mergeCell ref="BQ139:BQ150"/>
    <mergeCell ref="AR186:AR189"/>
    <mergeCell ref="AZ148:AZ150"/>
    <mergeCell ref="AP139:AP141"/>
    <mergeCell ref="AQ139:AQ141"/>
    <mergeCell ref="AR139:AR141"/>
    <mergeCell ref="Q148:Q150"/>
    <mergeCell ref="N148:N150"/>
    <mergeCell ref="AR148:AR150"/>
    <mergeCell ref="AS142:AS144"/>
    <mergeCell ref="Z142:Z144"/>
    <mergeCell ref="AA142:AA144"/>
    <mergeCell ref="AU142:AU144"/>
    <mergeCell ref="AP145:AP147"/>
    <mergeCell ref="BD142:BD144"/>
    <mergeCell ref="AL142:AL144"/>
    <mergeCell ref="AB145:AB147"/>
    <mergeCell ref="AW148:AW150"/>
    <mergeCell ref="AX148:AX150"/>
    <mergeCell ref="AY148:AY150"/>
    <mergeCell ref="X139:X141"/>
    <mergeCell ref="AO142:AO144"/>
    <mergeCell ref="AP142:AP144"/>
    <mergeCell ref="AM148:AM150"/>
    <mergeCell ref="AN148:AN150"/>
    <mergeCell ref="AO148:AO150"/>
    <mergeCell ref="AP148:AP150"/>
    <mergeCell ref="BN112:BN119"/>
    <mergeCell ref="Q210:Q213"/>
    <mergeCell ref="R210:R213"/>
    <mergeCell ref="M206:M213"/>
    <mergeCell ref="S210:S213"/>
    <mergeCell ref="A139:A141"/>
    <mergeCell ref="B139:B141"/>
    <mergeCell ref="K139:K141"/>
    <mergeCell ref="L139:L141"/>
    <mergeCell ref="N139:N141"/>
    <mergeCell ref="O139:O141"/>
    <mergeCell ref="P139:P141"/>
    <mergeCell ref="Q139:Q141"/>
    <mergeCell ref="R139:R141"/>
    <mergeCell ref="B148:B150"/>
    <mergeCell ref="K148:K150"/>
    <mergeCell ref="L148:L150"/>
    <mergeCell ref="A142:A144"/>
    <mergeCell ref="B142:B144"/>
    <mergeCell ref="E186:E189"/>
    <mergeCell ref="F186:F189"/>
    <mergeCell ref="G186:G189"/>
    <mergeCell ref="H186:H189"/>
    <mergeCell ref="I186:I189"/>
    <mergeCell ref="R148:R150"/>
    <mergeCell ref="A148:A150"/>
    <mergeCell ref="E181:E182"/>
    <mergeCell ref="J148:J149"/>
    <mergeCell ref="M175:M178"/>
    <mergeCell ref="M171:M174"/>
    <mergeCell ref="F181:F182"/>
    <mergeCell ref="O180:O184"/>
    <mergeCell ref="I210:I213"/>
    <mergeCell ref="A210:A213"/>
    <mergeCell ref="AM210:AM213"/>
    <mergeCell ref="AN210:AN213"/>
    <mergeCell ref="AO210:AO213"/>
    <mergeCell ref="AH206:AH209"/>
    <mergeCell ref="AK206:AK209"/>
    <mergeCell ref="AL206:AL209"/>
    <mergeCell ref="AM206:AM209"/>
    <mergeCell ref="AO206:AO209"/>
    <mergeCell ref="L206:L209"/>
    <mergeCell ref="N206:N209"/>
    <mergeCell ref="O206:O209"/>
    <mergeCell ref="P206:P209"/>
    <mergeCell ref="Q206:Q209"/>
    <mergeCell ref="R206:R209"/>
    <mergeCell ref="Y206:Y209"/>
    <mergeCell ref="AA210:AA213"/>
    <mergeCell ref="AB210:AB213"/>
    <mergeCell ref="AC210:AC213"/>
    <mergeCell ref="AD210:AD213"/>
    <mergeCell ref="AF206:AF209"/>
    <mergeCell ref="AE206:AE209"/>
    <mergeCell ref="AE210:AE213"/>
    <mergeCell ref="AF210:AF213"/>
    <mergeCell ref="U210:U213"/>
    <mergeCell ref="O210:O213"/>
    <mergeCell ref="P210:P213"/>
    <mergeCell ref="V139:V141"/>
    <mergeCell ref="T210:T213"/>
    <mergeCell ref="AD206:AD209"/>
    <mergeCell ref="Y210:Y213"/>
    <mergeCell ref="BQ31:BQ32"/>
    <mergeCell ref="AX180:AX184"/>
    <mergeCell ref="AY180:AY184"/>
    <mergeCell ref="AZ180:AZ184"/>
    <mergeCell ref="V180:V184"/>
    <mergeCell ref="AE180:AE184"/>
    <mergeCell ref="AF180:AF184"/>
    <mergeCell ref="AH180:AH184"/>
    <mergeCell ref="AC180:AC184"/>
    <mergeCell ref="BN180:BN184"/>
    <mergeCell ref="BN31:BN32"/>
    <mergeCell ref="BQ180:BQ184"/>
    <mergeCell ref="AW180:AW184"/>
    <mergeCell ref="AB180:AB184"/>
    <mergeCell ref="AL180:AL184"/>
    <mergeCell ref="AQ180:AQ184"/>
    <mergeCell ref="AR180:AR184"/>
    <mergeCell ref="Z148:Z150"/>
    <mergeCell ref="AF148:AF150"/>
    <mergeCell ref="AH148:AH150"/>
    <mergeCell ref="AK148:AK150"/>
    <mergeCell ref="AL148:AL150"/>
    <mergeCell ref="AC139:AC141"/>
    <mergeCell ref="AD139:AD141"/>
    <mergeCell ref="AE139:AE141"/>
    <mergeCell ref="AW129:AW133"/>
    <mergeCell ref="W139:W141"/>
    <mergeCell ref="BO65:BO66"/>
    <mergeCell ref="V148:V150"/>
    <mergeCell ref="S139:S141"/>
    <mergeCell ref="T139:T141"/>
    <mergeCell ref="T134:T138"/>
    <mergeCell ref="U134:U138"/>
    <mergeCell ref="AP129:AP133"/>
    <mergeCell ref="AN129:AN133"/>
    <mergeCell ref="Z129:Z133"/>
    <mergeCell ref="U139:U141"/>
    <mergeCell ref="AY134:AY138"/>
    <mergeCell ref="Y139:Y141"/>
    <mergeCell ref="AH139:AH141"/>
    <mergeCell ref="BQ129:BQ138"/>
    <mergeCell ref="BE31:BE32"/>
    <mergeCell ref="BO31:BO32"/>
    <mergeCell ref="BP31:BP32"/>
    <mergeCell ref="AF139:AF141"/>
    <mergeCell ref="Z139:Z141"/>
    <mergeCell ref="AB139:AB141"/>
    <mergeCell ref="AE31:AE32"/>
    <mergeCell ref="AF31:AF32"/>
    <mergeCell ref="AT100:AT105"/>
    <mergeCell ref="X106:X111"/>
    <mergeCell ref="AO69:AO74"/>
    <mergeCell ref="AA65:AA66"/>
    <mergeCell ref="AE65:AE66"/>
    <mergeCell ref="BN120:BN126"/>
    <mergeCell ref="T98:T99"/>
    <mergeCell ref="T100:T105"/>
    <mergeCell ref="AP112:AP119"/>
    <mergeCell ref="AY106:AY111"/>
    <mergeCell ref="AV106:AV111"/>
    <mergeCell ref="AS180:AS184"/>
    <mergeCell ref="W180:W184"/>
    <mergeCell ref="AD180:AD184"/>
    <mergeCell ref="AP180:AP184"/>
    <mergeCell ref="AK180:AK184"/>
    <mergeCell ref="X180:X184"/>
    <mergeCell ref="BD180:BD184"/>
    <mergeCell ref="AT180:AT184"/>
    <mergeCell ref="AU180:AU184"/>
    <mergeCell ref="AV180:AV184"/>
    <mergeCell ref="BA180:BA184"/>
    <mergeCell ref="AI180:AI184"/>
    <mergeCell ref="AN180:AN184"/>
    <mergeCell ref="AO180:AO184"/>
    <mergeCell ref="AM180:AM184"/>
    <mergeCell ref="AQ145:AQ147"/>
    <mergeCell ref="W100:W105"/>
    <mergeCell ref="AU112:AU119"/>
    <mergeCell ref="AB106:AB111"/>
    <mergeCell ref="AQ134:AQ138"/>
    <mergeCell ref="AR134:AR138"/>
    <mergeCell ref="AS134:AS138"/>
    <mergeCell ref="AZ129:AZ133"/>
    <mergeCell ref="AZ134:AZ138"/>
    <mergeCell ref="AS106:AS111"/>
    <mergeCell ref="AQ129:AQ133"/>
    <mergeCell ref="Y106:Y111"/>
    <mergeCell ref="BD134:BD138"/>
    <mergeCell ref="AL134:AL138"/>
    <mergeCell ref="W145:W147"/>
    <mergeCell ref="AT148:AT150"/>
    <mergeCell ref="AB148:AB150"/>
    <mergeCell ref="AD129:AD133"/>
    <mergeCell ref="AM129:AM133"/>
    <mergeCell ref="AK129:AK133"/>
    <mergeCell ref="AK134:AK138"/>
    <mergeCell ref="AE120:AE126"/>
    <mergeCell ref="AF120:AF126"/>
    <mergeCell ref="Q129:Q133"/>
    <mergeCell ref="R129:R133"/>
    <mergeCell ref="S129:S133"/>
    <mergeCell ref="T129:T133"/>
    <mergeCell ref="U129:U133"/>
    <mergeCell ref="V129:V133"/>
    <mergeCell ref="W134:W138"/>
    <mergeCell ref="AM106:AM111"/>
    <mergeCell ref="W106:W111"/>
    <mergeCell ref="AK106:AK111"/>
    <mergeCell ref="AL106:AL111"/>
    <mergeCell ref="AC106:AC111"/>
    <mergeCell ref="AH106:AH111"/>
    <mergeCell ref="Y120:Y126"/>
    <mergeCell ref="AB120:AB126"/>
    <mergeCell ref="AC120:AC126"/>
    <mergeCell ref="W129:W133"/>
    <mergeCell ref="AE106:AE111"/>
    <mergeCell ref="AF106:AF111"/>
    <mergeCell ref="V120:V126"/>
    <mergeCell ref="AH112:AH119"/>
    <mergeCell ref="AH120:AH126"/>
    <mergeCell ref="AC112:AC119"/>
    <mergeCell ref="Z106:Z111"/>
    <mergeCell ref="AG106:AG111"/>
    <mergeCell ref="J135:J138"/>
    <mergeCell ref="E137:E138"/>
    <mergeCell ref="F137:F138"/>
    <mergeCell ref="G137:G138"/>
    <mergeCell ref="H137:H138"/>
    <mergeCell ref="AF112:AF119"/>
    <mergeCell ref="AI112:AI119"/>
    <mergeCell ref="AI120:AI126"/>
    <mergeCell ref="AI129:AI133"/>
    <mergeCell ref="AI134:AI138"/>
    <mergeCell ref="AA129:AA133"/>
    <mergeCell ref="S134:S138"/>
    <mergeCell ref="AE112:AE119"/>
    <mergeCell ref="AA112:AA119"/>
    <mergeCell ref="AM134:AM138"/>
    <mergeCell ref="X134:X138"/>
    <mergeCell ref="AM112:AM119"/>
    <mergeCell ref="AL120:AL126"/>
    <mergeCell ref="V112:V119"/>
    <mergeCell ref="X112:X119"/>
    <mergeCell ref="Y112:Y119"/>
    <mergeCell ref="AD112:AD119"/>
    <mergeCell ref="W112:W119"/>
    <mergeCell ref="W120:W126"/>
    <mergeCell ref="AK120:AK126"/>
    <mergeCell ref="X120:X126"/>
    <mergeCell ref="AF129:AF133"/>
    <mergeCell ref="AH129:AH133"/>
    <mergeCell ref="X129:X133"/>
    <mergeCell ref="Y129:Y133"/>
    <mergeCell ref="O129:O133"/>
    <mergeCell ref="M120:M126"/>
    <mergeCell ref="K142:K144"/>
    <mergeCell ref="L142:L144"/>
    <mergeCell ref="N142:N144"/>
    <mergeCell ref="O142:O144"/>
    <mergeCell ref="I132:I133"/>
    <mergeCell ref="K134:K138"/>
    <mergeCell ref="M134:M138"/>
    <mergeCell ref="N180:N184"/>
    <mergeCell ref="G19:G20"/>
    <mergeCell ref="N129:N133"/>
    <mergeCell ref="H130:H131"/>
    <mergeCell ref="H132:H133"/>
    <mergeCell ref="I130:I131"/>
    <mergeCell ref="L134:L138"/>
    <mergeCell ref="P134:P138"/>
    <mergeCell ref="Q134:Q138"/>
    <mergeCell ref="R134:R138"/>
    <mergeCell ref="L100:L105"/>
    <mergeCell ref="L106:L111"/>
    <mergeCell ref="N106:N111"/>
    <mergeCell ref="R100:R105"/>
    <mergeCell ref="R106:R111"/>
    <mergeCell ref="Q100:Q105"/>
    <mergeCell ref="J139:J140"/>
    <mergeCell ref="Q120:Q126"/>
    <mergeCell ref="P100:P105"/>
    <mergeCell ref="L112:L119"/>
    <mergeCell ref="G23:G24"/>
    <mergeCell ref="L65:L66"/>
    <mergeCell ref="J100:J105"/>
    <mergeCell ref="L98:L99"/>
    <mergeCell ref="J75:J80"/>
    <mergeCell ref="AI34:AI35"/>
    <mergeCell ref="AD89:AD95"/>
    <mergeCell ref="T65:T66"/>
    <mergeCell ref="R89:R95"/>
    <mergeCell ref="P67:P68"/>
    <mergeCell ref="AB129:AB133"/>
    <mergeCell ref="BD120:BD126"/>
    <mergeCell ref="AE98:AE99"/>
    <mergeCell ref="AF98:AF99"/>
    <mergeCell ref="Z98:Z99"/>
    <mergeCell ref="AB98:AB99"/>
    <mergeCell ref="Z100:Z105"/>
    <mergeCell ref="AA100:AA105"/>
    <mergeCell ref="AB100:AB105"/>
    <mergeCell ref="AD100:AD105"/>
    <mergeCell ref="AC129:AC133"/>
    <mergeCell ref="V65:V66"/>
    <mergeCell ref="U89:U95"/>
    <mergeCell ref="V106:V111"/>
    <mergeCell ref="V67:V68"/>
    <mergeCell ref="W69:W74"/>
    <mergeCell ref="R69:R74"/>
    <mergeCell ref="Q75:Q80"/>
    <mergeCell ref="R75:R80"/>
    <mergeCell ref="X81:X88"/>
    <mergeCell ref="W81:W88"/>
    <mergeCell ref="Y67:Y68"/>
    <mergeCell ref="X75:X80"/>
    <mergeCell ref="Y75:Y80"/>
    <mergeCell ref="U75:U80"/>
    <mergeCell ref="W65:W66"/>
    <mergeCell ref="X65:X66"/>
    <mergeCell ref="BD89:BD95"/>
    <mergeCell ref="AX75:AX80"/>
    <mergeCell ref="AU100:AU105"/>
    <mergeCell ref="Z75:Z80"/>
    <mergeCell ref="AY98:AY99"/>
    <mergeCell ref="AZ81:AZ88"/>
    <mergeCell ref="AB81:AB88"/>
    <mergeCell ref="AC65:AC66"/>
    <mergeCell ref="AB89:AB95"/>
    <mergeCell ref="AA89:AA95"/>
    <mergeCell ref="AA69:AA74"/>
    <mergeCell ref="AF67:AF68"/>
    <mergeCell ref="Z67:Z68"/>
    <mergeCell ref="AB67:AB68"/>
    <mergeCell ref="AB65:AB66"/>
    <mergeCell ref="AD65:AD66"/>
    <mergeCell ref="AF65:AF66"/>
    <mergeCell ref="AH65:AH66"/>
    <mergeCell ref="AW89:AW95"/>
    <mergeCell ref="AS81:AS88"/>
    <mergeCell ref="BD100:BD105"/>
    <mergeCell ref="BD98:BD99"/>
    <mergeCell ref="AY75:AY80"/>
    <mergeCell ref="AY89:AY95"/>
    <mergeCell ref="AZ89:AZ95"/>
    <mergeCell ref="AG81:AG88"/>
    <mergeCell ref="AG89:AG95"/>
    <mergeCell ref="AG98:AG99"/>
    <mergeCell ref="AG100:AG105"/>
    <mergeCell ref="BA67:BA68"/>
    <mergeCell ref="AM100:AM105"/>
    <mergeCell ref="AT106:AT111"/>
    <mergeCell ref="A1:M5"/>
    <mergeCell ref="M112:M119"/>
    <mergeCell ref="A65:A66"/>
    <mergeCell ref="C17:C18"/>
    <mergeCell ref="C21:C22"/>
    <mergeCell ref="AA98:AA99"/>
    <mergeCell ref="AC98:AC99"/>
    <mergeCell ref="AC100:AC105"/>
    <mergeCell ref="X1:Y1"/>
    <mergeCell ref="A100:A105"/>
    <mergeCell ref="A106:A111"/>
    <mergeCell ref="B100:B105"/>
    <mergeCell ref="K100:K105"/>
    <mergeCell ref="S69:S74"/>
    <mergeCell ref="T69:T74"/>
    <mergeCell ref="U69:U74"/>
    <mergeCell ref="S75:S80"/>
    <mergeCell ref="H112:H119"/>
    <mergeCell ref="I112:I119"/>
    <mergeCell ref="N69:N74"/>
    <mergeCell ref="N75:N80"/>
    <mergeCell ref="S67:S68"/>
    <mergeCell ref="T67:T68"/>
    <mergeCell ref="Q67:Q68"/>
    <mergeCell ref="R67:R68"/>
    <mergeCell ref="Q65:Q66"/>
    <mergeCell ref="U67:U68"/>
    <mergeCell ref="P81:P88"/>
    <mergeCell ref="Q81:Q88"/>
    <mergeCell ref="B65:B66"/>
    <mergeCell ref="X2:Y2"/>
    <mergeCell ref="L89:L95"/>
    <mergeCell ref="N112:N119"/>
    <mergeCell ref="J69:J74"/>
    <mergeCell ref="S81:S88"/>
    <mergeCell ref="Q112:Q119"/>
    <mergeCell ref="G81:G88"/>
    <mergeCell ref="H81:H88"/>
    <mergeCell ref="J106:J111"/>
    <mergeCell ref="K89:K95"/>
    <mergeCell ref="J89:J95"/>
    <mergeCell ref="R98:R99"/>
    <mergeCell ref="K65:K66"/>
    <mergeCell ref="G112:G119"/>
    <mergeCell ref="L69:L74"/>
    <mergeCell ref="N65:N66"/>
    <mergeCell ref="O65:O66"/>
    <mergeCell ref="P65:P66"/>
    <mergeCell ref="N98:N99"/>
    <mergeCell ref="O98:O99"/>
    <mergeCell ref="P98:P99"/>
    <mergeCell ref="R65:R66"/>
    <mergeCell ref="S65:S66"/>
    <mergeCell ref="P106:P111"/>
    <mergeCell ref="Q98:Q99"/>
    <mergeCell ref="L67:L68"/>
    <mergeCell ref="Q69:Q74"/>
    <mergeCell ref="N67:N68"/>
    <mergeCell ref="O67:O68"/>
    <mergeCell ref="K112:K119"/>
    <mergeCell ref="A67:A68"/>
    <mergeCell ref="B67:B68"/>
    <mergeCell ref="A81:A88"/>
    <mergeCell ref="B81:B88"/>
    <mergeCell ref="B69:B74"/>
    <mergeCell ref="A69:A74"/>
    <mergeCell ref="A75:A80"/>
    <mergeCell ref="A98:A99"/>
    <mergeCell ref="B106:B111"/>
    <mergeCell ref="T81:T88"/>
    <mergeCell ref="O112:O119"/>
    <mergeCell ref="I81:I88"/>
    <mergeCell ref="K67:K68"/>
    <mergeCell ref="J81:J88"/>
    <mergeCell ref="K69:K74"/>
    <mergeCell ref="K75:K80"/>
    <mergeCell ref="L81:L88"/>
    <mergeCell ref="R81:R88"/>
    <mergeCell ref="B75:B80"/>
    <mergeCell ref="J112:J119"/>
    <mergeCell ref="K81:K88"/>
    <mergeCell ref="S100:S105"/>
    <mergeCell ref="L75:L80"/>
    <mergeCell ref="N81:N88"/>
    <mergeCell ref="O81:O88"/>
    <mergeCell ref="N100:N105"/>
    <mergeCell ref="O100:O105"/>
    <mergeCell ref="Q106:Q111"/>
    <mergeCell ref="Q89:Q95"/>
    <mergeCell ref="F112:F119"/>
    <mergeCell ref="T75:T80"/>
    <mergeCell ref="K106:K111"/>
    <mergeCell ref="A129:A133"/>
    <mergeCell ref="B129:B133"/>
    <mergeCell ref="A134:A138"/>
    <mergeCell ref="E135:E136"/>
    <mergeCell ref="F135:F136"/>
    <mergeCell ref="G135:G136"/>
    <mergeCell ref="H135:H136"/>
    <mergeCell ref="I135:I136"/>
    <mergeCell ref="P89:P95"/>
    <mergeCell ref="O89:O95"/>
    <mergeCell ref="N89:N95"/>
    <mergeCell ref="A120:A126"/>
    <mergeCell ref="A112:A119"/>
    <mergeCell ref="E112:E119"/>
    <mergeCell ref="B120:B126"/>
    <mergeCell ref="B89:B95"/>
    <mergeCell ref="A89:A95"/>
    <mergeCell ref="B98:B99"/>
    <mergeCell ref="K98:K99"/>
    <mergeCell ref="J120:J126"/>
    <mergeCell ref="K120:K126"/>
    <mergeCell ref="E130:E131"/>
    <mergeCell ref="G132:G133"/>
    <mergeCell ref="I137:I138"/>
    <mergeCell ref="M129:M133"/>
    <mergeCell ref="N134:N138"/>
    <mergeCell ref="P129:P133"/>
    <mergeCell ref="F132:F133"/>
    <mergeCell ref="E132:E133"/>
    <mergeCell ref="L129:L133"/>
    <mergeCell ref="J130:J133"/>
    <mergeCell ref="K129:K133"/>
    <mergeCell ref="B134:B138"/>
    <mergeCell ref="I89:I95"/>
    <mergeCell ref="I120:I126"/>
    <mergeCell ref="L120:L126"/>
    <mergeCell ref="R112:R119"/>
    <mergeCell ref="M81:M88"/>
    <mergeCell ref="M89:M95"/>
    <mergeCell ref="P112:P119"/>
    <mergeCell ref="G130:G131"/>
    <mergeCell ref="F130:F131"/>
    <mergeCell ref="F81:F88"/>
    <mergeCell ref="U100:U105"/>
    <mergeCell ref="U106:U111"/>
    <mergeCell ref="U120:U126"/>
    <mergeCell ref="U112:U119"/>
    <mergeCell ref="P120:P126"/>
    <mergeCell ref="O120:O126"/>
    <mergeCell ref="S120:S126"/>
    <mergeCell ref="S106:S111"/>
    <mergeCell ref="T106:T111"/>
    <mergeCell ref="T112:T119"/>
    <mergeCell ref="S98:S99"/>
    <mergeCell ref="N120:N126"/>
    <mergeCell ref="O134:O138"/>
    <mergeCell ref="T120:T126"/>
    <mergeCell ref="S89:S95"/>
    <mergeCell ref="U81:U88"/>
    <mergeCell ref="T89:T95"/>
    <mergeCell ref="B112:B119"/>
    <mergeCell ref="E81:E88"/>
    <mergeCell ref="U98:U99"/>
    <mergeCell ref="O106:O111"/>
    <mergeCell ref="BN39:BN50"/>
    <mergeCell ref="AF81:AF88"/>
    <mergeCell ref="AH81:AH88"/>
    <mergeCell ref="BN81:BN88"/>
    <mergeCell ref="AW81:AW88"/>
    <mergeCell ref="BD81:BD88"/>
    <mergeCell ref="AL81:AL88"/>
    <mergeCell ref="AM81:AM88"/>
    <mergeCell ref="AN81:AN88"/>
    <mergeCell ref="AO81:AO88"/>
    <mergeCell ref="AA75:AA80"/>
    <mergeCell ref="AB75:AB80"/>
    <mergeCell ref="AC75:AC80"/>
    <mergeCell ref="AE67:AE68"/>
    <mergeCell ref="AH69:AH74"/>
    <mergeCell ref="Z65:Z66"/>
    <mergeCell ref="Z69:Z74"/>
    <mergeCell ref="AX67:AX68"/>
    <mergeCell ref="AX69:AX74"/>
    <mergeCell ref="AT67:AT68"/>
    <mergeCell ref="AD67:AD68"/>
    <mergeCell ref="AS75:AS80"/>
    <mergeCell ref="BN69:BN80"/>
    <mergeCell ref="BD67:BD68"/>
    <mergeCell ref="AZ75:AZ80"/>
    <mergeCell ref="AK67:AK68"/>
    <mergeCell ref="AW65:AW66"/>
    <mergeCell ref="BN65:BN66"/>
    <mergeCell ref="BE81:BE88"/>
    <mergeCell ref="BN52:BN63"/>
    <mergeCell ref="AL67:AL68"/>
    <mergeCell ref="AM67:AM68"/>
    <mergeCell ref="U65:U66"/>
    <mergeCell ref="V81:V88"/>
    <mergeCell ref="X89:X95"/>
    <mergeCell ref="AX100:AX105"/>
    <mergeCell ref="V89:V95"/>
    <mergeCell ref="AX65:AX66"/>
    <mergeCell ref="AV65:AV66"/>
    <mergeCell ref="AS98:AS99"/>
    <mergeCell ref="AT98:AT99"/>
    <mergeCell ref="AX81:AX88"/>
    <mergeCell ref="AU75:AU80"/>
    <mergeCell ref="AV75:AV80"/>
    <mergeCell ref="AW98:AW99"/>
    <mergeCell ref="AK65:AK66"/>
    <mergeCell ref="AV67:AV68"/>
    <mergeCell ref="AL69:AL74"/>
    <mergeCell ref="AM69:AM74"/>
    <mergeCell ref="AF89:AF95"/>
    <mergeCell ref="W67:W68"/>
    <mergeCell ref="X67:X68"/>
    <mergeCell ref="V98:V99"/>
    <mergeCell ref="V100:V105"/>
    <mergeCell ref="AI67:AI68"/>
    <mergeCell ref="AI69:AI74"/>
    <mergeCell ref="AI75:AI80"/>
    <mergeCell ref="AI98:AI99"/>
    <mergeCell ref="AH89:AH95"/>
    <mergeCell ref="AI65:AI66"/>
    <mergeCell ref="Y69:Y74"/>
    <mergeCell ref="AE81:AE88"/>
    <mergeCell ref="AG69:AG74"/>
    <mergeCell ref="AL100:AL105"/>
    <mergeCell ref="BA31:BA32"/>
    <mergeCell ref="BD31:BD32"/>
    <mergeCell ref="BP65:BP66"/>
    <mergeCell ref="BN98:BN99"/>
    <mergeCell ref="BN89:BN95"/>
    <mergeCell ref="AZ98:AZ99"/>
    <mergeCell ref="AW67:AW68"/>
    <mergeCell ref="AK75:AK80"/>
    <mergeCell ref="AE75:AE80"/>
    <mergeCell ref="AU67:AU68"/>
    <mergeCell ref="AQ69:AQ74"/>
    <mergeCell ref="AL75:AL80"/>
    <mergeCell ref="AT89:AT95"/>
    <mergeCell ref="AV69:AV74"/>
    <mergeCell ref="AW69:AW74"/>
    <mergeCell ref="AY69:AY74"/>
    <mergeCell ref="AY67:AY68"/>
    <mergeCell ref="AR69:AR74"/>
    <mergeCell ref="AS69:AS74"/>
    <mergeCell ref="AT69:AT74"/>
    <mergeCell ref="AR67:AR68"/>
    <mergeCell ref="AU69:AU74"/>
    <mergeCell ref="AT81:AT88"/>
    <mergeCell ref="AX98:AX99"/>
    <mergeCell ref="AV81:AV88"/>
    <mergeCell ref="AY81:AY88"/>
    <mergeCell ref="AE69:AE74"/>
    <mergeCell ref="AF69:AF74"/>
    <mergeCell ref="AF75:AF80"/>
    <mergeCell ref="AV89:AV95"/>
    <mergeCell ref="AV98:AV99"/>
    <mergeCell ref="AN69:AN74"/>
    <mergeCell ref="AN34:AN35"/>
    <mergeCell ref="AO34:AO35"/>
    <mergeCell ref="AM31:AM32"/>
    <mergeCell ref="BQ26:BQ27"/>
    <mergeCell ref="BD65:BD66"/>
    <mergeCell ref="BN26:BN27"/>
    <mergeCell ref="BD112:BD119"/>
    <mergeCell ref="AK112:AK119"/>
    <mergeCell ref="BD75:BD80"/>
    <mergeCell ref="AZ67:AZ68"/>
    <mergeCell ref="AZ69:AZ74"/>
    <mergeCell ref="AY65:AY66"/>
    <mergeCell ref="BD69:BD74"/>
    <mergeCell ref="BA69:BA74"/>
    <mergeCell ref="AS65:AS66"/>
    <mergeCell ref="AU65:AU66"/>
    <mergeCell ref="BE65:BE66"/>
    <mergeCell ref="BE67:BE68"/>
    <mergeCell ref="BE69:BE74"/>
    <mergeCell ref="BN100:BN111"/>
    <mergeCell ref="AY112:AY119"/>
    <mergeCell ref="AR98:AR99"/>
    <mergeCell ref="AN106:AN111"/>
    <mergeCell ref="AO106:AO111"/>
    <mergeCell ref="AP106:AP111"/>
    <mergeCell ref="AZ106:AZ111"/>
    <mergeCell ref="AZ112:AZ119"/>
    <mergeCell ref="AU81:AU88"/>
    <mergeCell ref="AU89:AU95"/>
    <mergeCell ref="AU98:AU99"/>
    <mergeCell ref="AZ65:AZ66"/>
    <mergeCell ref="BE75:BE80"/>
    <mergeCell ref="AT120:AT126"/>
    <mergeCell ref="AW120:AW126"/>
    <mergeCell ref="AR120:AR126"/>
    <mergeCell ref="AU120:AU126"/>
    <mergeCell ref="BE89:BE95"/>
    <mergeCell ref="BE98:BE99"/>
    <mergeCell ref="AL2:AS2"/>
    <mergeCell ref="AK98:AK99"/>
    <mergeCell ref="BQ112:BQ119"/>
    <mergeCell ref="BQ120:BQ126"/>
    <mergeCell ref="AP120:AP126"/>
    <mergeCell ref="AQ120:AQ126"/>
    <mergeCell ref="AZ120:AZ126"/>
    <mergeCell ref="AS100:AS105"/>
    <mergeCell ref="AV100:AV105"/>
    <mergeCell ref="AW100:AW105"/>
    <mergeCell ref="AN100:AN105"/>
    <mergeCell ref="AO100:AO105"/>
    <mergeCell ref="AZ100:AZ105"/>
    <mergeCell ref="AM120:AM126"/>
    <mergeCell ref="AY39:AY40"/>
    <mergeCell ref="AZ39:AZ40"/>
    <mergeCell ref="AR41:AR42"/>
    <mergeCell ref="AS41:AS42"/>
    <mergeCell ref="AT41:AT42"/>
    <mergeCell ref="AU41:AU42"/>
    <mergeCell ref="AP67:AP68"/>
    <mergeCell ref="AQ67:AQ68"/>
    <mergeCell ref="AQ112:AQ119"/>
    <mergeCell ref="AN67:AN68"/>
    <mergeCell ref="AL89:AL95"/>
    <mergeCell ref="AN89:AN95"/>
    <mergeCell ref="AO120:AO126"/>
    <mergeCell ref="AO98:AO99"/>
    <mergeCell ref="AM89:AM95"/>
    <mergeCell ref="AN112:AN119"/>
    <mergeCell ref="AO112:AO119"/>
    <mergeCell ref="AG65:AG66"/>
    <mergeCell ref="AG67:AG68"/>
    <mergeCell ref="AS129:AS133"/>
    <mergeCell ref="AT129:AT133"/>
    <mergeCell ref="AV129:AV133"/>
    <mergeCell ref="AU129:AU133"/>
    <mergeCell ref="AO129:AO133"/>
    <mergeCell ref="AQ100:AQ105"/>
    <mergeCell ref="AR100:AR105"/>
    <mergeCell ref="AY100:AY105"/>
    <mergeCell ref="AX112:AX119"/>
    <mergeCell ref="AX120:AX126"/>
    <mergeCell ref="AX106:AX111"/>
    <mergeCell ref="AQ106:AQ111"/>
    <mergeCell ref="AW106:AW111"/>
    <mergeCell ref="AR106:AR111"/>
    <mergeCell ref="AV112:AV119"/>
    <mergeCell ref="AW112:AW119"/>
    <mergeCell ref="AS67:AS68"/>
    <mergeCell ref="AO67:AO68"/>
    <mergeCell ref="AX89:AX95"/>
    <mergeCell ref="AO89:AO95"/>
    <mergeCell ref="AR89:AR95"/>
    <mergeCell ref="AW75:AW80"/>
    <mergeCell ref="AU106:AU111"/>
    <mergeCell ref="AR129:AR133"/>
    <mergeCell ref="AS120:AS126"/>
    <mergeCell ref="V69:V74"/>
    <mergeCell ref="V75:V80"/>
    <mergeCell ref="Z81:Z88"/>
    <mergeCell ref="AC69:AC74"/>
    <mergeCell ref="AA81:AA88"/>
    <mergeCell ref="W98:W99"/>
    <mergeCell ref="AL65:AL66"/>
    <mergeCell ref="AM65:AM66"/>
    <mergeCell ref="AN65:AN66"/>
    <mergeCell ref="AO65:AO66"/>
    <mergeCell ref="AP65:AP66"/>
    <mergeCell ref="AQ65:AQ66"/>
    <mergeCell ref="AA67:AA68"/>
    <mergeCell ref="AM75:AM80"/>
    <mergeCell ref="AN75:AN80"/>
    <mergeCell ref="AO75:AO80"/>
    <mergeCell ref="AM98:AM99"/>
    <mergeCell ref="AN98:AN99"/>
    <mergeCell ref="AQ98:AQ99"/>
    <mergeCell ref="AQ81:AQ88"/>
    <mergeCell ref="AP75:AP80"/>
    <mergeCell ref="AQ75:AQ80"/>
    <mergeCell ref="AH98:AH99"/>
    <mergeCell ref="AG75:AG80"/>
    <mergeCell ref="AH31:AH32"/>
    <mergeCell ref="O148:O150"/>
    <mergeCell ref="P148:P150"/>
    <mergeCell ref="O145:O147"/>
    <mergeCell ref="P145:P147"/>
    <mergeCell ref="Q145:Q147"/>
    <mergeCell ref="R145:R147"/>
    <mergeCell ref="AE129:AE133"/>
    <mergeCell ref="AE100:AE105"/>
    <mergeCell ref="AF100:AF105"/>
    <mergeCell ref="AD98:AD99"/>
    <mergeCell ref="AA120:AA126"/>
    <mergeCell ref="Z120:Z126"/>
    <mergeCell ref="AD120:AD126"/>
    <mergeCell ref="AL112:AL119"/>
    <mergeCell ref="AB31:AB32"/>
    <mergeCell ref="AC31:AC32"/>
    <mergeCell ref="AD31:AD32"/>
    <mergeCell ref="AB112:AB119"/>
    <mergeCell ref="AD75:AD80"/>
    <mergeCell ref="AH100:AH105"/>
    <mergeCell ref="AD69:AD74"/>
    <mergeCell ref="AI100:AI105"/>
    <mergeCell ref="AK100:AK105"/>
    <mergeCell ref="Z112:Z119"/>
    <mergeCell ref="AK31:AK32"/>
    <mergeCell ref="AL31:AL32"/>
    <mergeCell ref="AC89:AC95"/>
    <mergeCell ref="AC81:AC88"/>
    <mergeCell ref="AD81:AD88"/>
    <mergeCell ref="X100:X105"/>
    <mergeCell ref="O49:O50"/>
    <mergeCell ref="AN31:AN32"/>
    <mergeCell ref="AO31:AO32"/>
    <mergeCell ref="AP31:AP32"/>
    <mergeCell ref="AQ31:AQ32"/>
    <mergeCell ref="AR31:AR32"/>
    <mergeCell ref="AS31:AS32"/>
    <mergeCell ref="AR65:AR66"/>
    <mergeCell ref="AT75:AT80"/>
    <mergeCell ref="AR75:AR80"/>
    <mergeCell ref="AS89:AS95"/>
    <mergeCell ref="AT65:AT66"/>
    <mergeCell ref="AL98:AL99"/>
    <mergeCell ref="AP69:AP74"/>
    <mergeCell ref="AK69:AK74"/>
    <mergeCell ref="AT31:AT32"/>
    <mergeCell ref="AN45:AN46"/>
    <mergeCell ref="AO45:AO46"/>
    <mergeCell ref="AP45:AP46"/>
    <mergeCell ref="AQ45:AQ46"/>
    <mergeCell ref="AR45:AR46"/>
    <mergeCell ref="AS45:AS46"/>
    <mergeCell ref="AT45:AT46"/>
    <mergeCell ref="AS58:AS59"/>
    <mergeCell ref="AT58:AT59"/>
    <mergeCell ref="AO60:AO61"/>
    <mergeCell ref="AP60:AP61"/>
    <mergeCell ref="AQ60:AQ61"/>
    <mergeCell ref="AR60:AR61"/>
    <mergeCell ref="AS60:AS61"/>
    <mergeCell ref="AR81:AR88"/>
    <mergeCell ref="AL45:AL46"/>
    <mergeCell ref="AM45:AM46"/>
    <mergeCell ref="AU31:AU32"/>
    <mergeCell ref="AV31:AV32"/>
    <mergeCell ref="AW31:AW32"/>
    <mergeCell ref="AR112:AR119"/>
    <mergeCell ref="AP100:AP105"/>
    <mergeCell ref="AB206:AB209"/>
    <mergeCell ref="AC206:AC209"/>
    <mergeCell ref="Y31:Y32"/>
    <mergeCell ref="AA31:AA32"/>
    <mergeCell ref="AO134:AO138"/>
    <mergeCell ref="AN120:AN126"/>
    <mergeCell ref="Y180:Y184"/>
    <mergeCell ref="Z180:Z184"/>
    <mergeCell ref="AA180:AA184"/>
    <mergeCell ref="AH134:AH138"/>
    <mergeCell ref="AP134:AP138"/>
    <mergeCell ref="AQ89:AQ95"/>
    <mergeCell ref="AP98:AP99"/>
    <mergeCell ref="AP89:AP95"/>
    <mergeCell ref="AP81:AP88"/>
    <mergeCell ref="AQ142:AQ144"/>
    <mergeCell ref="Y65:Y66"/>
    <mergeCell ref="AH67:AH68"/>
    <mergeCell ref="AA106:AA111"/>
    <mergeCell ref="AD106:AD111"/>
    <mergeCell ref="Y89:Y95"/>
    <mergeCell ref="Z89:Z95"/>
    <mergeCell ref="Y98:Y99"/>
    <mergeCell ref="AE89:AE95"/>
    <mergeCell ref="AC67:AC68"/>
    <mergeCell ref="AH75:AH80"/>
    <mergeCell ref="AB69:AB74"/>
    <mergeCell ref="AV120:AV126"/>
    <mergeCell ref="AY120:AY126"/>
    <mergeCell ref="BD129:BD133"/>
    <mergeCell ref="AL129:AL133"/>
    <mergeCell ref="AW206:AW209"/>
    <mergeCell ref="AH210:AH213"/>
    <mergeCell ref="AK210:AK213"/>
    <mergeCell ref="BD210:BD213"/>
    <mergeCell ref="AL210:AL213"/>
    <mergeCell ref="AU210:AU213"/>
    <mergeCell ref="AP210:AP213"/>
    <mergeCell ref="AQ210:AQ213"/>
    <mergeCell ref="AR210:AR213"/>
    <mergeCell ref="AS210:AS213"/>
    <mergeCell ref="AT210:AT213"/>
    <mergeCell ref="AV186:AV189"/>
    <mergeCell ref="AT145:AT147"/>
    <mergeCell ref="AU145:AU147"/>
    <mergeCell ref="AV206:AV209"/>
    <mergeCell ref="AK145:AK147"/>
    <mergeCell ref="AQ186:AQ189"/>
    <mergeCell ref="AZ206:AZ209"/>
    <mergeCell ref="AP206:AP209"/>
    <mergeCell ref="AN206:AN209"/>
    <mergeCell ref="AX129:AX133"/>
    <mergeCell ref="AX134:AX138"/>
    <mergeCell ref="AY129:AY133"/>
    <mergeCell ref="BB148:BB150"/>
    <mergeCell ref="AJ206:AJ209"/>
    <mergeCell ref="AJ210:AJ213"/>
    <mergeCell ref="AT134:AT138"/>
    <mergeCell ref="AN134:AN138"/>
    <mergeCell ref="Z206:Z209"/>
    <mergeCell ref="AA206:AA209"/>
    <mergeCell ref="AX31:AX32"/>
    <mergeCell ref="AY31:AY32"/>
    <mergeCell ref="AZ31:AZ32"/>
    <mergeCell ref="AQ206:AQ209"/>
    <mergeCell ref="BR39:BR50"/>
    <mergeCell ref="BR52:BR63"/>
    <mergeCell ref="BA1:BA5"/>
    <mergeCell ref="BA75:BA80"/>
    <mergeCell ref="BA81:BA88"/>
    <mergeCell ref="BA89:BA95"/>
    <mergeCell ref="BA98:BA99"/>
    <mergeCell ref="BA100:BA105"/>
    <mergeCell ref="BA106:BA111"/>
    <mergeCell ref="BA112:BA119"/>
    <mergeCell ref="BA120:BA126"/>
    <mergeCell ref="BA129:BA133"/>
    <mergeCell ref="BA134:BA138"/>
    <mergeCell ref="BA139:BA141"/>
    <mergeCell ref="BA142:BA144"/>
    <mergeCell ref="BA145:BA147"/>
    <mergeCell ref="BA148:BA150"/>
    <mergeCell ref="BQ69:BQ80"/>
    <mergeCell ref="BQ89:BQ95"/>
    <mergeCell ref="BQ67:BQ68"/>
    <mergeCell ref="BN67:BN68"/>
    <mergeCell ref="BD106:BD111"/>
    <mergeCell ref="BQ65:BQ66"/>
    <mergeCell ref="BQ98:BQ99"/>
    <mergeCell ref="BQ39:BQ50"/>
    <mergeCell ref="BQ52:BQ63"/>
    <mergeCell ref="BQ81:BQ88"/>
    <mergeCell ref="BA65:BA66"/>
    <mergeCell ref="Q49:Q50"/>
    <mergeCell ref="R49:R50"/>
    <mergeCell ref="E183:E184"/>
    <mergeCell ref="F183:F184"/>
    <mergeCell ref="G183:G184"/>
    <mergeCell ref="H183:H184"/>
    <mergeCell ref="A180:A184"/>
    <mergeCell ref="B180:B184"/>
    <mergeCell ref="Z210:Z213"/>
    <mergeCell ref="U206:U209"/>
    <mergeCell ref="V206:V209"/>
    <mergeCell ref="A206:A209"/>
    <mergeCell ref="K206:K209"/>
    <mergeCell ref="G181:G182"/>
    <mergeCell ref="H181:H182"/>
    <mergeCell ref="W206:W209"/>
    <mergeCell ref="S206:S209"/>
    <mergeCell ref="T206:T209"/>
    <mergeCell ref="V210:V213"/>
    <mergeCell ref="W210:W213"/>
    <mergeCell ref="B210:B213"/>
    <mergeCell ref="B206:B209"/>
    <mergeCell ref="K210:K213"/>
    <mergeCell ref="L210:L213"/>
    <mergeCell ref="N210:N213"/>
    <mergeCell ref="X210:X213"/>
    <mergeCell ref="I206:I209"/>
    <mergeCell ref="X186:X189"/>
    <mergeCell ref="Y186:Y189"/>
    <mergeCell ref="Z186:Z189"/>
    <mergeCell ref="I183:I184"/>
    <mergeCell ref="X98:X99"/>
    <mergeCell ref="BC148:BC150"/>
    <mergeCell ref="BB180:BB184"/>
    <mergeCell ref="M180:M184"/>
    <mergeCell ref="J181:J184"/>
    <mergeCell ref="K31:K32"/>
    <mergeCell ref="L31:L32"/>
    <mergeCell ref="B31:B32"/>
    <mergeCell ref="A31:A32"/>
    <mergeCell ref="X31:X32"/>
    <mergeCell ref="W31:W32"/>
    <mergeCell ref="V31:V32"/>
    <mergeCell ref="U31:U32"/>
    <mergeCell ref="T31:T32"/>
    <mergeCell ref="O31:O32"/>
    <mergeCell ref="P31:P32"/>
    <mergeCell ref="Q31:Q32"/>
    <mergeCell ref="R31:R32"/>
    <mergeCell ref="S31:S32"/>
    <mergeCell ref="N31:N32"/>
    <mergeCell ref="V39:V40"/>
    <mergeCell ref="T39:T40"/>
    <mergeCell ref="U39:U40"/>
    <mergeCell ref="S39:S40"/>
    <mergeCell ref="R39:R40"/>
    <mergeCell ref="Q39:Q40"/>
    <mergeCell ref="P39:P40"/>
    <mergeCell ref="O39:O40"/>
    <mergeCell ref="W39:W40"/>
    <mergeCell ref="X39:X40"/>
    <mergeCell ref="N49:N50"/>
    <mergeCell ref="P49:P50"/>
    <mergeCell ref="BB145:BB147"/>
    <mergeCell ref="BC145:BC147"/>
    <mergeCell ref="Z31:Z32"/>
    <mergeCell ref="X206:X209"/>
    <mergeCell ref="R120:R126"/>
    <mergeCell ref="V134:V138"/>
    <mergeCell ref="W75:W80"/>
    <mergeCell ref="W89:W95"/>
    <mergeCell ref="Y100:Y105"/>
    <mergeCell ref="Y81:Y88"/>
    <mergeCell ref="S112:S119"/>
    <mergeCell ref="BB34:BB35"/>
    <mergeCell ref="BC34:BC35"/>
    <mergeCell ref="BB31:BB32"/>
    <mergeCell ref="BC31:BC32"/>
    <mergeCell ref="BB65:BB66"/>
    <mergeCell ref="BC65:BC66"/>
    <mergeCell ref="BB67:BB68"/>
    <mergeCell ref="BC67:BC68"/>
    <mergeCell ref="BB69:BB74"/>
    <mergeCell ref="BC69:BC74"/>
    <mergeCell ref="BB75:BB80"/>
    <mergeCell ref="BC75:BC80"/>
    <mergeCell ref="BB81:BB88"/>
    <mergeCell ref="BC81:BC88"/>
    <mergeCell ref="BB89:BB95"/>
    <mergeCell ref="BC89:BC95"/>
    <mergeCell ref="BB98:BB99"/>
    <mergeCell ref="BC98:BC99"/>
    <mergeCell ref="BB39:BB40"/>
    <mergeCell ref="BC39:BC40"/>
    <mergeCell ref="AE39:AE40"/>
    <mergeCell ref="AF39:AF40"/>
    <mergeCell ref="AH39:AH40"/>
    <mergeCell ref="AI39:AI40"/>
    <mergeCell ref="AK39:AK40"/>
    <mergeCell ref="AL39:AL40"/>
    <mergeCell ref="AM39:AM40"/>
    <mergeCell ref="AN39:AN40"/>
    <mergeCell ref="AO39:AO40"/>
    <mergeCell ref="AP39:AP40"/>
    <mergeCell ref="AQ39:AQ40"/>
    <mergeCell ref="BB206:BB209"/>
    <mergeCell ref="BC206:BC209"/>
    <mergeCell ref="BB210:BB213"/>
    <mergeCell ref="BC210:BC213"/>
    <mergeCell ref="BB100:BB105"/>
    <mergeCell ref="BC100:BC105"/>
    <mergeCell ref="BB106:BB111"/>
    <mergeCell ref="BC106:BC111"/>
    <mergeCell ref="BB112:BB119"/>
    <mergeCell ref="BC112:BC119"/>
    <mergeCell ref="BB120:BB126"/>
    <mergeCell ref="BC120:BC126"/>
    <mergeCell ref="BB129:BB133"/>
    <mergeCell ref="BC129:BC133"/>
    <mergeCell ref="BB134:BB138"/>
    <mergeCell ref="BC134:BC138"/>
    <mergeCell ref="BB139:BB141"/>
    <mergeCell ref="BC139:BC141"/>
    <mergeCell ref="BA39:BA40"/>
    <mergeCell ref="AE43:AE44"/>
    <mergeCell ref="BA210:BA213"/>
    <mergeCell ref="BD39:BD40"/>
    <mergeCell ref="BE39:BE40"/>
    <mergeCell ref="N39:N40"/>
    <mergeCell ref="N41:N42"/>
    <mergeCell ref="O41:O42"/>
    <mergeCell ref="P41:P42"/>
    <mergeCell ref="Q41:Q42"/>
    <mergeCell ref="R41:R42"/>
    <mergeCell ref="S41:S42"/>
    <mergeCell ref="T41:T42"/>
    <mergeCell ref="U41:U42"/>
    <mergeCell ref="V41:V42"/>
    <mergeCell ref="W41:W42"/>
    <mergeCell ref="X41:X42"/>
    <mergeCell ref="Y41:Y42"/>
    <mergeCell ref="Z41:Z42"/>
    <mergeCell ref="AA41:AA42"/>
    <mergeCell ref="AB41:AB42"/>
    <mergeCell ref="AC41:AC42"/>
    <mergeCell ref="AD41:AD42"/>
    <mergeCell ref="AE41:AE42"/>
    <mergeCell ref="AF41:AF42"/>
    <mergeCell ref="AH41:AH42"/>
    <mergeCell ref="AI41:AI42"/>
    <mergeCell ref="AK41:AK42"/>
    <mergeCell ref="AL41:AL42"/>
    <mergeCell ref="Y39:Y40"/>
    <mergeCell ref="Z39:Z40"/>
    <mergeCell ref="AA39:AA40"/>
    <mergeCell ref="AB39:AB40"/>
    <mergeCell ref="AC39:AC40"/>
    <mergeCell ref="AD39:AD40"/>
    <mergeCell ref="AF43:AF44"/>
    <mergeCell ref="AH43:AH44"/>
    <mergeCell ref="AI43:AI44"/>
    <mergeCell ref="AK43:AK44"/>
    <mergeCell ref="AL43:AL44"/>
    <mergeCell ref="AM43:AM44"/>
    <mergeCell ref="AN43:AN44"/>
    <mergeCell ref="AO43:AO44"/>
    <mergeCell ref="AT43:AT44"/>
    <mergeCell ref="AU43:AU44"/>
    <mergeCell ref="AV43:AV44"/>
    <mergeCell ref="AW43:AW44"/>
    <mergeCell ref="AX43:AX44"/>
    <mergeCell ref="AT39:AT40"/>
    <mergeCell ref="AU39:AU40"/>
    <mergeCell ref="AV39:AV40"/>
    <mergeCell ref="AW39:AW40"/>
    <mergeCell ref="AX39:AX40"/>
    <mergeCell ref="AR39:AR40"/>
    <mergeCell ref="AS39:AS40"/>
    <mergeCell ref="AG41:AG42"/>
    <mergeCell ref="AG43:AG44"/>
    <mergeCell ref="AX41:AX42"/>
    <mergeCell ref="AV41:AV42"/>
    <mergeCell ref="AW41:AW42"/>
    <mergeCell ref="N43:N44"/>
    <mergeCell ref="O43:O44"/>
    <mergeCell ref="P43:P44"/>
    <mergeCell ref="Q43:Q44"/>
    <mergeCell ref="R43:R44"/>
    <mergeCell ref="S43:S44"/>
    <mergeCell ref="T43:T44"/>
    <mergeCell ref="U43:U44"/>
    <mergeCell ref="V43:V44"/>
    <mergeCell ref="W43:W44"/>
    <mergeCell ref="X43:X44"/>
    <mergeCell ref="Y43:Y44"/>
    <mergeCell ref="Z43:Z44"/>
    <mergeCell ref="AA43:AA44"/>
    <mergeCell ref="AB43:AB44"/>
    <mergeCell ref="AC43:AC44"/>
    <mergeCell ref="AD43:AD44"/>
    <mergeCell ref="AY43:AY44"/>
    <mergeCell ref="AZ43:AZ44"/>
    <mergeCell ref="BA43:BA44"/>
    <mergeCell ref="BB43:BB44"/>
    <mergeCell ref="BC43:BC44"/>
    <mergeCell ref="BD43:BD44"/>
    <mergeCell ref="AZ41:AZ42"/>
    <mergeCell ref="BA41:BA42"/>
    <mergeCell ref="BB41:BB42"/>
    <mergeCell ref="BC41:BC42"/>
    <mergeCell ref="BD41:BD42"/>
    <mergeCell ref="AM41:AM42"/>
    <mergeCell ref="AN41:AN42"/>
    <mergeCell ref="AO41:AO42"/>
    <mergeCell ref="AP41:AP42"/>
    <mergeCell ref="AQ41:AQ42"/>
    <mergeCell ref="BE43:BE44"/>
    <mergeCell ref="BE41:BE42"/>
    <mergeCell ref="AP43:AP44"/>
    <mergeCell ref="AQ43:AQ44"/>
    <mergeCell ref="AR43:AR44"/>
    <mergeCell ref="AS43:AS44"/>
    <mergeCell ref="AY41:AY42"/>
    <mergeCell ref="AX45:AX46"/>
    <mergeCell ref="AY45:AY46"/>
    <mergeCell ref="AZ45:AZ46"/>
    <mergeCell ref="N45:N46"/>
    <mergeCell ref="O45:O46"/>
    <mergeCell ref="P45:P46"/>
    <mergeCell ref="Q45:Q46"/>
    <mergeCell ref="R45:R46"/>
    <mergeCell ref="S45:S46"/>
    <mergeCell ref="T45:T46"/>
    <mergeCell ref="U45:U46"/>
    <mergeCell ref="V45:V46"/>
    <mergeCell ref="W45:W46"/>
    <mergeCell ref="X45:X46"/>
    <mergeCell ref="Y45:Y46"/>
    <mergeCell ref="Z45:Z46"/>
    <mergeCell ref="AA45:AA46"/>
    <mergeCell ref="AB45:AB46"/>
    <mergeCell ref="AC45:AC46"/>
    <mergeCell ref="AD45:AD46"/>
    <mergeCell ref="AG45:AG46"/>
    <mergeCell ref="AU45:AU46"/>
    <mergeCell ref="AV45:AV46"/>
    <mergeCell ref="AW45:AW46"/>
    <mergeCell ref="AN49:AN50"/>
    <mergeCell ref="AO49:AO50"/>
    <mergeCell ref="BA45:BA46"/>
    <mergeCell ref="BB45:BB46"/>
    <mergeCell ref="BC45:BC46"/>
    <mergeCell ref="BD45:BD46"/>
    <mergeCell ref="BE45:BE46"/>
    <mergeCell ref="N47:N48"/>
    <mergeCell ref="O47:O48"/>
    <mergeCell ref="P47:P48"/>
    <mergeCell ref="Q47:Q48"/>
    <mergeCell ref="R47:R48"/>
    <mergeCell ref="S47:S48"/>
    <mergeCell ref="T47:T48"/>
    <mergeCell ref="U47:U48"/>
    <mergeCell ref="V47:V48"/>
    <mergeCell ref="W47:W48"/>
    <mergeCell ref="X47:X48"/>
    <mergeCell ref="Y47:Y48"/>
    <mergeCell ref="Z47:Z48"/>
    <mergeCell ref="AA47:AA48"/>
    <mergeCell ref="AB47:AB48"/>
    <mergeCell ref="AC47:AC48"/>
    <mergeCell ref="AD47:AD48"/>
    <mergeCell ref="AE47:AE48"/>
    <mergeCell ref="AF47:AF48"/>
    <mergeCell ref="AH47:AH48"/>
    <mergeCell ref="AE45:AE46"/>
    <mergeCell ref="AF45:AF46"/>
    <mergeCell ref="AH45:AH46"/>
    <mergeCell ref="AI45:AI46"/>
    <mergeCell ref="AK45:AK46"/>
    <mergeCell ref="AR47:AR48"/>
    <mergeCell ref="AS47:AS48"/>
    <mergeCell ref="AU47:AU48"/>
    <mergeCell ref="AV47:AV48"/>
    <mergeCell ref="AW47:AW48"/>
    <mergeCell ref="AX47:AX48"/>
    <mergeCell ref="AY47:AY48"/>
    <mergeCell ref="AZ47:AZ48"/>
    <mergeCell ref="S49:S50"/>
    <mergeCell ref="T49:T50"/>
    <mergeCell ref="U49:U50"/>
    <mergeCell ref="V49:V50"/>
    <mergeCell ref="W49:W50"/>
    <mergeCell ref="X49:X50"/>
    <mergeCell ref="Y49:Y50"/>
    <mergeCell ref="Z49:Z50"/>
    <mergeCell ref="AA49:AA50"/>
    <mergeCell ref="AB49:AB50"/>
    <mergeCell ref="AC49:AC50"/>
    <mergeCell ref="AD49:AD50"/>
    <mergeCell ref="AP49:AP50"/>
    <mergeCell ref="AQ49:AQ50"/>
    <mergeCell ref="AR49:AR50"/>
    <mergeCell ref="AS49:AS50"/>
    <mergeCell ref="AT49:AT50"/>
    <mergeCell ref="AE49:AE50"/>
    <mergeCell ref="AF49:AF50"/>
    <mergeCell ref="AH49:AH50"/>
    <mergeCell ref="AI49:AI50"/>
    <mergeCell ref="AK49:AK50"/>
    <mergeCell ref="AL49:AL50"/>
    <mergeCell ref="AM49:AM50"/>
    <mergeCell ref="AG206:AG209"/>
    <mergeCell ref="AG210:AG213"/>
    <mergeCell ref="AJ34:AJ35"/>
    <mergeCell ref="AJ31:AJ32"/>
    <mergeCell ref="AJ39:AJ40"/>
    <mergeCell ref="AJ41:AJ42"/>
    <mergeCell ref="AJ43:AJ44"/>
    <mergeCell ref="AJ45:AJ46"/>
    <mergeCell ref="AJ47:AJ48"/>
    <mergeCell ref="AJ49:AJ50"/>
    <mergeCell ref="AJ65:AJ66"/>
    <mergeCell ref="AJ67:AJ68"/>
    <mergeCell ref="AJ69:AJ74"/>
    <mergeCell ref="AJ75:AJ80"/>
    <mergeCell ref="AJ81:AJ88"/>
    <mergeCell ref="AJ89:AJ95"/>
    <mergeCell ref="AJ98:AJ99"/>
    <mergeCell ref="AJ100:AJ105"/>
    <mergeCell ref="AJ106:AJ111"/>
    <mergeCell ref="AJ112:AJ119"/>
    <mergeCell ref="AJ120:AJ126"/>
    <mergeCell ref="AJ129:AJ133"/>
    <mergeCell ref="AJ134:AJ138"/>
    <mergeCell ref="AJ139:AJ141"/>
    <mergeCell ref="AJ142:AJ144"/>
    <mergeCell ref="AG34:AG35"/>
    <mergeCell ref="AG31:AG32"/>
    <mergeCell ref="AG39:AG40"/>
    <mergeCell ref="AJ145:AJ147"/>
    <mergeCell ref="AJ148:AJ150"/>
    <mergeCell ref="AJ180:AJ184"/>
    <mergeCell ref="AJ186:AJ189"/>
    <mergeCell ref="A36:A37"/>
    <mergeCell ref="B36:B37"/>
    <mergeCell ref="I36:I37"/>
    <mergeCell ref="J36:J37"/>
    <mergeCell ref="K36:K37"/>
    <mergeCell ref="L36:L37"/>
    <mergeCell ref="N36:N37"/>
    <mergeCell ref="O36:O37"/>
    <mergeCell ref="P36:P37"/>
    <mergeCell ref="Q36:Q37"/>
    <mergeCell ref="R36:R37"/>
    <mergeCell ref="S36:S37"/>
    <mergeCell ref="T36:T37"/>
    <mergeCell ref="U36:U37"/>
    <mergeCell ref="V36:V37"/>
    <mergeCell ref="W36:W37"/>
    <mergeCell ref="X36:X37"/>
    <mergeCell ref="Y36:Y37"/>
    <mergeCell ref="Z36:Z37"/>
    <mergeCell ref="AA36:AA37"/>
    <mergeCell ref="AB36:AB37"/>
    <mergeCell ref="AC36:AC37"/>
    <mergeCell ref="AD36:AD37"/>
    <mergeCell ref="AG134:AG138"/>
    <mergeCell ref="AG139:AG141"/>
    <mergeCell ref="AG142:AG144"/>
    <mergeCell ref="K60:K61"/>
    <mergeCell ref="L60:L61"/>
    <mergeCell ref="K62:K63"/>
    <mergeCell ref="L62:L63"/>
    <mergeCell ref="AY206:AY209"/>
    <mergeCell ref="AV36:AV37"/>
    <mergeCell ref="AW36:AW37"/>
    <mergeCell ref="AX36:AX37"/>
    <mergeCell ref="AY36:AY37"/>
    <mergeCell ref="AH52:AH53"/>
    <mergeCell ref="AI52:AI53"/>
    <mergeCell ref="AJ52:AJ53"/>
    <mergeCell ref="AK52:AK53"/>
    <mergeCell ref="AL52:AL53"/>
    <mergeCell ref="AM52:AM53"/>
    <mergeCell ref="AN52:AN53"/>
    <mergeCell ref="AO52:AO53"/>
    <mergeCell ref="AP52:AP53"/>
    <mergeCell ref="AQ52:AQ53"/>
    <mergeCell ref="AR52:AR53"/>
    <mergeCell ref="K58:K59"/>
    <mergeCell ref="L58:L59"/>
    <mergeCell ref="N58:N59"/>
    <mergeCell ref="AZ36:AZ37"/>
    <mergeCell ref="BA36:BA37"/>
    <mergeCell ref="BB36:BB37"/>
    <mergeCell ref="BC36:BC37"/>
    <mergeCell ref="BD36:BD37"/>
    <mergeCell ref="BE36:BE37"/>
    <mergeCell ref="BN36:BN37"/>
    <mergeCell ref="BO36:BO37"/>
    <mergeCell ref="BP36:BP37"/>
    <mergeCell ref="BQ36:BQ37"/>
    <mergeCell ref="AE36:AE37"/>
    <mergeCell ref="AF36:AF37"/>
    <mergeCell ref="AG36:AG37"/>
    <mergeCell ref="AH36:AH37"/>
    <mergeCell ref="AI36:AI37"/>
    <mergeCell ref="AJ36:AJ37"/>
    <mergeCell ref="AK36:AK37"/>
    <mergeCell ref="AL36:AL37"/>
    <mergeCell ref="AM36:AM37"/>
    <mergeCell ref="AN36:AN37"/>
    <mergeCell ref="AO36:AO37"/>
    <mergeCell ref="AP36:AP37"/>
    <mergeCell ref="AQ36:AQ37"/>
    <mergeCell ref="AR36:AR37"/>
    <mergeCell ref="AS36:AS37"/>
    <mergeCell ref="AT36:AT37"/>
    <mergeCell ref="AU36:AU37"/>
    <mergeCell ref="BP39:BP40"/>
    <mergeCell ref="BO41:BO42"/>
    <mergeCell ref="BP41:BP42"/>
    <mergeCell ref="BO43:BO44"/>
    <mergeCell ref="BP43:BP44"/>
    <mergeCell ref="BO45:BO46"/>
    <mergeCell ref="BP45:BP46"/>
    <mergeCell ref="BO47:BO48"/>
    <mergeCell ref="BP47:BP48"/>
    <mergeCell ref="BO49:BO50"/>
    <mergeCell ref="BP49:BP50"/>
    <mergeCell ref="K52:K53"/>
    <mergeCell ref="L52:L53"/>
    <mergeCell ref="K54:K55"/>
    <mergeCell ref="L54:L55"/>
    <mergeCell ref="K56:K57"/>
    <mergeCell ref="L56:L57"/>
    <mergeCell ref="N52:N53"/>
    <mergeCell ref="O52:O53"/>
    <mergeCell ref="P52:P53"/>
    <mergeCell ref="Q52:Q53"/>
    <mergeCell ref="R52:R53"/>
    <mergeCell ref="S52:S53"/>
    <mergeCell ref="T52:T53"/>
    <mergeCell ref="U52:U53"/>
    <mergeCell ref="V52:V53"/>
    <mergeCell ref="W52:W53"/>
    <mergeCell ref="X52:X53"/>
    <mergeCell ref="Y52:Y53"/>
    <mergeCell ref="Z52:Z53"/>
    <mergeCell ref="AA52:AA53"/>
    <mergeCell ref="AG47:AG48"/>
    <mergeCell ref="BO39:BO40"/>
    <mergeCell ref="AG49:AG50"/>
    <mergeCell ref="AX49:AX50"/>
    <mergeCell ref="AY49:AY50"/>
    <mergeCell ref="AZ49:AZ50"/>
    <mergeCell ref="BA49:BA50"/>
    <mergeCell ref="BB49:BB50"/>
    <mergeCell ref="BC49:BC50"/>
    <mergeCell ref="BD49:BD50"/>
    <mergeCell ref="BE49:BE50"/>
    <mergeCell ref="BA47:BA48"/>
    <mergeCell ref="BB47:BB48"/>
    <mergeCell ref="BC47:BC48"/>
    <mergeCell ref="BD47:BD48"/>
    <mergeCell ref="BE47:BE48"/>
    <mergeCell ref="AT47:AT48"/>
    <mergeCell ref="AD52:AD53"/>
    <mergeCell ref="AE52:AE53"/>
    <mergeCell ref="AF52:AF53"/>
    <mergeCell ref="AG52:AG53"/>
    <mergeCell ref="AU49:AU50"/>
    <mergeCell ref="AV49:AV50"/>
    <mergeCell ref="AW49:AW50"/>
    <mergeCell ref="AI47:AI48"/>
    <mergeCell ref="AK47:AK48"/>
    <mergeCell ref="AL47:AL48"/>
    <mergeCell ref="AM47:AM48"/>
    <mergeCell ref="AN47:AN48"/>
    <mergeCell ref="AO47:AO48"/>
    <mergeCell ref="AP47:AP48"/>
    <mergeCell ref="AQ47:AQ48"/>
    <mergeCell ref="AS52:AS53"/>
    <mergeCell ref="A60:A61"/>
    <mergeCell ref="B60:B61"/>
    <mergeCell ref="A62:A63"/>
    <mergeCell ref="B62:B63"/>
    <mergeCell ref="AT52:AT53"/>
    <mergeCell ref="AU52:AU53"/>
    <mergeCell ref="AL54:AL55"/>
    <mergeCell ref="AM54:AM55"/>
    <mergeCell ref="AN54:AN55"/>
    <mergeCell ref="AO54:AO55"/>
    <mergeCell ref="AP54:AP55"/>
    <mergeCell ref="AB52:AB53"/>
    <mergeCell ref="AC52:AC53"/>
    <mergeCell ref="AQ54:AQ55"/>
    <mergeCell ref="AR54:AR55"/>
    <mergeCell ref="AS54:AS55"/>
    <mergeCell ref="O58:O59"/>
    <mergeCell ref="AQ58:AQ59"/>
    <mergeCell ref="AR58:AR59"/>
    <mergeCell ref="AM56:AM57"/>
    <mergeCell ref="AN56:AN57"/>
    <mergeCell ref="AO56:AO57"/>
    <mergeCell ref="AP56:AP57"/>
    <mergeCell ref="AQ56:AQ57"/>
    <mergeCell ref="AR56:AR57"/>
    <mergeCell ref="AS56:AS57"/>
    <mergeCell ref="AT56:AT57"/>
    <mergeCell ref="AU56:AU57"/>
    <mergeCell ref="AT54:AT55"/>
    <mergeCell ref="A52:A53"/>
    <mergeCell ref="B52:B53"/>
    <mergeCell ref="A54:A55"/>
    <mergeCell ref="B54:B55"/>
    <mergeCell ref="A56:A57"/>
    <mergeCell ref="B56:B57"/>
    <mergeCell ref="A58:A59"/>
    <mergeCell ref="B58:B59"/>
    <mergeCell ref="AH54:AH55"/>
    <mergeCell ref="AI54:AI55"/>
    <mergeCell ref="AJ54:AJ55"/>
    <mergeCell ref="AK54:AK55"/>
    <mergeCell ref="AZ52:AZ53"/>
    <mergeCell ref="BA52:BA53"/>
    <mergeCell ref="BB52:BB53"/>
    <mergeCell ref="BC52:BC53"/>
    <mergeCell ref="AU54:AU55"/>
    <mergeCell ref="AV54:AV55"/>
    <mergeCell ref="AW54:AW55"/>
    <mergeCell ref="AX54:AX55"/>
    <mergeCell ref="AY54:AY55"/>
    <mergeCell ref="AZ54:AZ55"/>
    <mergeCell ref="BA54:BA55"/>
    <mergeCell ref="BB54:BB55"/>
    <mergeCell ref="BC54:BC55"/>
    <mergeCell ref="AV52:AV53"/>
    <mergeCell ref="AW52:AW53"/>
    <mergeCell ref="AE56:AE57"/>
    <mergeCell ref="AF56:AF57"/>
    <mergeCell ref="AG56:AG57"/>
    <mergeCell ref="AH56:AH57"/>
    <mergeCell ref="AI56:AI57"/>
    <mergeCell ref="AJ56:AJ57"/>
    <mergeCell ref="AK56:AK57"/>
    <mergeCell ref="AL56:AL57"/>
    <mergeCell ref="AK58:AK59"/>
    <mergeCell ref="AL58:AL59"/>
    <mergeCell ref="BD52:BD53"/>
    <mergeCell ref="BE52:BE53"/>
    <mergeCell ref="N54:N55"/>
    <mergeCell ref="O54:O55"/>
    <mergeCell ref="P54:P55"/>
    <mergeCell ref="Q54:Q55"/>
    <mergeCell ref="R54:R55"/>
    <mergeCell ref="S54:S55"/>
    <mergeCell ref="T54:T55"/>
    <mergeCell ref="U54:U55"/>
    <mergeCell ref="V54:V55"/>
    <mergeCell ref="W54:W55"/>
    <mergeCell ref="X54:X55"/>
    <mergeCell ref="Y54:Y55"/>
    <mergeCell ref="Z54:Z55"/>
    <mergeCell ref="AA54:AA55"/>
    <mergeCell ref="AB54:AB55"/>
    <mergeCell ref="AC54:AC55"/>
    <mergeCell ref="AD54:AD55"/>
    <mergeCell ref="AE54:AE55"/>
    <mergeCell ref="AF54:AF55"/>
    <mergeCell ref="AG54:AG55"/>
    <mergeCell ref="N56:N57"/>
    <mergeCell ref="O56:O57"/>
    <mergeCell ref="P56:P57"/>
    <mergeCell ref="Q56:Q57"/>
    <mergeCell ref="R56:R57"/>
    <mergeCell ref="S56:S57"/>
    <mergeCell ref="T56:T57"/>
    <mergeCell ref="U56:U57"/>
    <mergeCell ref="V56:V57"/>
    <mergeCell ref="W56:W57"/>
    <mergeCell ref="X56:X57"/>
    <mergeCell ref="Y56:Y57"/>
    <mergeCell ref="Z56:Z57"/>
    <mergeCell ref="AA56:AA57"/>
    <mergeCell ref="AB56:AB57"/>
    <mergeCell ref="AC56:AC57"/>
    <mergeCell ref="AD56:AD57"/>
    <mergeCell ref="AM58:AM59"/>
    <mergeCell ref="AN58:AN59"/>
    <mergeCell ref="AO58:AO59"/>
    <mergeCell ref="AP58:AP59"/>
    <mergeCell ref="AE58:AE59"/>
    <mergeCell ref="AF58:AF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G58:AG59"/>
    <mergeCell ref="AH58:AH59"/>
    <mergeCell ref="AI58:AI59"/>
    <mergeCell ref="N62:N63"/>
    <mergeCell ref="O62:O63"/>
    <mergeCell ref="P62:P63"/>
    <mergeCell ref="Q62:Q63"/>
    <mergeCell ref="R62:R63"/>
    <mergeCell ref="S62:S63"/>
    <mergeCell ref="T62:T63"/>
    <mergeCell ref="U62:U63"/>
    <mergeCell ref="V62:V63"/>
    <mergeCell ref="W62:W63"/>
    <mergeCell ref="X62:X63"/>
    <mergeCell ref="Y62:Y63"/>
    <mergeCell ref="AW58:AW59"/>
    <mergeCell ref="AX58:AX59"/>
    <mergeCell ref="AY58:AY59"/>
    <mergeCell ref="AZ58:AZ59"/>
    <mergeCell ref="AV56:AV57"/>
    <mergeCell ref="AW56:AW57"/>
    <mergeCell ref="AX56:AX57"/>
    <mergeCell ref="AY56:AY57"/>
    <mergeCell ref="AZ56:AZ57"/>
    <mergeCell ref="AE60:AE61"/>
    <mergeCell ref="AF60:AF61"/>
    <mergeCell ref="AG60:AG61"/>
    <mergeCell ref="AH60:AH61"/>
    <mergeCell ref="AI60:AI61"/>
    <mergeCell ref="AJ60:AJ61"/>
    <mergeCell ref="AK60:AK61"/>
    <mergeCell ref="AL60:AL61"/>
    <mergeCell ref="AM60:AM61"/>
    <mergeCell ref="AN60:AN61"/>
    <mergeCell ref="AJ58:AJ59"/>
    <mergeCell ref="N60:N61"/>
    <mergeCell ref="O60:O61"/>
    <mergeCell ref="P60:P61"/>
    <mergeCell ref="Q60:Q61"/>
    <mergeCell ref="R60:R61"/>
    <mergeCell ref="S60:S61"/>
    <mergeCell ref="T60:T61"/>
    <mergeCell ref="U60:U61"/>
    <mergeCell ref="V60:V61"/>
    <mergeCell ref="W60:W61"/>
    <mergeCell ref="X60:X61"/>
    <mergeCell ref="Y60:Y61"/>
    <mergeCell ref="Z60:Z61"/>
    <mergeCell ref="AA60:AA61"/>
    <mergeCell ref="AB60:AB61"/>
    <mergeCell ref="AC60:AC61"/>
    <mergeCell ref="AD60:AD61"/>
    <mergeCell ref="AS62:AS63"/>
    <mergeCell ref="AT62:AT63"/>
    <mergeCell ref="AU62:AU63"/>
    <mergeCell ref="AV62:AV63"/>
    <mergeCell ref="AW62:AW63"/>
    <mergeCell ref="AX62:AX63"/>
    <mergeCell ref="AT60:AT61"/>
    <mergeCell ref="AU60:AU61"/>
    <mergeCell ref="AV60:AV61"/>
    <mergeCell ref="AW60:AW61"/>
    <mergeCell ref="AX60:AX61"/>
    <mergeCell ref="AY60:AY61"/>
    <mergeCell ref="AZ60:AZ61"/>
    <mergeCell ref="BA60:BA61"/>
    <mergeCell ref="BB60:BB61"/>
    <mergeCell ref="AE62:AE63"/>
    <mergeCell ref="AF62:AF63"/>
    <mergeCell ref="AG62:AG63"/>
    <mergeCell ref="AU58:AU59"/>
    <mergeCell ref="AV58:AV59"/>
    <mergeCell ref="AX52:AX53"/>
    <mergeCell ref="AY52:AY53"/>
    <mergeCell ref="AA1:AC1"/>
    <mergeCell ref="AD1:AF1"/>
    <mergeCell ref="AA2:AC2"/>
    <mergeCell ref="AD2:AF2"/>
    <mergeCell ref="AY62:AY63"/>
    <mergeCell ref="AZ62:AZ63"/>
    <mergeCell ref="BA62:BA63"/>
    <mergeCell ref="BB62:BB63"/>
    <mergeCell ref="BC62:BC63"/>
    <mergeCell ref="BD62:BD63"/>
    <mergeCell ref="BE62:BE63"/>
    <mergeCell ref="Z62:Z63"/>
    <mergeCell ref="AA62:AA63"/>
    <mergeCell ref="AB62:AB63"/>
    <mergeCell ref="AC62:AC63"/>
    <mergeCell ref="AD62:AD63"/>
    <mergeCell ref="BE56:BE57"/>
    <mergeCell ref="AH62:AH63"/>
    <mergeCell ref="AI62:AI63"/>
    <mergeCell ref="AJ62:AJ63"/>
    <mergeCell ref="AK62:AK63"/>
    <mergeCell ref="AL62:AL63"/>
    <mergeCell ref="AM62:AM63"/>
    <mergeCell ref="AN62:AN63"/>
    <mergeCell ref="AO62:AO63"/>
    <mergeCell ref="AP62:AP63"/>
    <mergeCell ref="AQ62:AQ63"/>
    <mergeCell ref="AR62:AR63"/>
    <mergeCell ref="BO52:BO53"/>
    <mergeCell ref="BP52:BP53"/>
    <mergeCell ref="BO54:BO55"/>
    <mergeCell ref="BP54:BP55"/>
    <mergeCell ref="BO56:BO57"/>
    <mergeCell ref="BP56:BP57"/>
    <mergeCell ref="BO58:BO59"/>
    <mergeCell ref="BP58:BP59"/>
    <mergeCell ref="BO60:BO61"/>
    <mergeCell ref="BP60:BP61"/>
    <mergeCell ref="BO62:BO63"/>
    <mergeCell ref="BP62:BP63"/>
    <mergeCell ref="BA58:BA59"/>
    <mergeCell ref="BB58:BB59"/>
    <mergeCell ref="BC58:BC59"/>
    <mergeCell ref="BD58:BD59"/>
    <mergeCell ref="BE58:BE59"/>
    <mergeCell ref="BC56:BC57"/>
    <mergeCell ref="BD56:BD57"/>
    <mergeCell ref="BC60:BC61"/>
    <mergeCell ref="BD60:BD61"/>
    <mergeCell ref="BE60:BE61"/>
    <mergeCell ref="BA56:BA57"/>
    <mergeCell ref="BB56:BB57"/>
    <mergeCell ref="BD54:BD55"/>
    <mergeCell ref="BE54:BE55"/>
  </mergeCells>
  <phoneticPr fontId="20" type="noConversion"/>
  <conditionalFormatting sqref="O33:R33">
    <cfRule type="beginsWith" dxfId="1181" priority="1" operator="beginsWith" text="?">
      <formula>LEFT(O33,LEN("?"))="?"</formula>
    </cfRule>
    <cfRule type="containsText" dxfId="1178" priority="4" operator="containsText" text="NP">
      <formula>NOT(ISERROR(SEARCH("NP",O33)))</formula>
    </cfRule>
    <cfRule type="containsText" dxfId="1176" priority="6" operator="containsText" text="N">
      <formula>NOT(ISERROR(SEARCH("N",O33)))</formula>
    </cfRule>
    <cfRule type="containsText" dxfId="1175" priority="7" operator="containsText" text="S">
      <formula>NOT(ISERROR(SEARCH("S",O33)))</formula>
    </cfRule>
    <cfRule type="containsText" dxfId="1173" priority="9" operator="containsText" text="NP">
      <formula>NOT(ISERROR(SEARCH("NP",O33)))</formula>
    </cfRule>
    <cfRule type="containsText" dxfId="1171" priority="11" operator="containsText" text="N">
      <formula>NOT(ISERROR(SEARCH("N",O33)))</formula>
    </cfRule>
  </conditionalFormatting>
  <conditionalFormatting sqref="O180:T180 O185:P204 S185:T204 BA34:BD34 O33:AV33 AX33:BD33 AI34:AJ34">
    <cfRule type="containsText" dxfId="1170" priority="254" operator="containsText" text="S">
      <formula>NOT(ISERROR(SEARCH("S",O33)))</formula>
    </cfRule>
    <cfRule type="containsText" dxfId="1169" priority="256" operator="containsText" text="NP">
      <formula>NOT(ISERROR(SEARCH("NP",O33)))</formula>
    </cfRule>
    <cfRule type="containsText" dxfId="1168" priority="258" operator="containsText" text="N">
      <formula>NOT(ISERROR(SEARCH("N",O33)))</formula>
    </cfRule>
  </conditionalFormatting>
  <conditionalFormatting sqref="O10:X10">
    <cfRule type="beginsWith" dxfId="1164" priority="15" operator="beginsWith" text="?">
      <formula>LEFT(O10,LEN("?"))="?"</formula>
    </cfRule>
    <cfRule type="containsText" dxfId="1162" priority="17" operator="containsText" text="S">
      <formula>NOT(ISERROR(SEARCH("S",O10)))</formula>
    </cfRule>
    <cfRule type="containsText" dxfId="1160" priority="19" operator="containsText" text="NP">
      <formula>NOT(ISERROR(SEARCH("NP",O10)))</formula>
    </cfRule>
    <cfRule type="containsText" dxfId="1158" priority="21" operator="containsText" text="N">
      <formula>NOT(ISERROR(SEARCH("N",O10)))</formula>
    </cfRule>
  </conditionalFormatting>
  <conditionalFormatting sqref="O36:AI37 AK36:AV37 AL205:AV205 AY31:BD31 AY34:BD37 O30:AV30 O33:AV35 AX30:BD30 AX33:BD33 AX9:BD10">
    <cfRule type="beginsWith" dxfId="1157" priority="321" operator="beginsWith" text="?">
      <formula>LEFT(O9,LEN("?"))="?"</formula>
    </cfRule>
  </conditionalFormatting>
  <conditionalFormatting sqref="O205:AJ206">
    <cfRule type="beginsWith" dxfId="1156" priority="266" operator="beginsWith" text="?">
      <formula>LEFT(O205,LEN("?"))="?"</formula>
    </cfRule>
  </conditionalFormatting>
  <conditionalFormatting sqref="O9:AV10">
    <cfRule type="beginsWith" dxfId="1155" priority="267" operator="beginsWith" text="?">
      <formula>LEFT(O9,LEN("?"))="?"</formula>
    </cfRule>
    <cfRule type="containsText" dxfId="1153" priority="269" operator="containsText" text="S">
      <formula>NOT(ISERROR(SEARCH("S",O9)))</formula>
    </cfRule>
    <cfRule type="containsText" dxfId="1151" priority="271" operator="containsText" text="NP">
      <formula>NOT(ISERROR(SEARCH("NP",O9)))</formula>
    </cfRule>
    <cfRule type="containsText" dxfId="1149" priority="273" operator="containsText" text="N">
      <formula>NOT(ISERROR(SEARCH("N",O9)))</formula>
    </cfRule>
  </conditionalFormatting>
  <conditionalFormatting sqref="O12:AV28 O36:AI37 AK36:AV38 O38:AJ39 O51:AV51 AL64:AV68 O64:AK69 AL69:AW69 AT81:AV99 O81:AS100 AK112:AV125 O112:AJ129 AV126:AV128 AK126:AU129 AV129:AW129 BA142:BD143 BA145:BD146 BA148:BD149 O155:AV179 U180:Y180 U190:AJ197 Q200:R204 U200:AF204 AG200:AJ205 AL200:AV205 O205:AF205 AX12:BD28 O106:BD106 AX34:AX38 AK39:AX39 O41:BD41 O43:BD43 O45:BD45 O47:BD47 O49:BD49 AX51:BD51 O52:BD52 AX64:BD69 O75:BD75 AX81:AX99 AY81:BD100 AT100:AX100 AX112:BD129 O134:BD134 BA139:BD140 BB179:BD179 BA179:BA180 AX200:BA205 O54:BD54 O56:BD56 O58:BD58 O60:BD60 O62:BD62 O31:BD31 AY34:BD39 AX30:BD30 AX33:BD33 O30:AV30 O33:AV35">
    <cfRule type="containsText" dxfId="1148" priority="899" operator="containsText" text="S">
      <formula>NOT(ISERROR(SEARCH("S",O12)))</formula>
    </cfRule>
  </conditionalFormatting>
  <conditionalFormatting sqref="O12:AV28 AX12:BD28 O36:AI37 O31:AX31 AK36:AV38 AX38 O38:AJ39 AY38:BD39 AK39:AX39 O41:BD41 O43:BD43 O45:BD45 O47:BD47 O49:BD49 O51:AV51 AX51:BD51 O52:BD52 O54:BD54 O56:BD56 O58:BD58 O60:BD60 O62:BD62 AL64:AV68 O64:AK69 AX64:BD69 AL69:AW69 O75:BD75 AT81:AV99 AX81:AX99 O81:AS100 AY81:BD100 AT100:AX100 O106:BD106 AK112:AV125 O112:AJ129 AX112:BD129 AV126:AV128 AK126:AU129 AV129:AW129 O134:BD134 BA139:BD140 BA142:BD143 BA145:BD146 BA148:BD149 O155:AV179 BB179:BD179 BA179:BA180 U180:Y180 U190:AJ197 Q200:R204 U200:AF204 AG200:AJ205 AL200:AV205 AX200:BA205 O205:AF205 AX30:BD30 AX33:BD33">
    <cfRule type="containsText" dxfId="1146" priority="901" operator="containsText" text="NP">
      <formula>NOT(ISERROR(SEARCH("NP",O12)))</formula>
    </cfRule>
    <cfRule type="containsText" dxfId="1144" priority="903" operator="containsText" text="N">
      <formula>NOT(ISERROR(SEARCH("N",O12)))</formula>
    </cfRule>
  </conditionalFormatting>
  <conditionalFormatting sqref="O12:AV28">
    <cfRule type="beginsWith" dxfId="1143" priority="156" operator="beginsWith" text="?">
      <formula>LEFT(O12,LEN("?"))="?"</formula>
    </cfRule>
  </conditionalFormatting>
  <conditionalFormatting sqref="BA154:BD154 AX155:AX179 AZ155:BD179 AY155:AY180 AL180:AX180 AZ180:BA180 BA180:BA185 BD180:BD185 O30:AV30 O33:AV35 AY31:BD31 AX34:BD37">
    <cfRule type="containsText" dxfId="1142" priority="174" operator="containsText" text="NP">
      <formula>NOT(ISERROR(SEARCH("NP",O30)))</formula>
    </cfRule>
    <cfRule type="containsText" dxfId="1140" priority="176" operator="containsText" text="N">
      <formula>NOT(ISERROR(SEARCH("N",O30)))</formula>
    </cfRule>
  </conditionalFormatting>
  <conditionalFormatting sqref="O54:BD54">
    <cfRule type="beginsWith" dxfId="1139" priority="37" operator="beginsWith" text="?">
      <formula>LEFT(O54,LEN("?"))="?"</formula>
    </cfRule>
  </conditionalFormatting>
  <conditionalFormatting sqref="O56:BD56">
    <cfRule type="beginsWith" dxfId="1137" priority="35" operator="beginsWith" text="?">
      <formula>LEFT(O56,LEN("?"))="?"</formula>
    </cfRule>
  </conditionalFormatting>
  <conditionalFormatting sqref="O58:BD58">
    <cfRule type="beginsWith" dxfId="1135" priority="33" operator="beginsWith" text="?">
      <formula>LEFT(O58,LEN("?"))="?"</formula>
    </cfRule>
  </conditionalFormatting>
  <conditionalFormatting sqref="O60:BD60">
    <cfRule type="beginsWith" dxfId="1133" priority="31" operator="beginsWith" text="?">
      <formula>LEFT(O60,LEN("?"))="?"</formula>
    </cfRule>
  </conditionalFormatting>
  <conditionalFormatting sqref="O62:BD62">
    <cfRule type="beginsWith" dxfId="1131" priority="29" operator="beginsWith" text="?">
      <formula>LEFT(O62,LEN("?"))="?"</formula>
    </cfRule>
  </conditionalFormatting>
  <conditionalFormatting sqref="S139:S141">
    <cfRule type="beginsWith" dxfId="1129" priority="642" operator="beginsWith" text="?">
      <formula>LEFT(S139,LEN("?"))="?"</formula>
    </cfRule>
    <cfRule type="containsText" dxfId="1127" priority="644" operator="containsText" text="S">
      <formula>NOT(ISERROR(SEARCH("S",S139)))</formula>
    </cfRule>
    <cfRule type="containsText" dxfId="1125" priority="646" operator="containsText" text="NP">
      <formula>NOT(ISERROR(SEARCH("NP",S139)))</formula>
    </cfRule>
    <cfRule type="containsText" dxfId="1123" priority="648" operator="containsText" text="N">
      <formula>NOT(ISERROR(SEARCH("N",S139)))</formula>
    </cfRule>
  </conditionalFormatting>
  <conditionalFormatting sqref="S151">
    <cfRule type="beginsWith" dxfId="1122" priority="614" operator="beginsWith" text="?">
      <formula>LEFT(S151,LEN("?"))="?"</formula>
    </cfRule>
    <cfRule type="containsText" dxfId="1120" priority="616" operator="containsText" text="S">
      <formula>NOT(ISERROR(SEARCH("S",S151)))</formula>
    </cfRule>
    <cfRule type="containsText" dxfId="1118" priority="618" operator="containsText" text="NP">
      <formula>NOT(ISERROR(SEARCH("NP",S151)))</formula>
    </cfRule>
    <cfRule type="containsText" dxfId="1116" priority="620" operator="containsText" text="N">
      <formula>NOT(ISERROR(SEARCH("N",S151)))</formula>
    </cfRule>
  </conditionalFormatting>
  <conditionalFormatting sqref="S185:T204">
    <cfRule type="beginsWith" dxfId="1115" priority="259" operator="beginsWith" text="?">
      <formula>LEFT(S185,LEN("?"))="?"</formula>
    </cfRule>
  </conditionalFormatting>
  <conditionalFormatting sqref="T142:T144">
    <cfRule type="beginsWith" dxfId="1114" priority="635" operator="beginsWith" text="?">
      <formula>LEFT(T142,LEN("?"))="?"</formula>
    </cfRule>
    <cfRule type="containsText" dxfId="1112" priority="637" operator="containsText" text="S">
      <formula>NOT(ISERROR(SEARCH("S",T142)))</formula>
    </cfRule>
    <cfRule type="containsText" dxfId="1110" priority="639" operator="containsText" text="NP">
      <formula>NOT(ISERROR(SEARCH("NP",T142)))</formula>
    </cfRule>
    <cfRule type="containsText" dxfId="1108" priority="641" operator="containsText" text="N">
      <formula>NOT(ISERROR(SEARCH("N",T142)))</formula>
    </cfRule>
  </conditionalFormatting>
  <conditionalFormatting sqref="T152">
    <cfRule type="beginsWith" dxfId="1107" priority="607" operator="beginsWith" text="?">
      <formula>LEFT(T152,LEN("?"))="?"</formula>
    </cfRule>
    <cfRule type="containsText" dxfId="1105" priority="609" operator="containsText" text="S">
      <formula>NOT(ISERROR(SEARCH("S",T152)))</formula>
    </cfRule>
    <cfRule type="containsText" dxfId="1103" priority="611" operator="containsText" text="NP">
      <formula>NOT(ISERROR(SEARCH("NP",T152)))</formula>
    </cfRule>
    <cfRule type="containsText" dxfId="1101" priority="613" operator="containsText" text="N">
      <formula>NOT(ISERROR(SEARCH("N",T152)))</formula>
    </cfRule>
  </conditionalFormatting>
  <conditionalFormatting sqref="U145:U147">
    <cfRule type="beginsWith" dxfId="1100" priority="628" operator="beginsWith" text="?">
      <formula>LEFT(U145,LEN("?"))="?"</formula>
    </cfRule>
    <cfRule type="containsText" dxfId="1098" priority="630" operator="containsText" text="S">
      <formula>NOT(ISERROR(SEARCH("S",U145)))</formula>
    </cfRule>
    <cfRule type="containsText" dxfId="1096" priority="632" operator="containsText" text="NP">
      <formula>NOT(ISERROR(SEARCH("NP",U145)))</formula>
    </cfRule>
    <cfRule type="containsText" dxfId="1094" priority="634" operator="containsText" text="N">
      <formula>NOT(ISERROR(SEARCH("N",U145)))</formula>
    </cfRule>
  </conditionalFormatting>
  <conditionalFormatting sqref="U153">
    <cfRule type="beginsWith" dxfId="1093" priority="600" operator="beginsWith" text="?">
      <formula>LEFT(U153,LEN("?"))="?"</formula>
    </cfRule>
    <cfRule type="containsText" dxfId="1091" priority="602" operator="containsText" text="S">
      <formula>NOT(ISERROR(SEARCH("S",U153)))</formula>
    </cfRule>
    <cfRule type="containsText" dxfId="1089" priority="604" operator="containsText" text="NP">
      <formula>NOT(ISERROR(SEARCH("NP",U153)))</formula>
    </cfRule>
    <cfRule type="containsText" dxfId="1087" priority="606" operator="containsText" text="N">
      <formula>NOT(ISERROR(SEARCH("N",U153)))</formula>
    </cfRule>
  </conditionalFormatting>
  <conditionalFormatting sqref="U185:AJ189 AL185:AV189 Q185:R197 BA186:BA189">
    <cfRule type="containsText" dxfId="1084" priority="333" operator="containsText" text="S">
      <formula>NOT(ISERROR(SEARCH("S",Q185)))</formula>
    </cfRule>
    <cfRule type="containsText" dxfId="1083" priority="335" operator="containsText" text="NP">
      <formula>NOT(ISERROR(SEARCH("NP",Q185)))</formula>
    </cfRule>
    <cfRule type="containsText" dxfId="1082" priority="337" operator="containsText" text="N">
      <formula>NOT(ISERROR(SEARCH("N",Q185)))</formula>
    </cfRule>
  </conditionalFormatting>
  <conditionalFormatting sqref="U185:AJ189 AL185:AV189 BA186:BA197">
    <cfRule type="beginsWith" dxfId="1081" priority="331" operator="beginsWith" text="?">
      <formula>LEFT(U185,LEN("?"))="?"</formula>
    </cfRule>
  </conditionalFormatting>
  <conditionalFormatting sqref="U190:AJ197 U200:AJ204 BA13:BD28 BA106:BD106 O179:AV179 U180:Y180 AK38:AV38 O38:AJ39 O51:AV51 AL64:AV68 O64:AK69 AL69:AW69 O81:AS100 O112:AU129">
    <cfRule type="beginsWith" dxfId="1080" priority="733" operator="beginsWith" text="?">
      <formula>LEFT(O13,LEN("?"))="?"</formula>
    </cfRule>
  </conditionalFormatting>
  <conditionalFormatting sqref="U198:BA199 O210:AZ210">
    <cfRule type="containsText" dxfId="1078" priority="190" operator="containsText" text="S">
      <formula>NOT(ISERROR(SEARCH("S",O198)))</formula>
    </cfRule>
    <cfRule type="containsText" dxfId="1076" priority="192" operator="containsText" text="NP">
      <formula>NOT(ISERROR(SEARCH("NP",O198)))</formula>
    </cfRule>
    <cfRule type="containsText" dxfId="1074" priority="194" operator="containsText" text="N">
      <formula>NOT(ISERROR(SEARCH("N",O198)))</formula>
    </cfRule>
    <cfRule type="beginsWith" dxfId="1073" priority="195" operator="beginsWith" text="?">
      <formula>LEFT(O198,LEN("?"))="?"</formula>
    </cfRule>
  </conditionalFormatting>
  <conditionalFormatting sqref="V148:V150">
    <cfRule type="beginsWith" dxfId="1072" priority="621" operator="beginsWith" text="?">
      <formula>LEFT(V148,LEN("?"))="?"</formula>
    </cfRule>
    <cfRule type="containsText" dxfId="1070" priority="623" operator="containsText" text="S">
      <formula>NOT(ISERROR(SEARCH("S",V148)))</formula>
    </cfRule>
    <cfRule type="containsText" dxfId="1068" priority="625" operator="containsText" text="NP">
      <formula>NOT(ISERROR(SEARCH("NP",V148)))</formula>
    </cfRule>
    <cfRule type="containsText" dxfId="1066" priority="627" operator="containsText" text="N">
      <formula>NOT(ISERROR(SEARCH("N",V148)))</formula>
    </cfRule>
  </conditionalFormatting>
  <conditionalFormatting sqref="V190:V197 V200:V204">
    <cfRule type="beginsWith" dxfId="1065" priority="593" operator="beginsWith" text="?">
      <formula>LEFT(V190,LEN("?"))="?"</formula>
    </cfRule>
    <cfRule type="containsText" dxfId="1063" priority="595" operator="containsText" text="S">
      <formula>NOT(ISERROR(SEARCH("S",V190)))</formula>
    </cfRule>
    <cfRule type="containsText" dxfId="1061" priority="597" operator="containsText" text="NP">
      <formula>NOT(ISERROR(SEARCH("NP",V190)))</formula>
    </cfRule>
    <cfRule type="containsText" dxfId="1059" priority="599" operator="containsText" text="N">
      <formula>NOT(ISERROR(SEARCH("N",V190)))</formula>
    </cfRule>
  </conditionalFormatting>
  <conditionalFormatting sqref="Z180:AK180 AK185:AK197 AK200:AK206">
    <cfRule type="containsText" dxfId="1056" priority="239" operator="containsText" text="S">
      <formula>NOT(ISERROR(SEARCH("S",Z180)))</formula>
    </cfRule>
    <cfRule type="containsText" dxfId="1054" priority="241" operator="containsText" text="NP">
      <formula>NOT(ISERROR(SEARCH("NP",Z180)))</formula>
    </cfRule>
    <cfRule type="containsText" dxfId="1052" priority="243" operator="containsText" text="N">
      <formula>NOT(ISERROR(SEARCH("N",Z180)))</formula>
    </cfRule>
    <cfRule type="beginsWith" dxfId="1051" priority="244" operator="beginsWith" text="?">
      <formula>LEFT(Z180,LEN("?"))="?"</formula>
    </cfRule>
  </conditionalFormatting>
  <conditionalFormatting sqref="Z10:AV10">
    <cfRule type="beginsWith" dxfId="1050" priority="22" operator="beginsWith" text="?">
      <formula>LEFT(Z10,LEN("?"))="?"</formula>
    </cfRule>
    <cfRule type="containsText" dxfId="1048" priority="24" operator="containsText" text="S">
      <formula>NOT(ISERROR(SEARCH("S",Z10)))</formula>
    </cfRule>
    <cfRule type="containsText" dxfId="1046" priority="26" operator="containsText" text="NP">
      <formula>NOT(ISERROR(SEARCH("NP",Z10)))</formula>
    </cfRule>
    <cfRule type="containsText" dxfId="1044" priority="28" operator="containsText" text="N">
      <formula>NOT(ISERROR(SEARCH("N",Z10)))</formula>
    </cfRule>
  </conditionalFormatting>
  <conditionalFormatting sqref="AG29:AH29">
    <cfRule type="beginsWith" dxfId="1043" priority="146" operator="beginsWith" text="?">
      <formula>LEFT(AG29,LEN("?"))="?"</formula>
    </cfRule>
    <cfRule type="containsText" dxfId="1041" priority="148" operator="containsText" text="S">
      <formula>NOT(ISERROR(SEARCH("S",AG29)))</formula>
    </cfRule>
    <cfRule type="containsText" dxfId="1039" priority="150" operator="containsText" text="NP">
      <formula>NOT(ISERROR(SEARCH("NP",AG29)))</formula>
    </cfRule>
    <cfRule type="containsText" dxfId="1037" priority="152" operator="containsText" text="N">
      <formula>NOT(ISERROR(SEARCH("N",AG29)))</formula>
    </cfRule>
  </conditionalFormatting>
  <conditionalFormatting sqref="AI36:AJ36">
    <cfRule type="beginsWith" dxfId="1036" priority="40" operator="beginsWith" text="?">
      <formula>LEFT(AI36,LEN("?"))="?"</formula>
    </cfRule>
    <cfRule type="containsText" dxfId="1035" priority="42" operator="containsText" text="S">
      <formula>NOT(ISERROR(SEARCH("S",AI36)))</formula>
    </cfRule>
    <cfRule type="containsText" dxfId="1034" priority="44" operator="containsText" text="NP">
      <formula>NOT(ISERROR(SEARCH("NP",AI36)))</formula>
    </cfRule>
    <cfRule type="containsText" dxfId="1033" priority="46" operator="containsText" text="N">
      <formula>NOT(ISERROR(SEARCH("N",AI36)))</formula>
    </cfRule>
  </conditionalFormatting>
  <conditionalFormatting sqref="AL151 AP151">
    <cfRule type="beginsWith" dxfId="1029" priority="684" operator="beginsWith" text="?">
      <formula>LEFT(AL151,LEN("?"))="?"</formula>
    </cfRule>
    <cfRule type="containsText" dxfId="1027" priority="686" operator="containsText" text="S">
      <formula>NOT(ISERROR(SEARCH("S",AL151)))</formula>
    </cfRule>
    <cfRule type="containsText" dxfId="1025" priority="688" operator="containsText" text="NP">
      <formula>NOT(ISERROR(SEARCH("NP",AL151)))</formula>
    </cfRule>
    <cfRule type="containsText" dxfId="1023" priority="690" operator="containsText" text="N">
      <formula>NOT(ISERROR(SEARCH("N",AL151)))</formula>
    </cfRule>
  </conditionalFormatting>
  <conditionalFormatting sqref="AL200:AW204">
    <cfRule type="beginsWith" dxfId="1022" priority="698" operator="beginsWith" text="?">
      <formula>LEFT(AL200,LEN("?"))="?"</formula>
    </cfRule>
  </conditionalFormatting>
  <conditionalFormatting sqref="AM152 AQ152">
    <cfRule type="beginsWith" dxfId="1021" priority="677" operator="beginsWith" text="?">
      <formula>LEFT(AM152,LEN("?"))="?"</formula>
    </cfRule>
    <cfRule type="containsText" dxfId="1019" priority="679" operator="containsText" text="S">
      <formula>NOT(ISERROR(SEARCH("S",AM152)))</formula>
    </cfRule>
    <cfRule type="containsText" dxfId="1017" priority="681" operator="containsText" text="NP">
      <formula>NOT(ISERROR(SEARCH("NP",AM152)))</formula>
    </cfRule>
    <cfRule type="containsText" dxfId="1015" priority="683" operator="containsText" text="N">
      <formula>NOT(ISERROR(SEARCH("N",AM152)))</formula>
    </cfRule>
  </conditionalFormatting>
  <conditionalFormatting sqref="AN153">
    <cfRule type="beginsWith" dxfId="1014" priority="649" operator="beginsWith" text="?">
      <formula>LEFT(AN153,LEN("?"))="?"</formula>
    </cfRule>
    <cfRule type="containsText" dxfId="1012" priority="651" operator="containsText" text="S">
      <formula>NOT(ISERROR(SEARCH("S",AN153)))</formula>
    </cfRule>
    <cfRule type="containsText" dxfId="1010" priority="653" operator="containsText" text="NP">
      <formula>NOT(ISERROR(SEARCH("NP",AN153)))</formula>
    </cfRule>
    <cfRule type="containsText" dxfId="1008" priority="655" operator="containsText" text="N">
      <formula>NOT(ISERROR(SEARCH("N",AN153)))</formula>
    </cfRule>
  </conditionalFormatting>
  <conditionalFormatting sqref="AO190:AO197 AO200:AO204">
    <cfRule type="containsText" dxfId="1007" priority="658" operator="containsText" text="S">
      <formula>NOT(ISERROR(SEARCH("S",AO190)))</formula>
    </cfRule>
    <cfRule type="containsText" dxfId="1005" priority="660" operator="containsText" text="NP">
      <formula>NOT(ISERROR(SEARCH("NP",AO190)))</formula>
    </cfRule>
    <cfRule type="containsText" dxfId="1003" priority="662" operator="containsText" text="N">
      <formula>NOT(ISERROR(SEARCH("N",AO190)))</formula>
    </cfRule>
  </conditionalFormatting>
  <conditionalFormatting sqref="AO200:AO204">
    <cfRule type="beginsWith" dxfId="1001" priority="656" operator="beginsWith" text="?">
      <formula>LEFT(AO200,LEN("?"))="?"</formula>
    </cfRule>
  </conditionalFormatting>
  <conditionalFormatting sqref="AR153">
    <cfRule type="beginsWith" dxfId="1000" priority="670" operator="beginsWith" text="?">
      <formula>LEFT(AR153,LEN("?"))="?"</formula>
    </cfRule>
    <cfRule type="containsText" dxfId="998" priority="672" operator="containsText" text="S">
      <formula>NOT(ISERROR(SEARCH("S",AR153)))</formula>
    </cfRule>
    <cfRule type="containsText" dxfId="996" priority="674" operator="containsText" text="NP">
      <formula>NOT(ISERROR(SEARCH("NP",AR153)))</formula>
    </cfRule>
    <cfRule type="containsText" dxfId="994" priority="676" operator="containsText" text="N">
      <formula>NOT(ISERROR(SEARCH("N",AR153)))</formula>
    </cfRule>
  </conditionalFormatting>
  <conditionalFormatting sqref="AS190:AS197 AS200:AS204">
    <cfRule type="containsText" dxfId="993" priority="665" operator="containsText" text="S">
      <formula>NOT(ISERROR(SEARCH("S",AS190)))</formula>
    </cfRule>
    <cfRule type="containsText" dxfId="991" priority="667" operator="containsText" text="NP">
      <formula>NOT(ISERROR(SEARCH("NP",AS190)))</formula>
    </cfRule>
    <cfRule type="containsText" dxfId="989" priority="669" operator="containsText" text="N">
      <formula>NOT(ISERROR(SEARCH("N",AS190)))</formula>
    </cfRule>
  </conditionalFormatting>
  <conditionalFormatting sqref="AS200:AS204">
    <cfRule type="beginsWith" dxfId="987" priority="663" operator="beginsWith" text="?">
      <formula>LEFT(AS200,LEN("?"))="?"</formula>
    </cfRule>
  </conditionalFormatting>
  <conditionalFormatting sqref="AT151 AX151:AY151">
    <cfRule type="beginsWith" dxfId="986" priority="726" operator="beginsWith" text="?">
      <formula>LEFT(AT151,LEN("?"))="?"</formula>
    </cfRule>
    <cfRule type="containsText" dxfId="984" priority="728" operator="containsText" text="S">
      <formula>NOT(ISERROR(SEARCH("S",AT151)))</formula>
    </cfRule>
    <cfRule type="containsText" dxfId="982" priority="730" operator="containsText" text="NP">
      <formula>NOT(ISERROR(SEARCH("NP",AT151)))</formula>
    </cfRule>
    <cfRule type="containsText" dxfId="980" priority="732" operator="containsText" text="N">
      <formula>NOT(ISERROR(SEARCH("N",AT151)))</formula>
    </cfRule>
  </conditionalFormatting>
  <conditionalFormatting sqref="AT81:AV99 AV112:AV128 AV129:AW129 BA142:BD143 BA145:BD146 BA148:BD149">
    <cfRule type="beginsWith" dxfId="978" priority="897" operator="beginsWith" text="?">
      <formula>LEFT(AT81,LEN("?"))="?"</formula>
    </cfRule>
  </conditionalFormatting>
  <conditionalFormatting sqref="AU152">
    <cfRule type="beginsWith" dxfId="976" priority="719" operator="beginsWith" text="?">
      <formula>LEFT(AU152,LEN("?"))="?"</formula>
    </cfRule>
    <cfRule type="containsText" dxfId="974" priority="721" operator="containsText" text="S">
      <formula>NOT(ISERROR(SEARCH("S",AU152)))</formula>
    </cfRule>
    <cfRule type="containsText" dxfId="972" priority="723" operator="containsText" text="NP">
      <formula>NOT(ISERROR(SEARCH("NP",AU152)))</formula>
    </cfRule>
    <cfRule type="containsText" dxfId="970" priority="725" operator="containsText" text="N">
      <formula>NOT(ISERROR(SEARCH("N",AU152)))</formula>
    </cfRule>
  </conditionalFormatting>
  <conditionalFormatting sqref="AV153">
    <cfRule type="beginsWith" dxfId="969" priority="691" operator="beginsWith" text="?">
      <formula>LEFT(AV153,LEN("?"))="?"</formula>
    </cfRule>
    <cfRule type="containsText" dxfId="967" priority="693" operator="containsText" text="S">
      <formula>NOT(ISERROR(SEARCH("S",AV153)))</formula>
    </cfRule>
    <cfRule type="containsText" dxfId="965" priority="695" operator="containsText" text="NP">
      <formula>NOT(ISERROR(SEARCH("NP",AV153)))</formula>
    </cfRule>
    <cfRule type="containsText" dxfId="963" priority="697" operator="containsText" text="N">
      <formula>NOT(ISERROR(SEARCH("N",AV153)))</formula>
    </cfRule>
  </conditionalFormatting>
  <conditionalFormatting sqref="AW154 AW179:AW185 O206:AJ206 AX9:BD10">
    <cfRule type="containsText" dxfId="961" priority="261" operator="containsText" text="S">
      <formula>NOT(ISERROR(SEARCH("S",O9)))</formula>
    </cfRule>
    <cfRule type="containsText" dxfId="959" priority="263" operator="containsText" text="NP">
      <formula>NOT(ISERROR(SEARCH("NP",O9)))</formula>
    </cfRule>
    <cfRule type="containsText" dxfId="957" priority="265" operator="containsText" text="N">
      <formula>NOT(ISERROR(SEARCH("N",O9)))</formula>
    </cfRule>
  </conditionalFormatting>
  <conditionalFormatting sqref="AW200:AW204">
    <cfRule type="containsText" dxfId="955" priority="700" operator="containsText" text="S">
      <formula>NOT(ISERROR(SEARCH("S",AW200)))</formula>
    </cfRule>
    <cfRule type="containsText" dxfId="953" priority="702" operator="containsText" text="NP">
      <formula>NOT(ISERROR(SEARCH("NP",AW200)))</formula>
    </cfRule>
    <cfRule type="containsText" dxfId="951" priority="704" operator="containsText" text="N">
      <formula>NOT(ISERROR(SEARCH("N",AW200)))</formula>
    </cfRule>
  </conditionalFormatting>
  <conditionalFormatting sqref="AX34:AX37 O180:T180">
    <cfRule type="beginsWith" dxfId="950" priority="252" operator="beginsWith" text="?">
      <formula>LEFT(O34,LEN("?"))="?"</formula>
    </cfRule>
  </conditionalFormatting>
  <conditionalFormatting sqref="AX185:AX189 AY185:BA197 AL190:AX197 Q198:R199 AL206:AZ206">
    <cfRule type="containsText" dxfId="949" priority="197" operator="containsText" text="S">
      <formula>NOT(ISERROR(SEARCH("S",Q185)))</formula>
    </cfRule>
    <cfRule type="containsText" dxfId="947" priority="199" operator="containsText" text="NP">
      <formula>NOT(ISERROR(SEARCH("NP",Q185)))</formula>
    </cfRule>
    <cfRule type="containsText" dxfId="945" priority="201" operator="containsText" text="N">
      <formula>NOT(ISERROR(SEARCH("N",Q185)))</formula>
    </cfRule>
  </conditionalFormatting>
  <conditionalFormatting sqref="V154 AO154 AS154 V179:V185 AO179:AO185 AS179:AS185 BA190:BA197 BA200:BA204">
    <cfRule type="containsText" dxfId="943" priority="299" operator="containsText" text="S">
      <formula>NOT(ISERROR(SEARCH("S",V154)))</formula>
    </cfRule>
    <cfRule type="containsText" dxfId="941" priority="301" operator="containsText" text="NP">
      <formula>NOT(ISERROR(SEARCH("NP",V154)))</formula>
    </cfRule>
    <cfRule type="containsText" dxfId="939" priority="303" operator="containsText" text="N">
      <formula>NOT(ISERROR(SEARCH("N",V154)))</formula>
    </cfRule>
  </conditionalFormatting>
  <conditionalFormatting sqref="AZ153">
    <cfRule type="beginsWith" dxfId="937" priority="712" operator="beginsWith" text="?">
      <formula>LEFT(AZ153,LEN("?"))="?"</formula>
    </cfRule>
    <cfRule type="containsText" dxfId="935" priority="714" operator="containsText" text="S">
      <formula>NOT(ISERROR(SEARCH("S",AZ153)))</formula>
    </cfRule>
    <cfRule type="containsText" dxfId="933" priority="716" operator="containsText" text="NP">
      <formula>NOT(ISERROR(SEARCH("NP",AZ153)))</formula>
    </cfRule>
    <cfRule type="containsText" dxfId="931" priority="718" operator="containsText" text="N">
      <formula>NOT(ISERROR(SEARCH("N",AZ153)))</formula>
    </cfRule>
  </conditionalFormatting>
  <conditionalFormatting sqref="AZ180:BC180 BB185:BC204">
    <cfRule type="containsText" dxfId="930" priority="64" operator="containsText" text="S">
      <formula>NOT(ISERROR(SEARCH("S",AZ180)))</formula>
    </cfRule>
  </conditionalFormatting>
  <conditionalFormatting sqref="AZ155:BD179 BA154:BD154 AX155:AX179 AY155:AY180 AL180:AX180 BA180:BA185 BD180:BD185">
    <cfRule type="containsText" dxfId="929" priority="172" operator="containsText" text="S">
      <formula>NOT(ISERROR(SEARCH("S",AL154)))</formula>
    </cfRule>
  </conditionalFormatting>
  <conditionalFormatting sqref="BA180:BA185 AX185:AX189 AY185:BA197 O185:R204 AL190:AX197 AY200:AY206 AL206:AX206 AZ206 AX81:AX99 AY81:BD100 BA154:BC154 BD154:BD204 AZ155:BC178 AX155:AX179 AY155:AY180 BB156:BD159 BB161:BD169 AZ179:BD179 AW179:AW185 AL180:AX180 AZ180:BA180 AX12:BD28 O31:AX31 AX38 AY38:BD39 AK39:AX39 O41:BD41 O43:BD43 O45:BD45 O47:BD47 O49:BD49 AX51:BD51 O52:BD52 AX64:BD69 O75:BD75 AT100:AX100 O106:AZ106 AX112:BD129 O134:BD134 BA139:BD140 AW154 O155:AV178 AX200:AX205 AZ200:BA205">
    <cfRule type="beginsWith" dxfId="927" priority="202" operator="beginsWith" text="?">
      <formula>LEFT(O12,LEN("?"))="?"</formula>
    </cfRule>
  </conditionalFormatting>
  <conditionalFormatting sqref="BA190:BA197 AO179:AO185 AS179:AS185 V154 AO154 AS154 V179:V185 BA200:BA204">
    <cfRule type="beginsWith" dxfId="926" priority="297" operator="beginsWith" text="?">
      <formula>LEFT(V154,LEN("?"))="?"</formula>
    </cfRule>
  </conditionalFormatting>
  <conditionalFormatting sqref="BA36:BD36">
    <cfRule type="beginsWith" dxfId="923" priority="48" operator="beginsWith" text="?">
      <formula>LEFT(BA36,LEN("?"))="?"</formula>
    </cfRule>
    <cfRule type="containsText" dxfId="922" priority="49" operator="containsText" text="S">
      <formula>NOT(ISERROR(SEARCH("S",BA36)))</formula>
    </cfRule>
    <cfRule type="containsText" dxfId="921" priority="50" operator="containsText" text="NP">
      <formula>NOT(ISERROR(SEARCH("NP",BA36)))</formula>
    </cfRule>
    <cfRule type="containsText" dxfId="920" priority="51" operator="containsText" text="N">
      <formula>NOT(ISERROR(SEARCH("N",BA36)))</formula>
    </cfRule>
  </conditionalFormatting>
  <conditionalFormatting sqref="BB12:BC14">
    <cfRule type="beginsWith" dxfId="918" priority="136" operator="beginsWith" text="?">
      <formula>LEFT(BB12,LEN("?"))="?"</formula>
    </cfRule>
  </conditionalFormatting>
  <conditionalFormatting sqref="BB17:BC17">
    <cfRule type="beginsWith" dxfId="917" priority="135" operator="beginsWith" text="?">
      <formula>LEFT(BB17,LEN("?"))="?"</formula>
    </cfRule>
  </conditionalFormatting>
  <conditionalFormatting sqref="BB19:BC21">
    <cfRule type="beginsWith" dxfId="916" priority="132" operator="beginsWith" text="?">
      <formula>LEFT(BB19,LEN("?"))="?"</formula>
    </cfRule>
  </conditionalFormatting>
  <conditionalFormatting sqref="BB23:BC24">
    <cfRule type="beginsWith" dxfId="915" priority="130" operator="beginsWith" text="?">
      <formula>LEFT(BB23,LEN("?"))="?"</formula>
    </cfRule>
  </conditionalFormatting>
  <conditionalFormatting sqref="BB26:BC28">
    <cfRule type="beginsWith" dxfId="914" priority="127" operator="beginsWith" text="?">
      <formula>LEFT(BB26,LEN("?"))="?"</formula>
    </cfRule>
  </conditionalFormatting>
  <conditionalFormatting sqref="BB156:BC159">
    <cfRule type="containsText" dxfId="913" priority="92" operator="containsText" text="S">
      <formula>NOT(ISERROR(SEARCH("S",BB156)))</formula>
    </cfRule>
    <cfRule type="containsText" dxfId="911" priority="94" operator="containsText" text="NP">
      <formula>NOT(ISERROR(SEARCH("NP",BB156)))</formula>
    </cfRule>
    <cfRule type="containsText" dxfId="909" priority="96" operator="containsText" text="N">
      <formula>NOT(ISERROR(SEARCH("N",BB156)))</formula>
    </cfRule>
  </conditionalFormatting>
  <conditionalFormatting sqref="BB159:BC159">
    <cfRule type="containsText" dxfId="908" priority="112" operator="containsText" text="S">
      <formula>NOT(ISERROR(SEARCH("S",BB159)))</formula>
    </cfRule>
    <cfRule type="containsText" dxfId="906" priority="114" operator="containsText" text="NP">
      <formula>NOT(ISERROR(SEARCH("NP",BB159)))</formula>
    </cfRule>
    <cfRule type="containsText" dxfId="904" priority="116" operator="containsText" text="N">
      <formula>NOT(ISERROR(SEARCH("N",BB159)))</formula>
    </cfRule>
  </conditionalFormatting>
  <conditionalFormatting sqref="BB161:BC169">
    <cfRule type="containsText" dxfId="903" priority="107" operator="containsText" text="S">
      <formula>NOT(ISERROR(SEARCH("S",BB161)))</formula>
    </cfRule>
    <cfRule type="containsText" dxfId="901" priority="109" operator="containsText" text="NP">
      <formula>NOT(ISERROR(SEARCH("NP",BB161)))</formula>
    </cfRule>
    <cfRule type="containsText" dxfId="899" priority="111" operator="containsText" text="N">
      <formula>NOT(ISERROR(SEARCH("N",BB161)))</formula>
    </cfRule>
  </conditionalFormatting>
  <conditionalFormatting sqref="BB180:BC180 BB185:BC204">
    <cfRule type="containsText" dxfId="896" priority="66" operator="containsText" text="NP">
      <formula>NOT(ISERROR(SEARCH("NP",BB180)))</formula>
    </cfRule>
    <cfRule type="containsText" dxfId="894" priority="68" operator="containsText" text="N">
      <formula>NOT(ISERROR(SEARCH("N",BB180)))</formula>
    </cfRule>
  </conditionalFormatting>
  <conditionalFormatting sqref="BB180:BC180">
    <cfRule type="beginsWith" dxfId="893" priority="62" operator="beginsWith" text="?">
      <formula>LEFT(BB180,LEN("?"))="?"</formula>
    </cfRule>
  </conditionalFormatting>
  <conditionalFormatting sqref="BB185:BC206">
    <cfRule type="beginsWith" dxfId="892" priority="75" operator="beginsWith" text="?">
      <formula>LEFT(BB185,LEN("?"))="?"</formula>
    </cfRule>
  </conditionalFormatting>
  <conditionalFormatting sqref="BB205:BC205">
    <cfRule type="containsText" dxfId="890" priority="77" operator="containsText" text="S">
      <formula>NOT(ISERROR(SEARCH("S",BB205)))</formula>
    </cfRule>
    <cfRule type="containsText" dxfId="888" priority="79" operator="containsText" text="NP">
      <formula>NOT(ISERROR(SEARCH("NP",BB205)))</formula>
    </cfRule>
    <cfRule type="containsText" dxfId="886" priority="81" operator="containsText" text="N">
      <formula>NOT(ISERROR(SEARCH("N",BB205)))</formula>
    </cfRule>
  </conditionalFormatting>
  <conditionalFormatting sqref="BB156:BD158">
    <cfRule type="containsText" dxfId="885" priority="117" operator="containsText" text="S">
      <formula>NOT(ISERROR(SEARCH("S",BB156)))</formula>
    </cfRule>
    <cfRule type="containsText" dxfId="883" priority="119" operator="containsText" text="NP">
      <formula>NOT(ISERROR(SEARCH("NP",BB156)))</formula>
    </cfRule>
    <cfRule type="containsText" dxfId="881" priority="121" operator="containsText" text="N">
      <formula>NOT(ISERROR(SEARCH("N",BB156)))</formula>
    </cfRule>
  </conditionalFormatting>
  <conditionalFormatting sqref="BB156:BD159">
    <cfRule type="containsText" dxfId="880" priority="82" operator="containsText" text="S">
      <formula>NOT(ISERROR(SEARCH("S",BB156)))</formula>
    </cfRule>
    <cfRule type="containsText" dxfId="878" priority="84" operator="containsText" text="NP">
      <formula>NOT(ISERROR(SEARCH("NP",BB156)))</formula>
    </cfRule>
    <cfRule type="containsText" dxfId="876" priority="86" operator="containsText" text="N">
      <formula>NOT(ISERROR(SEARCH("N",BB156)))</formula>
    </cfRule>
  </conditionalFormatting>
  <conditionalFormatting sqref="BB161:BD169">
    <cfRule type="containsText" dxfId="875" priority="97" operator="containsText" text="S">
      <formula>NOT(ISERROR(SEARCH("S",BB161)))</formula>
    </cfRule>
    <cfRule type="containsText" dxfId="873" priority="99" operator="containsText" text="NP">
      <formula>NOT(ISERROR(SEARCH("NP",BB161)))</formula>
    </cfRule>
    <cfRule type="containsText" dxfId="871" priority="101" operator="containsText" text="N">
      <formula>NOT(ISERROR(SEARCH("N",BB161)))</formula>
    </cfRule>
  </conditionalFormatting>
  <conditionalFormatting sqref="BB206:BD206">
    <cfRule type="containsText" dxfId="869" priority="70" operator="containsText" text="S">
      <formula>NOT(ISERROR(SEARCH("S",BB206)))</formula>
    </cfRule>
    <cfRule type="containsText" dxfId="867" priority="72" operator="containsText" text="NP">
      <formula>NOT(ISERROR(SEARCH("NP",BB206)))</formula>
    </cfRule>
    <cfRule type="containsText" dxfId="865" priority="74" operator="containsText" text="N">
      <formula>NOT(ISERROR(SEARCH("N",BB206)))</formula>
    </cfRule>
  </conditionalFormatting>
  <conditionalFormatting sqref="BB210:BD210">
    <cfRule type="containsText" dxfId="863" priority="56" operator="containsText" text="S">
      <formula>NOT(ISERROR(SEARCH("S",BB210)))</formula>
    </cfRule>
    <cfRule type="containsText" dxfId="861" priority="58" operator="containsText" text="NP">
      <formula>NOT(ISERROR(SEARCH("NP",BB210)))</formula>
    </cfRule>
    <cfRule type="containsText" dxfId="859" priority="60" operator="containsText" text="N">
      <formula>NOT(ISERROR(SEARCH("N",BB210)))</formula>
    </cfRule>
    <cfRule type="beginsWith" dxfId="858" priority="61" operator="beginsWith" text="?">
      <formula>LEFT(BB210,LEN("?"))="?"</formula>
    </cfRule>
  </conditionalFormatting>
  <conditionalFormatting sqref="BD180 BD190:BD205">
    <cfRule type="containsText" dxfId="856" priority="233" operator="containsText" text="S">
      <formula>NOT(ISERROR(SEARCH("S",BD180)))</formula>
    </cfRule>
    <cfRule type="containsText" dxfId="854" priority="235" operator="containsText" text="NP">
      <formula>NOT(ISERROR(SEARCH("NP",BD180)))</formula>
    </cfRule>
    <cfRule type="containsText" dxfId="852" priority="237" operator="containsText" text="N">
      <formula>NOT(ISERROR(SEARCH("N",BD180)))</formula>
    </cfRule>
  </conditionalFormatting>
  <conditionalFormatting sqref="BD180">
    <cfRule type="containsText" dxfId="850" priority="227" operator="containsText" text="S">
      <formula>NOT(ISERROR(SEARCH("S",BD180)))</formula>
    </cfRule>
    <cfRule type="containsText" dxfId="848" priority="229" operator="containsText" text="NP">
      <formula>NOT(ISERROR(SEARCH("NP",BD180)))</formula>
    </cfRule>
    <cfRule type="containsText" dxfId="846" priority="231" operator="containsText" text="N">
      <formula>NOT(ISERROR(SEARCH("N",BD180)))</formula>
    </cfRule>
  </conditionalFormatting>
  <conditionalFormatting sqref="BD185:BD197">
    <cfRule type="beginsWith" dxfId="845" priority="211" operator="beginsWith" text="?">
      <formula>LEFT(BD185,LEN("?"))="?"</formula>
    </cfRule>
  </conditionalFormatting>
  <conditionalFormatting sqref="BD185:BD204">
    <cfRule type="containsText" dxfId="843" priority="213" operator="containsText" text="S">
      <formula>NOT(ISERROR(SEARCH("S",BD185)))</formula>
    </cfRule>
    <cfRule type="containsText" dxfId="841" priority="215" operator="containsText" text="NP">
      <formula>NOT(ISERROR(SEARCH("NP",BD185)))</formula>
    </cfRule>
    <cfRule type="containsText" dxfId="839" priority="217" operator="containsText" text="N">
      <formula>NOT(ISERROR(SEARCH("N",BD185)))</formula>
    </cfRule>
  </conditionalFormatting>
  <conditionalFormatting sqref="BD186:BD189">
    <cfRule type="containsText" dxfId="837" priority="206" operator="containsText" text="S">
      <formula>NOT(ISERROR(SEARCH("S",BD186)))</formula>
    </cfRule>
    <cfRule type="containsText" dxfId="835" priority="208" operator="containsText" text="NP">
      <formula>NOT(ISERROR(SEARCH("NP",BD186)))</formula>
    </cfRule>
    <cfRule type="containsText" dxfId="833" priority="210" operator="containsText" text="N">
      <formula>NOT(ISERROR(SEARCH("N",BD186)))</formula>
    </cfRule>
  </conditionalFormatting>
  <conditionalFormatting sqref="BD204:BD206">
    <cfRule type="beginsWith" dxfId="832" priority="225" operator="beginsWith" text="?">
      <formula>LEFT(BD204,LEN("?"))="?"</formula>
    </cfRule>
  </conditionalFormatting>
  <printOptions horizontalCentered="1"/>
  <pageMargins left="0.70866141732283472" right="0.70866141732283472" top="0.86614173228346458" bottom="1.299212598425197" header="0.31496062992125984" footer="0.31496062992125984"/>
  <pageSetup paperSize="8" scale="39" fitToHeight="0" orientation="landscape"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rowBreaks count="6" manualBreakCount="6">
    <brk id="24" min="1" max="67" man="1"/>
    <brk id="63" min="1" max="67" man="1"/>
    <brk id="96" min="1" max="67" man="1"/>
    <brk id="154" min="1" max="67" man="1"/>
    <brk id="189" max="53" man="1"/>
    <brk id="204" max="53" man="1"/>
  </rowBreaks>
  <legacyDrawing r:id="rId2"/>
  <legacyDrawingHF r:id="rId3"/>
  <picture r:id="rId4"/>
  <extLst>
    <ext xmlns:x14="http://schemas.microsoft.com/office/spreadsheetml/2009/9/main" uri="{78C0D931-6437-407d-A8EE-F0AAD7539E65}">
      <x14:conditionalFormattings>
        <x14:conditionalFormatting xmlns:xm="http://schemas.microsoft.com/office/excel/2006/main">
          <x14:cfRule type="cellIs" priority="177" operator="equal" id="{564CE607-3DB4-424B-99AE-280F32EB3458}">
            <xm:f>'Cover Sheet'!$G$12</xm:f>
            <x14:dxf>
              <font>
                <color rgb="FF9C0006"/>
              </font>
              <fill>
                <patternFill>
                  <bgColor rgb="FFFFC7CE"/>
                </patternFill>
              </fill>
            </x14:dxf>
          </x14:cfRule>
          <xm:sqref>A25:K25 E26:I30 J29:J30 AX89:BD89 C29:C32 BE30:BM30 BE33:BM37 E30:M30 E33:M37 A30:C30 A33:C37 E31:J37</xm:sqref>
        </x14:conditionalFormatting>
        <x14:conditionalFormatting xmlns:xm="http://schemas.microsoft.com/office/excel/2006/main">
          <x14:cfRule type="cellIs" priority="836" operator="equal" id="{C65077E3-1931-436E-A4B1-25A374322646}">
            <xm:f>'Cover Sheet'!$G$12</xm:f>
            <x14:dxf>
              <font>
                <color rgb="FF9C0006"/>
              </font>
              <fill>
                <patternFill>
                  <bgColor rgb="FFFFC7CE"/>
                </patternFill>
              </fill>
            </x14:dxf>
          </x14:cfRule>
          <xm:sqref>A1:M7 L11:M27 K17:K24 K26:K28 L28 E38:K38 L38:M39 K39 M40:M50 K41:L41 K43:L43 K45:L45 K47:L47 K49:L49 E51:M51 K52:L52 M52:M63 K54:L54 K56:L56 K58:L58 K60:L60 K62:L62 E64:M64 E96:M97 E112:M120 E127:M129 K134:M134 E159:M164 E171:L178 E179:M179 A185:C185 E185:M185 E205:M205 A214:M1048576</xm:sqref>
        </x14:conditionalFormatting>
        <x14:conditionalFormatting xmlns:xm="http://schemas.microsoft.com/office/excel/2006/main">
          <x14:cfRule type="cellIs" priority="153" operator="equal" id="{0769B522-DBA9-42CD-8878-36F9A4042F27}">
            <xm:f>'Cover Sheet'!$G$12</xm:f>
            <x14:dxf>
              <font>
                <color rgb="FF9C0006"/>
              </font>
              <fill>
                <patternFill>
                  <bgColor rgb="FFFFC7CE"/>
                </patternFill>
              </fill>
            </x14:dxf>
          </x14:cfRule>
          <xm:sqref>B29</xm:sqref>
        </x14:conditionalFormatting>
        <x14:conditionalFormatting xmlns:xm="http://schemas.microsoft.com/office/excel/2006/main">
          <x14:cfRule type="cellIs" priority="1000" operator="equal" id="{BC47FD60-2782-48E1-B83A-7DC1F33D0946}">
            <xm:f>'Cover Sheet'!$G$12</xm:f>
            <x14:dxf>
              <font>
                <color rgb="FF9C0006"/>
              </font>
              <fill>
                <patternFill>
                  <bgColor rgb="FFFFC7CE"/>
                </patternFill>
              </fill>
            </x14:dxf>
          </x14:cfRule>
          <xm:sqref>B31</xm:sqref>
        </x14:conditionalFormatting>
        <x14:conditionalFormatting xmlns:xm="http://schemas.microsoft.com/office/excel/2006/main">
          <x14:cfRule type="cellIs" priority="320" operator="equal" id="{426CFB34-A0E9-4669-B9AB-2A0280BB9D10}">
            <xm:f>'Cover Sheet'!$G$12</xm:f>
            <x14:dxf>
              <font>
                <color rgb="FF9C0006"/>
              </font>
              <fill>
                <patternFill>
                  <bgColor rgb="FFFFC7CE"/>
                </patternFill>
              </fill>
            </x14:dxf>
          </x14:cfRule>
          <xm:sqref>B65 B67</xm:sqref>
        </x14:conditionalFormatting>
        <x14:conditionalFormatting xmlns:xm="http://schemas.microsoft.com/office/excel/2006/main">
          <x14:cfRule type="cellIs" priority="1060" operator="equal" id="{A41A2CED-56A9-4C0D-905D-B3A92B6975D4}">
            <xm:f>'Cover Sheet'!$G$12</xm:f>
            <x14:dxf>
              <font>
                <color rgb="FF9C0006"/>
              </font>
              <fill>
                <patternFill>
                  <bgColor rgb="FFFFC7CE"/>
                </patternFill>
              </fill>
            </x14:dxf>
          </x14:cfRule>
          <xm:sqref>B98</xm:sqref>
        </x14:conditionalFormatting>
        <x14:conditionalFormatting xmlns:xm="http://schemas.microsoft.com/office/excel/2006/main">
          <x14:cfRule type="cellIs" priority="867" operator="equal" id="{D7CF98C0-0583-4AD5-B762-53F025799161}">
            <xm:f>'Cover Sheet'!$G$12</xm:f>
            <x14:dxf>
              <font>
                <color rgb="FF9C0006"/>
              </font>
              <fill>
                <patternFill>
                  <bgColor rgb="FFFFC7CE"/>
                </patternFill>
              </fill>
            </x14:dxf>
          </x14:cfRule>
          <xm:sqref>B100 B106</xm:sqref>
        </x14:conditionalFormatting>
        <x14:conditionalFormatting xmlns:xm="http://schemas.microsoft.com/office/excel/2006/main">
          <x14:cfRule type="cellIs" priority="858" operator="equal" id="{D53E9DA6-29CF-4D02-96D5-ACF7071EBAD9}">
            <xm:f>'Cover Sheet'!$G$12</xm:f>
            <x14:dxf>
              <font>
                <color rgb="FF9C0006"/>
              </font>
              <fill>
                <patternFill>
                  <bgColor rgb="FFFFC7CE"/>
                </patternFill>
              </fill>
            </x14:dxf>
          </x14:cfRule>
          <xm:sqref>B139:B140 B151:B154 B171:B179 A205:C205</xm:sqref>
        </x14:conditionalFormatting>
        <x14:conditionalFormatting xmlns:xm="http://schemas.microsoft.com/office/excel/2006/main">
          <x14:cfRule type="cellIs" priority="3323" operator="equal" id="{6C1A79A6-6E8C-440F-9E5E-74FD26697EE4}">
            <xm:f>'Cover Sheet'!$G$12</xm:f>
            <x14:dxf>
              <font>
                <color rgb="FF9C0006"/>
              </font>
              <fill>
                <patternFill>
                  <bgColor rgb="FFFFC7CE"/>
                </patternFill>
              </fill>
            </x14:dxf>
          </x14:cfRule>
          <xm:sqref>B17:C17 B18 B19:C21 B22:B23 A38:C38 B39:C39 E39:I50 C40:C50 B41 B43 B45 B47 B49 A51:C51 B52 C52:C63 E52:I63 B54 B56 B58 B60 B62 B64:C64 C81:C88 M81:M88 B89:C89 C90:C95 L90:L95 B96:C97 B112:C112 C113:C119 B120:C120 C121:C126 E121:H126 L121:L126 B127:C127 A128:C128 B129 B134 A155:C155 A170:C170</xm:sqref>
        </x14:conditionalFormatting>
        <x14:conditionalFormatting xmlns:xm="http://schemas.microsoft.com/office/excel/2006/main">
          <x14:cfRule type="cellIs" priority="12" operator="equal" id="{C03C37C0-96FD-4EFF-9F6A-0477292F5DBF}">
            <xm:f>'Cover Sheet'!$G$12</xm:f>
            <x14:dxf>
              <font>
                <color rgb="FF9C0006"/>
              </font>
              <fill>
                <patternFill>
                  <bgColor rgb="FFFFC7CE"/>
                </patternFill>
              </fill>
            </x14:dxf>
          </x14:cfRule>
          <xm:sqref>B33:C34</xm:sqref>
        </x14:conditionalFormatting>
        <x14:conditionalFormatting xmlns:xm="http://schemas.microsoft.com/office/excel/2006/main">
          <x14:cfRule type="cellIs" priority="47" operator="equal" id="{4A0821BD-ECE0-4696-84B0-33BC5C7A47DA}">
            <xm:f>'Cover Sheet'!$G$12</xm:f>
            <x14:dxf>
              <font>
                <color rgb="FF9C0006"/>
              </font>
              <fill>
                <patternFill>
                  <bgColor rgb="FFFFC7CE"/>
                </patternFill>
              </fill>
            </x14:dxf>
          </x14:cfRule>
          <xm:sqref>B36:C36</xm:sqref>
        </x14:conditionalFormatting>
        <x14:conditionalFormatting xmlns:xm="http://schemas.microsoft.com/office/excel/2006/main">
          <x14:cfRule type="cellIs" priority="342" operator="equal" id="{69A2EE10-F2EF-4E44-BECB-DAE81D1FC263}">
            <xm:f>'Cover Sheet'!$G$12</xm:f>
            <x14:dxf>
              <font>
                <color rgb="FF9C0006"/>
              </font>
              <fill>
                <patternFill>
                  <bgColor rgb="FFFFC7CE"/>
                </patternFill>
              </fill>
            </x14:dxf>
          </x14:cfRule>
          <xm:sqref>B156:C159</xm:sqref>
        </x14:conditionalFormatting>
        <x14:conditionalFormatting xmlns:xm="http://schemas.microsoft.com/office/excel/2006/main">
          <x14:cfRule type="cellIs" priority="1281" operator="equal" id="{C4185A20-18FE-4449-89E0-47D5FFF2ED35}">
            <xm:f>'Cover Sheet'!$G$12</xm:f>
            <x14:dxf>
              <font>
                <color rgb="FF9C0006"/>
              </font>
              <fill>
                <patternFill>
                  <bgColor rgb="FFFFC7CE"/>
                </patternFill>
              </fill>
            </x14:dxf>
          </x14:cfRule>
          <xm:sqref>B161:C161 C162:C164 B162:B168</xm:sqref>
        </x14:conditionalFormatting>
        <x14:conditionalFormatting xmlns:xm="http://schemas.microsoft.com/office/excel/2006/main">
          <x14:cfRule type="cellIs" priority="181" operator="equal" id="{B5A4524E-3070-44E3-9C38-9EBAEB845A8D}">
            <xm:f>'Cover Sheet'!$G$12</xm:f>
            <x14:dxf>
              <font>
                <color rgb="FF9C0006"/>
              </font>
              <fill>
                <patternFill>
                  <bgColor rgb="FFFFC7CE"/>
                </patternFill>
              </fill>
            </x14:dxf>
          </x14:cfRule>
          <xm:sqref>E35:H35 E37:H37</xm:sqref>
        </x14:conditionalFormatting>
        <x14:conditionalFormatting xmlns:xm="http://schemas.microsoft.com/office/excel/2006/main">
          <x14:cfRule type="cellIs" priority="920" operator="equal" id="{86D581A0-FCE8-4270-925E-52DCB1A0BC34}">
            <xm:f>'Cover Sheet'!$G$12</xm:f>
            <x14:dxf>
              <font>
                <color rgb="FF9C0006"/>
              </font>
              <fill>
                <patternFill>
                  <bgColor rgb="FFFFC7CE"/>
                </patternFill>
              </fill>
            </x14:dxf>
          </x14:cfRule>
          <xm:sqref>E17:I24 C23 B24:C24 B26:C28</xm:sqref>
        </x14:conditionalFormatting>
        <x14:conditionalFormatting xmlns:xm="http://schemas.microsoft.com/office/excel/2006/main">
          <x14:cfRule type="cellIs" priority="847" operator="equal" id="{EA72FEEE-767D-48A6-865C-5F467F596685}">
            <xm:f>'Cover Sheet'!$G$12</xm:f>
            <x14:dxf>
              <font>
                <color rgb="FF9C0006"/>
              </font>
              <fill>
                <patternFill>
                  <bgColor rgb="FFFFC7CE"/>
                </patternFill>
              </fill>
            </x14:dxf>
          </x14:cfRule>
          <xm:sqref>L34 E155:K155 L155:M157 E156:J158 M158 A160:C160 C166:C168 E166:L169 B169:C169 E170:M170 A179:C179 A190:C190 E190:M190</xm:sqref>
        </x14:conditionalFormatting>
        <x14:conditionalFormatting xmlns:xm="http://schemas.microsoft.com/office/excel/2006/main">
          <x14:cfRule type="cellIs" priority="54" operator="equal" id="{782FABEC-E54A-4D83-8D83-19EEC710982D}">
            <xm:f>'Cover Sheet'!$G$12</xm:f>
            <x14:dxf>
              <font>
                <color rgb="FF9C0006"/>
              </font>
              <fill>
                <patternFill>
                  <bgColor rgb="FFFFC7CE"/>
                </patternFill>
              </fill>
            </x14:dxf>
          </x14:cfRule>
          <xm:sqref>L36</xm:sqref>
        </x14:conditionalFormatting>
        <x14:conditionalFormatting xmlns:xm="http://schemas.microsoft.com/office/excel/2006/main">
          <x14:cfRule type="cellIs" priority="14" operator="equal" id="{5B69BBED-E67C-4F90-816A-623693FECEAF}">
            <xm:f>'Cover Sheet'!$G$12</xm:f>
            <x14:dxf>
              <font>
                <color rgb="FF9C0006"/>
              </font>
              <fill>
                <patternFill>
                  <bgColor rgb="FFFFC7CE"/>
                </patternFill>
              </fill>
            </x14:dxf>
          </x14:cfRule>
          <xm:sqref>L33:M33</xm:sqref>
        </x14:conditionalFormatting>
        <x14:conditionalFormatting xmlns:xm="http://schemas.microsoft.com/office/excel/2006/main">
          <x14:cfRule type="cellIs" priority="304" operator="equal" id="{DA41684A-500C-445E-AABA-23F3DFB62ACC}">
            <xm:f>'Cover Sheet'!$G$12</xm:f>
            <x14:dxf>
              <font>
                <color rgb="FF9C0006"/>
              </font>
              <fill>
                <patternFill>
                  <bgColor rgb="FFFFC7CE"/>
                </patternFill>
              </fill>
            </x14:dxf>
          </x14:cfRule>
          <xm:sqref>M161:M169</xm:sqref>
        </x14:conditionalFormatting>
        <x14:conditionalFormatting xmlns:xm="http://schemas.microsoft.com/office/excel/2006/main">
          <x14:cfRule type="cellIs" priority="886" operator="equal" id="{5CD860E6-55C9-4F80-9BF9-79DBF7E29D2D}">
            <xm:f>'Cover Sheet'!$G$12</xm:f>
            <x14:dxf>
              <font>
                <color rgb="FF9C0006"/>
              </font>
              <fill>
                <patternFill>
                  <bgColor rgb="FFFFC7CE"/>
                </patternFill>
              </fill>
            </x14:dxf>
          </x14:cfRule>
          <xm:sqref>M171</xm:sqref>
        </x14:conditionalFormatting>
        <x14:conditionalFormatting xmlns:xm="http://schemas.microsoft.com/office/excel/2006/main">
          <x14:cfRule type="cellIs" priority="885" operator="equal" id="{F06060FF-B34B-49F4-8FFF-3793A3B742E6}">
            <xm:f>'Cover Sheet'!$G$12</xm:f>
            <x14:dxf>
              <font>
                <color rgb="FF9C0006"/>
              </font>
              <fill>
                <patternFill>
                  <bgColor rgb="FFFFC7CE"/>
                </patternFill>
              </fill>
            </x14:dxf>
          </x14:cfRule>
          <xm:sqref>M175</xm:sqref>
        </x14:conditionalFormatting>
        <x14:conditionalFormatting xmlns:xm="http://schemas.microsoft.com/office/excel/2006/main">
          <x14:cfRule type="beginsWith" priority="2" operator="beginsWith" id="{E98340CF-69E2-4CB3-B050-DE8B6D44E616}">
            <xm:f>LEFT(O33,LEN("S*"))="S*"</xm:f>
            <xm:f>"S*"</xm:f>
            <x14:dxf>
              <font>
                <color auto="1"/>
              </font>
              <fill>
                <patternFill>
                  <bgColor rgb="FFFFFF99"/>
                </patternFill>
              </fill>
            </x14:dxf>
          </x14:cfRule>
          <x14:cfRule type="beginsWith" priority="3" operator="beginsWith" id="{E985B027-E933-46F3-9493-BF802B0F3716}">
            <xm:f>LEFT(O33,LEN("NP*"))="NP*"</xm:f>
            <xm:f>"NP*"</xm:f>
            <x14:dxf>
              <fill>
                <patternFill>
                  <bgColor rgb="FFFFFF99"/>
                </patternFill>
              </fill>
            </x14:dxf>
          </x14:cfRule>
          <x14:cfRule type="beginsWith" priority="5" operator="beginsWith" id="{B8D46D23-856C-4216-B248-24ED5209EB8B}">
            <xm:f>LEFT(O33,LEN("N*"))="N*"</xm:f>
            <xm:f>"N*"</xm:f>
            <x14:dxf>
              <fill>
                <patternFill>
                  <bgColor rgb="FFFFFF99"/>
                </patternFill>
              </fill>
            </x14:dxf>
          </x14:cfRule>
          <x14:cfRule type="beginsWith" priority="8" operator="beginsWith" id="{0E615D7A-237A-4FF3-AE96-B053E9CEEF17}">
            <xm:f>LEFT(O33,LEN("NP*"))="NP*"</xm:f>
            <xm:f>"NP*"</xm:f>
            <x14:dxf>
              <fill>
                <patternFill>
                  <bgColor rgb="FFFFFF99"/>
                </patternFill>
              </fill>
            </x14:dxf>
          </x14:cfRule>
          <x14:cfRule type="beginsWith" priority="10" operator="beginsWith" id="{81BD2CDD-D400-40C2-8429-A1D5679B7336}">
            <xm:f>LEFT(O33,LEN("N*"))="N*"</xm:f>
            <xm:f>"N*"</xm:f>
            <x14:dxf>
              <fill>
                <patternFill>
                  <bgColor rgb="FFFFFF99"/>
                </patternFill>
              </fill>
            </x14:dxf>
          </x14:cfRule>
          <xm:sqref>O33:R33</xm:sqref>
        </x14:conditionalFormatting>
        <x14:conditionalFormatting xmlns:xm="http://schemas.microsoft.com/office/excel/2006/main">
          <x14:cfRule type="beginsWith" priority="253" operator="beginsWith" id="{15BF1BF2-CD4E-4C1A-AD4A-178F76EDAB48}">
            <xm:f>LEFT(O180,LEN("S*"))="S*"</xm:f>
            <xm:f>"S*"</xm:f>
            <x14:dxf>
              <font>
                <color auto="1"/>
              </font>
              <fill>
                <patternFill>
                  <bgColor rgb="FFFFFF99"/>
                </patternFill>
              </fill>
            </x14:dxf>
          </x14:cfRule>
          <x14:cfRule type="beginsWith" priority="255" operator="beginsWith" id="{B155DEFD-D827-4BED-9532-FBC7B1286188}">
            <xm:f>LEFT(O180,LEN("NP*"))="NP*"</xm:f>
            <xm:f>"NP*"</xm:f>
            <x14:dxf>
              <fill>
                <patternFill>
                  <bgColor rgb="FFFFFF99"/>
                </patternFill>
              </fill>
            </x14:dxf>
          </x14:cfRule>
          <x14:cfRule type="beginsWith" priority="257" operator="beginsWith" id="{DA175670-C97B-455C-8D3E-FBB777679102}">
            <xm:f>LEFT(O180,LEN("N*"))="N*"</xm:f>
            <xm:f>"N*"</xm:f>
            <x14:dxf>
              <fill>
                <patternFill>
                  <bgColor rgb="FFFFFF99"/>
                </patternFill>
              </fill>
            </x14:dxf>
          </x14:cfRule>
          <xm:sqref>O180:T180 O185:P204 S185:T204</xm:sqref>
        </x14:conditionalFormatting>
        <x14:conditionalFormatting xmlns:xm="http://schemas.microsoft.com/office/excel/2006/main">
          <x14:cfRule type="beginsWith" priority="16" operator="beginsWith" id="{D137D183-56FD-4DB5-BD5A-6AB3C72A891F}">
            <xm:f>LEFT(O10,LEN("S*"))="S*"</xm:f>
            <xm:f>"S*"</xm:f>
            <x14:dxf>
              <font>
                <color auto="1"/>
              </font>
              <fill>
                <patternFill>
                  <bgColor rgb="FFFFFF99"/>
                </patternFill>
              </fill>
            </x14:dxf>
          </x14:cfRule>
          <x14:cfRule type="beginsWith" priority="18" operator="beginsWith" id="{7A2BD46B-AFB7-41D9-B3AF-7385305AA962}">
            <xm:f>LEFT(O10,LEN("NP*"))="NP*"</xm:f>
            <xm:f>"NP*"</xm:f>
            <x14:dxf>
              <fill>
                <patternFill>
                  <bgColor rgb="FFFFFF99"/>
                </patternFill>
              </fill>
            </x14:dxf>
          </x14:cfRule>
          <x14:cfRule type="beginsWith" priority="20" operator="beginsWith" id="{44BB8A8F-0547-4D5B-9405-332FF2123F46}">
            <xm:f>LEFT(O10,LEN("N*"))="N*"</xm:f>
            <xm:f>"N*"</xm:f>
            <x14:dxf>
              <fill>
                <patternFill>
                  <bgColor rgb="FFFFFF99"/>
                </patternFill>
              </fill>
            </x14:dxf>
          </x14:cfRule>
          <xm:sqref>O10:X10</xm:sqref>
        </x14:conditionalFormatting>
        <x14:conditionalFormatting xmlns:xm="http://schemas.microsoft.com/office/excel/2006/main">
          <x14:cfRule type="beginsWith" priority="268" operator="beginsWith" id="{B0B81614-F0C3-43BC-A94E-FEA991476217}">
            <xm:f>LEFT(O9,LEN("S*"))="S*"</xm:f>
            <xm:f>"S*"</xm:f>
            <x14:dxf>
              <font>
                <color auto="1"/>
              </font>
              <fill>
                <patternFill>
                  <bgColor rgb="FFFFFF99"/>
                </patternFill>
              </fill>
            </x14:dxf>
          </x14:cfRule>
          <x14:cfRule type="beginsWith" priority="270" operator="beginsWith" id="{3485E1A4-59FE-4EE7-ADB1-0F26A63FC327}">
            <xm:f>LEFT(O9,LEN("NP*"))="NP*"</xm:f>
            <xm:f>"NP*"</xm:f>
            <x14:dxf>
              <fill>
                <patternFill>
                  <bgColor rgb="FFFFFF99"/>
                </patternFill>
              </fill>
            </x14:dxf>
          </x14:cfRule>
          <x14:cfRule type="beginsWith" priority="272" operator="beginsWith" id="{C98BBEE7-DBB7-4F84-B4B2-588C832A021D}">
            <xm:f>LEFT(O9,LEN("N*"))="N*"</xm:f>
            <xm:f>"N*"</xm:f>
            <x14:dxf>
              <fill>
                <patternFill>
                  <bgColor rgb="FFFFFF99"/>
                </patternFill>
              </fill>
            </x14:dxf>
          </x14:cfRule>
          <xm:sqref>O9:AV10</xm:sqref>
        </x14:conditionalFormatting>
        <x14:conditionalFormatting xmlns:xm="http://schemas.microsoft.com/office/excel/2006/main">
          <x14:cfRule type="beginsWith" priority="900" operator="beginsWith" id="{C52690C3-A5A4-4ED1-854A-97F5EAC6691F}">
            <xm:f>LEFT(O12,LEN("NP*"))="NP*"</xm:f>
            <xm:f>"NP*"</xm:f>
            <x14:dxf>
              <fill>
                <patternFill>
                  <bgColor rgb="FFFFFF99"/>
                </patternFill>
              </fill>
            </x14:dxf>
          </x14:cfRule>
          <x14:cfRule type="beginsWith" priority="902" operator="beginsWith" id="{28185FF2-72E0-4362-AC5A-240D646F0B89}">
            <xm:f>LEFT(O12,LEN("N*"))="N*"</xm:f>
            <xm:f>"N*"</xm:f>
            <x14:dxf>
              <fill>
                <patternFill>
                  <bgColor rgb="FFFFFF99"/>
                </patternFill>
              </fill>
            </x14:dxf>
          </x14:cfRule>
          <xm:sqref>O12:AV28 AX12:BD28 O36:AI37 O31:AX31 AK36:AV38 AX38 O38:AJ39 AY38:BD39 AK39:AX39 O41:BD41 O43:BD43 O45:BD45 O47:BD47 O49:BD49 O51:AV51 AX51:BD51 O52:BD52 O54:BD54 O56:BD56 O58:BD58 O60:BD60 O62:BD62 AL64:AV68 O64:AK69 AX64:BD69 AL69:AW69 O75:BD75 AT81:AV99 AX81:AX99 O81:AS100 AY81:BD100 AT100:AX100 O106:BD106 AK112:AV125 O112:AJ129 AX112:BD129 AV126:AV128 AK126:AU129 AV129:AW129 O134:BD134 BA139:BD140 BA142:BD143 BA145:BD146 BA148:BD149 O155:AV179 BB179:BD179 BA179:BA180 U180:Y180 U190:AJ197 Q200:R204 U200:AF204 AG200:AJ205 AL200:AV205 AX200:BA205 O205:AF205 AX30:BD30 AX33:BD33</xm:sqref>
        </x14:conditionalFormatting>
        <x14:conditionalFormatting xmlns:xm="http://schemas.microsoft.com/office/excel/2006/main">
          <x14:cfRule type="beginsWith" priority="175" operator="beginsWith" id="{232B5D8F-CB7B-4507-9702-7B863395D70C}">
            <xm:f>LEFT(O30,LEN("N*"))="N*"</xm:f>
            <xm:f>"N*"</xm:f>
            <x14:dxf>
              <fill>
                <patternFill>
                  <bgColor rgb="FFFFFF99"/>
                </patternFill>
              </fill>
            </x14:dxf>
          </x14:cfRule>
          <xm:sqref>BA154:BD154 AX155:AX179 AZ155:BD179 AY155:AY180 AL180:AX180 AZ180:BA180 BA180:BA185 BD180:BD185 O30:AV30 O33:AV35 AY31:BD31 AX34:BD37</xm:sqref>
        </x14:conditionalFormatting>
        <x14:conditionalFormatting xmlns:xm="http://schemas.microsoft.com/office/excel/2006/main">
          <x14:cfRule type="beginsWith" priority="38" operator="beginsWith" id="{93318C56-17F5-44BF-8EA7-10BE12A988D6}">
            <xm:f>LEFT(O54,LEN("S*"))="S*"</xm:f>
            <xm:f>"S*"</xm:f>
            <x14:dxf>
              <font>
                <color auto="1"/>
              </font>
              <fill>
                <patternFill>
                  <bgColor rgb="FFFFFF99"/>
                </patternFill>
              </fill>
            </x14:dxf>
          </x14:cfRule>
          <xm:sqref>O54:BD54</xm:sqref>
        </x14:conditionalFormatting>
        <x14:conditionalFormatting xmlns:xm="http://schemas.microsoft.com/office/excel/2006/main">
          <x14:cfRule type="beginsWith" priority="36" operator="beginsWith" id="{A9928AE9-3309-42BA-BFA7-A04071203231}">
            <xm:f>LEFT(O56,LEN("S*"))="S*"</xm:f>
            <xm:f>"S*"</xm:f>
            <x14:dxf>
              <font>
                <color auto="1"/>
              </font>
              <fill>
                <patternFill>
                  <bgColor rgb="FFFFFF99"/>
                </patternFill>
              </fill>
            </x14:dxf>
          </x14:cfRule>
          <xm:sqref>O56:BD56</xm:sqref>
        </x14:conditionalFormatting>
        <x14:conditionalFormatting xmlns:xm="http://schemas.microsoft.com/office/excel/2006/main">
          <x14:cfRule type="beginsWith" priority="34" operator="beginsWith" id="{0AA3A41C-5782-4AED-A549-CA1FB064E3F6}">
            <xm:f>LEFT(O58,LEN("S*"))="S*"</xm:f>
            <xm:f>"S*"</xm:f>
            <x14:dxf>
              <font>
                <color auto="1"/>
              </font>
              <fill>
                <patternFill>
                  <bgColor rgb="FFFFFF99"/>
                </patternFill>
              </fill>
            </x14:dxf>
          </x14:cfRule>
          <xm:sqref>O58:BD58</xm:sqref>
        </x14:conditionalFormatting>
        <x14:conditionalFormatting xmlns:xm="http://schemas.microsoft.com/office/excel/2006/main">
          <x14:cfRule type="beginsWith" priority="32" operator="beginsWith" id="{580BC975-FED5-493D-A449-C47C903485D1}">
            <xm:f>LEFT(O60,LEN("S*"))="S*"</xm:f>
            <xm:f>"S*"</xm:f>
            <x14:dxf>
              <font>
                <color auto="1"/>
              </font>
              <fill>
                <patternFill>
                  <bgColor rgb="FFFFFF99"/>
                </patternFill>
              </fill>
            </x14:dxf>
          </x14:cfRule>
          <xm:sqref>O60:BD60</xm:sqref>
        </x14:conditionalFormatting>
        <x14:conditionalFormatting xmlns:xm="http://schemas.microsoft.com/office/excel/2006/main">
          <x14:cfRule type="beginsWith" priority="30" operator="beginsWith" id="{03FDF16C-069A-4ED9-889C-6A6D11829E5F}">
            <xm:f>LEFT(O62,LEN("S*"))="S*"</xm:f>
            <xm:f>"S*"</xm:f>
            <x14:dxf>
              <font>
                <color auto="1"/>
              </font>
              <fill>
                <patternFill>
                  <bgColor rgb="FFFFFF99"/>
                </patternFill>
              </fill>
            </x14:dxf>
          </x14:cfRule>
          <xm:sqref>O62:BD62</xm:sqref>
        </x14:conditionalFormatting>
        <x14:conditionalFormatting xmlns:xm="http://schemas.microsoft.com/office/excel/2006/main">
          <x14:cfRule type="beginsWith" priority="643" operator="beginsWith" id="{573A1597-3771-4AE4-B41A-9E313B923DBA}">
            <xm:f>LEFT(S139,LEN("S*"))="S*"</xm:f>
            <xm:f>"S*"</xm:f>
            <x14:dxf>
              <font>
                <color auto="1"/>
              </font>
              <fill>
                <patternFill>
                  <bgColor rgb="FFFFFF99"/>
                </patternFill>
              </fill>
            </x14:dxf>
          </x14:cfRule>
          <x14:cfRule type="beginsWith" priority="645" operator="beginsWith" id="{7238F6BE-2A2F-4414-98C3-A4500068E5B1}">
            <xm:f>LEFT(S139,LEN("NP*"))="NP*"</xm:f>
            <xm:f>"NP*"</xm:f>
            <x14:dxf>
              <fill>
                <patternFill>
                  <bgColor rgb="FFFFFF99"/>
                </patternFill>
              </fill>
            </x14:dxf>
          </x14:cfRule>
          <x14:cfRule type="beginsWith" priority="647" operator="beginsWith" id="{0079419A-D214-4FFE-9F5C-782677A64C00}">
            <xm:f>LEFT(S139,LEN("N*"))="N*"</xm:f>
            <xm:f>"N*"</xm:f>
            <x14:dxf>
              <fill>
                <patternFill>
                  <bgColor rgb="FFFFFF99"/>
                </patternFill>
              </fill>
            </x14:dxf>
          </x14:cfRule>
          <xm:sqref>S139:S141</xm:sqref>
        </x14:conditionalFormatting>
        <x14:conditionalFormatting xmlns:xm="http://schemas.microsoft.com/office/excel/2006/main">
          <x14:cfRule type="beginsWith" priority="615" operator="beginsWith" id="{19E0FFAA-071C-4E4B-8554-1DB7679A5A2C}">
            <xm:f>LEFT(S151,LEN("S*"))="S*"</xm:f>
            <xm:f>"S*"</xm:f>
            <x14:dxf>
              <font>
                <color auto="1"/>
              </font>
              <fill>
                <patternFill>
                  <bgColor rgb="FFFFFF99"/>
                </patternFill>
              </fill>
            </x14:dxf>
          </x14:cfRule>
          <x14:cfRule type="beginsWith" priority="617" operator="beginsWith" id="{3E15CC1E-36BF-4A0D-8257-76810C0CE742}">
            <xm:f>LEFT(S151,LEN("NP*"))="NP*"</xm:f>
            <xm:f>"NP*"</xm:f>
            <x14:dxf>
              <fill>
                <patternFill>
                  <bgColor rgb="FFFFFF99"/>
                </patternFill>
              </fill>
            </x14:dxf>
          </x14:cfRule>
          <x14:cfRule type="beginsWith" priority="619" operator="beginsWith" id="{17F30818-B93B-410F-8112-17AB5615A838}">
            <xm:f>LEFT(S151,LEN("N*"))="N*"</xm:f>
            <xm:f>"N*"</xm:f>
            <x14:dxf>
              <fill>
                <patternFill>
                  <bgColor rgb="FFFFFF99"/>
                </patternFill>
              </fill>
            </x14:dxf>
          </x14:cfRule>
          <xm:sqref>S151</xm:sqref>
        </x14:conditionalFormatting>
        <x14:conditionalFormatting xmlns:xm="http://schemas.microsoft.com/office/excel/2006/main">
          <x14:cfRule type="beginsWith" priority="636" operator="beginsWith" id="{C8F95821-6131-4403-885D-F593A5ED9A08}">
            <xm:f>LEFT(T142,LEN("S*"))="S*"</xm:f>
            <xm:f>"S*"</xm:f>
            <x14:dxf>
              <font>
                <color auto="1"/>
              </font>
              <fill>
                <patternFill>
                  <bgColor rgb="FFFFFF99"/>
                </patternFill>
              </fill>
            </x14:dxf>
          </x14:cfRule>
          <x14:cfRule type="beginsWith" priority="638" operator="beginsWith" id="{49C45D28-252A-4392-BED6-ED9E3489FE35}">
            <xm:f>LEFT(T142,LEN("NP*"))="NP*"</xm:f>
            <xm:f>"NP*"</xm:f>
            <x14:dxf>
              <fill>
                <patternFill>
                  <bgColor rgb="FFFFFF99"/>
                </patternFill>
              </fill>
            </x14:dxf>
          </x14:cfRule>
          <x14:cfRule type="beginsWith" priority="640" operator="beginsWith" id="{893B5645-DF59-4555-97FE-043EE22704CA}">
            <xm:f>LEFT(T142,LEN("N*"))="N*"</xm:f>
            <xm:f>"N*"</xm:f>
            <x14:dxf>
              <fill>
                <patternFill>
                  <bgColor rgb="FFFFFF99"/>
                </patternFill>
              </fill>
            </x14:dxf>
          </x14:cfRule>
          <xm:sqref>T142:T144</xm:sqref>
        </x14:conditionalFormatting>
        <x14:conditionalFormatting xmlns:xm="http://schemas.microsoft.com/office/excel/2006/main">
          <x14:cfRule type="beginsWith" priority="608" operator="beginsWith" id="{5F8CDA31-A951-477B-BC26-6377360EE7DD}">
            <xm:f>LEFT(T152,LEN("S*"))="S*"</xm:f>
            <xm:f>"S*"</xm:f>
            <x14:dxf>
              <font>
                <color auto="1"/>
              </font>
              <fill>
                <patternFill>
                  <bgColor rgb="FFFFFF99"/>
                </patternFill>
              </fill>
            </x14:dxf>
          </x14:cfRule>
          <x14:cfRule type="beginsWith" priority="610" operator="beginsWith" id="{0752D089-6A9E-42D9-B700-393E2D5FBAA3}">
            <xm:f>LEFT(T152,LEN("NP*"))="NP*"</xm:f>
            <xm:f>"NP*"</xm:f>
            <x14:dxf>
              <fill>
                <patternFill>
                  <bgColor rgb="FFFFFF99"/>
                </patternFill>
              </fill>
            </x14:dxf>
          </x14:cfRule>
          <x14:cfRule type="beginsWith" priority="612" operator="beginsWith" id="{B1185FA9-1D8F-44E2-8F28-328A0B812D7D}">
            <xm:f>LEFT(T152,LEN("N*"))="N*"</xm:f>
            <xm:f>"N*"</xm:f>
            <x14:dxf>
              <fill>
                <patternFill>
                  <bgColor rgb="FFFFFF99"/>
                </patternFill>
              </fill>
            </x14:dxf>
          </x14:cfRule>
          <xm:sqref>T152</xm:sqref>
        </x14:conditionalFormatting>
        <x14:conditionalFormatting xmlns:xm="http://schemas.microsoft.com/office/excel/2006/main">
          <x14:cfRule type="beginsWith" priority="629" operator="beginsWith" id="{BA4D2EFA-5D29-4F7B-B115-57345D124AFF}">
            <xm:f>LEFT(U145,LEN("S*"))="S*"</xm:f>
            <xm:f>"S*"</xm:f>
            <x14:dxf>
              <font>
                <color auto="1"/>
              </font>
              <fill>
                <patternFill>
                  <bgColor rgb="FFFFFF99"/>
                </patternFill>
              </fill>
            </x14:dxf>
          </x14:cfRule>
          <x14:cfRule type="beginsWith" priority="631" operator="beginsWith" id="{FD15D5C8-87D1-419C-8116-FEDA24A1D5D1}">
            <xm:f>LEFT(U145,LEN("NP*"))="NP*"</xm:f>
            <xm:f>"NP*"</xm:f>
            <x14:dxf>
              <fill>
                <patternFill>
                  <bgColor rgb="FFFFFF99"/>
                </patternFill>
              </fill>
            </x14:dxf>
          </x14:cfRule>
          <x14:cfRule type="beginsWith" priority="633" operator="beginsWith" id="{6F7A4A00-9386-49FE-91D7-6304B56C406F}">
            <xm:f>LEFT(U145,LEN("N*"))="N*"</xm:f>
            <xm:f>"N*"</xm:f>
            <x14:dxf>
              <fill>
                <patternFill>
                  <bgColor rgb="FFFFFF99"/>
                </patternFill>
              </fill>
            </x14:dxf>
          </x14:cfRule>
          <xm:sqref>U145:U147</xm:sqref>
        </x14:conditionalFormatting>
        <x14:conditionalFormatting xmlns:xm="http://schemas.microsoft.com/office/excel/2006/main">
          <x14:cfRule type="beginsWith" priority="601" operator="beginsWith" id="{9B24295B-8A07-468C-B496-1625AAB833DB}">
            <xm:f>LEFT(U153,LEN("S*"))="S*"</xm:f>
            <xm:f>"S*"</xm:f>
            <x14:dxf>
              <font>
                <color auto="1"/>
              </font>
              <fill>
                <patternFill>
                  <bgColor rgb="FFFFFF99"/>
                </patternFill>
              </fill>
            </x14:dxf>
          </x14:cfRule>
          <x14:cfRule type="beginsWith" priority="603" operator="beginsWith" id="{B700E3F7-1AEB-48DE-84B9-33ED3C0ABCD8}">
            <xm:f>LEFT(U153,LEN("NP*"))="NP*"</xm:f>
            <xm:f>"NP*"</xm:f>
            <x14:dxf>
              <fill>
                <patternFill>
                  <bgColor rgb="FFFFFF99"/>
                </patternFill>
              </fill>
            </x14:dxf>
          </x14:cfRule>
          <x14:cfRule type="beginsWith" priority="605" operator="beginsWith" id="{D2A6A2FB-DB3D-492B-A328-9EC3D62BAFB8}">
            <xm:f>LEFT(U153,LEN("N*"))="N*"</xm:f>
            <xm:f>"N*"</xm:f>
            <x14:dxf>
              <fill>
                <patternFill>
                  <bgColor rgb="FFFFFF99"/>
                </patternFill>
              </fill>
            </x14:dxf>
          </x14:cfRule>
          <xm:sqref>U153</xm:sqref>
        </x14:conditionalFormatting>
        <x14:conditionalFormatting xmlns:xm="http://schemas.microsoft.com/office/excel/2006/main">
          <x14:cfRule type="beginsWith" priority="334" operator="beginsWith" id="{F9700EBF-CE2B-4D31-8487-E9E4C04F1BFB}">
            <xm:f>LEFT(O33,LEN("NP*"))="NP*"</xm:f>
            <xm:f>"NP*"</xm:f>
            <x14:dxf>
              <fill>
                <patternFill>
                  <bgColor rgb="FFFFFF99"/>
                </patternFill>
              </fill>
            </x14:dxf>
          </x14:cfRule>
          <x14:cfRule type="beginsWith" priority="336" operator="beginsWith" id="{E1F01F53-77C5-4882-B86D-BA1628209D5E}">
            <xm:f>LEFT(O33,LEN("N*"))="N*"</xm:f>
            <xm:f>"N*"</xm:f>
            <x14:dxf>
              <fill>
                <patternFill>
                  <bgColor rgb="FFFFFF99"/>
                </patternFill>
              </fill>
            </x14:dxf>
          </x14:cfRule>
          <xm:sqref>U185:AJ189 AL185:AV189 Q185:R197 BA186:BA189 O33:AV33 AX33:BD33 AI34:AJ34 BA34:BD34</xm:sqref>
        </x14:conditionalFormatting>
        <x14:conditionalFormatting xmlns:xm="http://schemas.microsoft.com/office/excel/2006/main">
          <x14:cfRule type="beginsWith" priority="189" operator="beginsWith" id="{A071DD27-E191-42B1-A2D6-CE1F806713D9}">
            <xm:f>LEFT(O198,LEN("S*"))="S*"</xm:f>
            <xm:f>"S*"</xm:f>
            <x14:dxf>
              <font>
                <color auto="1"/>
              </font>
              <fill>
                <patternFill>
                  <bgColor rgb="FFFFFF99"/>
                </patternFill>
              </fill>
            </x14:dxf>
          </x14:cfRule>
          <x14:cfRule type="beginsWith" priority="191" operator="beginsWith" id="{7C1BD331-BF64-4D92-9E0C-AF50B47C6727}">
            <xm:f>LEFT(O198,LEN("NP*"))="NP*"</xm:f>
            <xm:f>"NP*"</xm:f>
            <x14:dxf>
              <fill>
                <patternFill>
                  <bgColor rgb="FFFFFF99"/>
                </patternFill>
              </fill>
            </x14:dxf>
          </x14:cfRule>
          <x14:cfRule type="beginsWith" priority="193" operator="beginsWith" id="{CD50FE3B-A524-46DC-B828-898DF2605505}">
            <xm:f>LEFT(O198,LEN("N*"))="N*"</xm:f>
            <xm:f>"N*"</xm:f>
            <x14:dxf>
              <fill>
                <patternFill>
                  <bgColor rgb="FFFFFF99"/>
                </patternFill>
              </fill>
            </x14:dxf>
          </x14:cfRule>
          <xm:sqref>U198:BA199 O210:AZ210</xm:sqref>
        </x14:conditionalFormatting>
        <x14:conditionalFormatting xmlns:xm="http://schemas.microsoft.com/office/excel/2006/main">
          <x14:cfRule type="beginsWith" priority="622" operator="beginsWith" id="{FB496AFB-2B6C-4EA4-82C5-E7603030D6EE}">
            <xm:f>LEFT(V148,LEN("S*"))="S*"</xm:f>
            <xm:f>"S*"</xm:f>
            <x14:dxf>
              <font>
                <color auto="1"/>
              </font>
              <fill>
                <patternFill>
                  <bgColor rgb="FFFFFF99"/>
                </patternFill>
              </fill>
            </x14:dxf>
          </x14:cfRule>
          <x14:cfRule type="beginsWith" priority="624" operator="beginsWith" id="{CC563FBB-E6AA-4BDC-879E-8544A8EAB313}">
            <xm:f>LEFT(V148,LEN("NP*"))="NP*"</xm:f>
            <xm:f>"NP*"</xm:f>
            <x14:dxf>
              <fill>
                <patternFill>
                  <bgColor rgb="FFFFFF99"/>
                </patternFill>
              </fill>
            </x14:dxf>
          </x14:cfRule>
          <x14:cfRule type="beginsWith" priority="626" operator="beginsWith" id="{BB72B400-AD6F-4BF8-8E07-56D4EFFFCB85}">
            <xm:f>LEFT(V148,LEN("N*"))="N*"</xm:f>
            <xm:f>"N*"</xm:f>
            <x14:dxf>
              <fill>
                <patternFill>
                  <bgColor rgb="FFFFFF99"/>
                </patternFill>
              </fill>
            </x14:dxf>
          </x14:cfRule>
          <xm:sqref>V148:V150</xm:sqref>
        </x14:conditionalFormatting>
        <x14:conditionalFormatting xmlns:xm="http://schemas.microsoft.com/office/excel/2006/main">
          <x14:cfRule type="beginsWith" priority="594" operator="beginsWith" id="{F4EBC0D4-0372-4B96-85C4-449AA1303CCA}">
            <xm:f>LEFT(V190,LEN("S*"))="S*"</xm:f>
            <xm:f>"S*"</xm:f>
            <x14:dxf>
              <font>
                <color auto="1"/>
              </font>
              <fill>
                <patternFill>
                  <bgColor rgb="FFFFFF99"/>
                </patternFill>
              </fill>
            </x14:dxf>
          </x14:cfRule>
          <x14:cfRule type="beginsWith" priority="596" operator="beginsWith" id="{7DA96760-AEBC-4B6A-91CF-BA2E18ED172C}">
            <xm:f>LEFT(V190,LEN("NP*"))="NP*"</xm:f>
            <xm:f>"NP*"</xm:f>
            <x14:dxf>
              <fill>
                <patternFill>
                  <bgColor rgb="FFFFFF99"/>
                </patternFill>
              </fill>
            </x14:dxf>
          </x14:cfRule>
          <x14:cfRule type="beginsWith" priority="598" operator="beginsWith" id="{E5B73BFC-2C4A-42C5-A4B4-AEAECC957E6F}">
            <xm:f>LEFT(V190,LEN("N*"))="N*"</xm:f>
            <xm:f>"N*"</xm:f>
            <x14:dxf>
              <fill>
                <patternFill>
                  <bgColor rgb="FFFFFF99"/>
                </patternFill>
              </fill>
            </x14:dxf>
          </x14:cfRule>
          <xm:sqref>V190:V197 V200:V204</xm:sqref>
        </x14:conditionalFormatting>
        <x14:conditionalFormatting xmlns:xm="http://schemas.microsoft.com/office/excel/2006/main">
          <x14:cfRule type="cellIs" priority="1037" operator="equal" id="{9364EBEF-7785-4D07-8A93-6AB01E0D7F3E}">
            <xm:f>'Cover Sheet'!$G$12</xm:f>
            <x14:dxf>
              <font>
                <color rgb="FF9C0006"/>
              </font>
              <fill>
                <patternFill>
                  <bgColor rgb="FFFFC7CE"/>
                </patternFill>
              </fill>
            </x14:dxf>
          </x14:cfRule>
          <xm:sqref>W89:AJ89 A11:K11 B12:C15 E12:I15 K12:K15 A16:K16 B69 B75 B81 E81:K88 J89:N89 B142:B143 B145:B146 B148:B149</xm:sqref>
        </x14:conditionalFormatting>
        <x14:conditionalFormatting xmlns:xm="http://schemas.microsoft.com/office/excel/2006/main">
          <x14:cfRule type="beginsWith" priority="238" operator="beginsWith" id="{EB8E8FC0-1D87-45D0-8537-346906A632D7}">
            <xm:f>LEFT(Z180,LEN("S*"))="S*"</xm:f>
            <xm:f>"S*"</xm:f>
            <x14:dxf>
              <font>
                <color auto="1"/>
              </font>
              <fill>
                <patternFill>
                  <bgColor rgb="FFFFFF99"/>
                </patternFill>
              </fill>
            </x14:dxf>
          </x14:cfRule>
          <x14:cfRule type="beginsWith" priority="240" operator="beginsWith" id="{91D76EE5-BB23-46EC-84A8-589761E1F366}">
            <xm:f>LEFT(Z180,LEN("NP*"))="NP*"</xm:f>
            <xm:f>"NP*"</xm:f>
            <x14:dxf>
              <fill>
                <patternFill>
                  <bgColor rgb="FFFFFF99"/>
                </patternFill>
              </fill>
            </x14:dxf>
          </x14:cfRule>
          <x14:cfRule type="beginsWith" priority="242" operator="beginsWith" id="{ABEC9A1B-A663-4C94-B5FD-49C563FFB8AA}">
            <xm:f>LEFT(Z180,LEN("N*"))="N*"</xm:f>
            <xm:f>"N*"</xm:f>
            <x14:dxf>
              <fill>
                <patternFill>
                  <bgColor rgb="FFFFFF99"/>
                </patternFill>
              </fill>
            </x14:dxf>
          </x14:cfRule>
          <xm:sqref>Z180:AK180 AK185:AK197 AK200:AK206</xm:sqref>
        </x14:conditionalFormatting>
        <x14:conditionalFormatting xmlns:xm="http://schemas.microsoft.com/office/excel/2006/main">
          <x14:cfRule type="beginsWith" priority="23" operator="beginsWith" id="{25260DC8-10DF-4629-A661-37B7805171DA}">
            <xm:f>LEFT(Z10,LEN("S*"))="S*"</xm:f>
            <xm:f>"S*"</xm:f>
            <x14:dxf>
              <font>
                <color auto="1"/>
              </font>
              <fill>
                <patternFill>
                  <bgColor rgb="FFFFFF99"/>
                </patternFill>
              </fill>
            </x14:dxf>
          </x14:cfRule>
          <x14:cfRule type="beginsWith" priority="25" operator="beginsWith" id="{67BB81B8-E041-499C-8E74-D7936C7A2FF3}">
            <xm:f>LEFT(Z10,LEN("NP*"))="NP*"</xm:f>
            <xm:f>"NP*"</xm:f>
            <x14:dxf>
              <fill>
                <patternFill>
                  <bgColor rgb="FFFFFF99"/>
                </patternFill>
              </fill>
            </x14:dxf>
          </x14:cfRule>
          <x14:cfRule type="beginsWith" priority="27" operator="beginsWith" id="{1BFE22E1-8CDF-4149-89FD-F88A256B3DFF}">
            <xm:f>LEFT(Z10,LEN("N*"))="N*"</xm:f>
            <xm:f>"N*"</xm:f>
            <x14:dxf>
              <fill>
                <patternFill>
                  <bgColor rgb="FFFFFF99"/>
                </patternFill>
              </fill>
            </x14:dxf>
          </x14:cfRule>
          <xm:sqref>Z10:AV10</xm:sqref>
        </x14:conditionalFormatting>
        <x14:conditionalFormatting xmlns:xm="http://schemas.microsoft.com/office/excel/2006/main">
          <x14:cfRule type="beginsWith" priority="147" operator="beginsWith" id="{2036A3E5-6229-4FA5-B4E6-9E8AA0BDD463}">
            <xm:f>LEFT(AG29,LEN("S*"))="S*"</xm:f>
            <xm:f>"S*"</xm:f>
            <x14:dxf>
              <font>
                <color auto="1"/>
              </font>
              <fill>
                <patternFill>
                  <bgColor rgb="FFFFFF99"/>
                </patternFill>
              </fill>
            </x14:dxf>
          </x14:cfRule>
          <x14:cfRule type="beginsWith" priority="149" operator="beginsWith" id="{CD72A923-9A74-47D2-8280-A01D7879B26B}">
            <xm:f>LEFT(AG29,LEN("NP*"))="NP*"</xm:f>
            <xm:f>"NP*"</xm:f>
            <x14:dxf>
              <fill>
                <patternFill>
                  <bgColor rgb="FFFFFF99"/>
                </patternFill>
              </fill>
            </x14:dxf>
          </x14:cfRule>
          <x14:cfRule type="beginsWith" priority="151" operator="beginsWith" id="{38DF5ED2-5101-4737-94AC-C1FE1B376036}">
            <xm:f>LEFT(AG29,LEN("N*"))="N*"</xm:f>
            <xm:f>"N*"</xm:f>
            <x14:dxf>
              <fill>
                <patternFill>
                  <bgColor rgb="FFFFFF99"/>
                </patternFill>
              </fill>
            </x14:dxf>
          </x14:cfRule>
          <xm:sqref>AG29:AH29</xm:sqref>
        </x14:conditionalFormatting>
        <x14:conditionalFormatting xmlns:xm="http://schemas.microsoft.com/office/excel/2006/main">
          <x14:cfRule type="beginsWith" priority="41" operator="beginsWith" id="{C83A871D-7FE9-4283-823E-A7B6ECCD99D5}">
            <xm:f>LEFT(AJ36,LEN("S*"))="S*"</xm:f>
            <xm:f>"S*"</xm:f>
            <x14:dxf>
              <font>
                <color auto="1"/>
              </font>
              <fill>
                <patternFill>
                  <bgColor rgb="FFFFFF99"/>
                </patternFill>
              </fill>
            </x14:dxf>
          </x14:cfRule>
          <x14:cfRule type="beginsWith" priority="43" operator="beginsWith" id="{A2FF9B5B-E2BA-4068-850D-87491856F9B2}">
            <xm:f>LEFT(AJ36,LEN("NP*"))="NP*"</xm:f>
            <xm:f>"NP*"</xm:f>
            <x14:dxf>
              <fill>
                <patternFill>
                  <bgColor rgb="FFFFFF99"/>
                </patternFill>
              </fill>
            </x14:dxf>
          </x14:cfRule>
          <x14:cfRule type="beginsWith" priority="45" operator="beginsWith" id="{599CD162-B85D-4104-9A9A-64E73C8EC296}">
            <xm:f>LEFT(AJ36,LEN("N*"))="N*"</xm:f>
            <xm:f>"N*"</xm:f>
            <x14:dxf>
              <fill>
                <patternFill>
                  <bgColor rgb="FFFFFF99"/>
                </patternFill>
              </fill>
            </x14:dxf>
          </x14:cfRule>
          <xm:sqref>AJ36</xm:sqref>
        </x14:conditionalFormatting>
        <x14:conditionalFormatting xmlns:xm="http://schemas.microsoft.com/office/excel/2006/main">
          <x14:cfRule type="beginsWith" priority="685" operator="beginsWith" id="{147697B0-E504-4296-A6CE-909AC737DB6F}">
            <xm:f>LEFT(AL151,LEN("S*"))="S*"</xm:f>
            <xm:f>"S*"</xm:f>
            <x14:dxf>
              <font>
                <color auto="1"/>
              </font>
              <fill>
                <patternFill>
                  <bgColor rgb="FFFFFF99"/>
                </patternFill>
              </fill>
            </x14:dxf>
          </x14:cfRule>
          <x14:cfRule type="beginsWith" priority="687" operator="beginsWith" id="{2742A9C8-A815-48BD-B986-0BB6F3B2F277}">
            <xm:f>LEFT(AL151,LEN("NP*"))="NP*"</xm:f>
            <xm:f>"NP*"</xm:f>
            <x14:dxf>
              <fill>
                <patternFill>
                  <bgColor rgb="FFFFFF99"/>
                </patternFill>
              </fill>
            </x14:dxf>
          </x14:cfRule>
          <x14:cfRule type="beginsWith" priority="689" operator="beginsWith" id="{137D2D7D-D0B3-4F1E-A575-36E996F81970}">
            <xm:f>LEFT(AL151,LEN("N*"))="N*"</xm:f>
            <xm:f>"N*"</xm:f>
            <x14:dxf>
              <fill>
                <patternFill>
                  <bgColor rgb="FFFFFF99"/>
                </patternFill>
              </fill>
            </x14:dxf>
          </x14:cfRule>
          <xm:sqref>AL151 AP151</xm:sqref>
        </x14:conditionalFormatting>
        <x14:conditionalFormatting xmlns:xm="http://schemas.microsoft.com/office/excel/2006/main">
          <x14:cfRule type="beginsWith" priority="678" operator="beginsWith" id="{8B8BFC3E-1773-4F7D-ADD3-ADB9E4156308}">
            <xm:f>LEFT(AM152,LEN("S*"))="S*"</xm:f>
            <xm:f>"S*"</xm:f>
            <x14:dxf>
              <font>
                <color auto="1"/>
              </font>
              <fill>
                <patternFill>
                  <bgColor rgb="FFFFFF99"/>
                </patternFill>
              </fill>
            </x14:dxf>
          </x14:cfRule>
          <x14:cfRule type="beginsWith" priority="680" operator="beginsWith" id="{65B7E9B2-AEE2-42B3-960F-FCB8CFBB7ABF}">
            <xm:f>LEFT(AM152,LEN("NP*"))="NP*"</xm:f>
            <xm:f>"NP*"</xm:f>
            <x14:dxf>
              <fill>
                <patternFill>
                  <bgColor rgb="FFFFFF99"/>
                </patternFill>
              </fill>
            </x14:dxf>
          </x14:cfRule>
          <x14:cfRule type="beginsWith" priority="682" operator="beginsWith" id="{46E37B71-D0B4-455C-ABC9-20E6443A5081}">
            <xm:f>LEFT(AM152,LEN("N*"))="N*"</xm:f>
            <xm:f>"N*"</xm:f>
            <x14:dxf>
              <fill>
                <patternFill>
                  <bgColor rgb="FFFFFF99"/>
                </patternFill>
              </fill>
            </x14:dxf>
          </x14:cfRule>
          <xm:sqref>AM152 AQ152</xm:sqref>
        </x14:conditionalFormatting>
        <x14:conditionalFormatting xmlns:xm="http://schemas.microsoft.com/office/excel/2006/main">
          <x14:cfRule type="beginsWith" priority="650" operator="beginsWith" id="{7C7BFCFB-29F1-43D9-BFF9-3B82D4206D5E}">
            <xm:f>LEFT(AN153,LEN("S*"))="S*"</xm:f>
            <xm:f>"S*"</xm:f>
            <x14:dxf>
              <font>
                <color auto="1"/>
              </font>
              <fill>
                <patternFill>
                  <bgColor rgb="FFFFFF99"/>
                </patternFill>
              </fill>
            </x14:dxf>
          </x14:cfRule>
          <x14:cfRule type="beginsWith" priority="652" operator="beginsWith" id="{D1356ACC-0EFA-4FE5-8638-254A2E267D3B}">
            <xm:f>LEFT(AN153,LEN("NP*"))="NP*"</xm:f>
            <xm:f>"NP*"</xm:f>
            <x14:dxf>
              <fill>
                <patternFill>
                  <bgColor rgb="FFFFFF99"/>
                </patternFill>
              </fill>
            </x14:dxf>
          </x14:cfRule>
          <x14:cfRule type="beginsWith" priority="654" operator="beginsWith" id="{09A0FB88-DF91-4760-907E-6F4AB90F7B4E}">
            <xm:f>LEFT(AN153,LEN("N*"))="N*"</xm:f>
            <xm:f>"N*"</xm:f>
            <x14:dxf>
              <fill>
                <patternFill>
                  <bgColor rgb="FFFFFF99"/>
                </patternFill>
              </fill>
            </x14:dxf>
          </x14:cfRule>
          <xm:sqref>AN153</xm:sqref>
        </x14:conditionalFormatting>
        <x14:conditionalFormatting xmlns:xm="http://schemas.microsoft.com/office/excel/2006/main">
          <x14:cfRule type="beginsWith" priority="659" operator="beginsWith" id="{73B66CC1-B2A5-430C-B886-225A5E2AFEC5}">
            <xm:f>LEFT(AO190,LEN("NP*"))="NP*"</xm:f>
            <xm:f>"NP*"</xm:f>
            <x14:dxf>
              <fill>
                <patternFill>
                  <bgColor rgb="FFFFFF99"/>
                </patternFill>
              </fill>
            </x14:dxf>
          </x14:cfRule>
          <x14:cfRule type="beginsWith" priority="661" operator="beginsWith" id="{4437A62C-E602-410A-AB79-3C20D5F57D36}">
            <xm:f>LEFT(AO190,LEN("N*"))="N*"</xm:f>
            <xm:f>"N*"</xm:f>
            <x14:dxf>
              <fill>
                <patternFill>
                  <bgColor rgb="FFFFFF99"/>
                </patternFill>
              </fill>
            </x14:dxf>
          </x14:cfRule>
          <xm:sqref>AO190:AO197 AO200:AO204</xm:sqref>
        </x14:conditionalFormatting>
        <x14:conditionalFormatting xmlns:xm="http://schemas.microsoft.com/office/excel/2006/main">
          <x14:cfRule type="beginsWith" priority="657" operator="beginsWith" id="{4B08ED27-AB2D-4DC2-84F5-9611F99288CE}">
            <xm:f>LEFT(O30,LEN("S*"))="S*"</xm:f>
            <xm:f>"S*"</xm:f>
            <x14:dxf>
              <font>
                <color auto="1"/>
              </font>
              <fill>
                <patternFill>
                  <bgColor rgb="FFFFFF99"/>
                </patternFill>
              </fill>
            </x14:dxf>
          </x14:cfRule>
          <xm:sqref>AO200:AO204 AO190:AO197 AY31:BD31 AX33:BD37 AX30:BD30 O30:AV30 O33:AV35</xm:sqref>
        </x14:conditionalFormatting>
        <x14:conditionalFormatting xmlns:xm="http://schemas.microsoft.com/office/excel/2006/main">
          <x14:cfRule type="beginsWith" priority="671" operator="beginsWith" id="{7118EEA8-5AA5-4D82-9524-35300386F12C}">
            <xm:f>LEFT(AR153,LEN("S*"))="S*"</xm:f>
            <xm:f>"S*"</xm:f>
            <x14:dxf>
              <font>
                <color auto="1"/>
              </font>
              <fill>
                <patternFill>
                  <bgColor rgb="FFFFFF99"/>
                </patternFill>
              </fill>
            </x14:dxf>
          </x14:cfRule>
          <x14:cfRule type="beginsWith" priority="673" operator="beginsWith" id="{F5A32970-0D5B-459D-BFFB-61DA43A3BB9C}">
            <xm:f>LEFT(AR153,LEN("NP*"))="NP*"</xm:f>
            <xm:f>"NP*"</xm:f>
            <x14:dxf>
              <fill>
                <patternFill>
                  <bgColor rgb="FFFFFF99"/>
                </patternFill>
              </fill>
            </x14:dxf>
          </x14:cfRule>
          <x14:cfRule type="beginsWith" priority="675" operator="beginsWith" id="{2B2635EE-64F5-43D2-B09F-889518DF8AB5}">
            <xm:f>LEFT(AR153,LEN("N*"))="N*"</xm:f>
            <xm:f>"N*"</xm:f>
            <x14:dxf>
              <fill>
                <patternFill>
                  <bgColor rgb="FFFFFF99"/>
                </patternFill>
              </fill>
            </x14:dxf>
          </x14:cfRule>
          <xm:sqref>AR153</xm:sqref>
        </x14:conditionalFormatting>
        <x14:conditionalFormatting xmlns:xm="http://schemas.microsoft.com/office/excel/2006/main">
          <x14:cfRule type="beginsWith" priority="666" operator="beginsWith" id="{D0FE4717-B85E-447F-B02B-56FF4DD7BEF8}">
            <xm:f>LEFT(AS190,LEN("NP*"))="NP*"</xm:f>
            <xm:f>"NP*"</xm:f>
            <x14:dxf>
              <fill>
                <patternFill>
                  <bgColor rgb="FFFFFF99"/>
                </patternFill>
              </fill>
            </x14:dxf>
          </x14:cfRule>
          <x14:cfRule type="beginsWith" priority="668" operator="beginsWith" id="{12DC5C0F-DA0A-4D1F-9637-B5BDEF29F2E9}">
            <xm:f>LEFT(AS190,LEN("N*"))="N*"</xm:f>
            <xm:f>"N*"</xm:f>
            <x14:dxf>
              <fill>
                <patternFill>
                  <bgColor rgb="FFFFFF99"/>
                </patternFill>
              </fill>
            </x14:dxf>
          </x14:cfRule>
          <xm:sqref>AS190:AS197 AS200:AS204</xm:sqref>
        </x14:conditionalFormatting>
        <x14:conditionalFormatting xmlns:xm="http://schemas.microsoft.com/office/excel/2006/main">
          <x14:cfRule type="beginsWith" priority="664" operator="beginsWith" id="{A4231294-D322-4F98-916A-845200529F8D}">
            <xm:f>LEFT(AS190,LEN("S*"))="S*"</xm:f>
            <xm:f>"S*"</xm:f>
            <x14:dxf>
              <font>
                <color auto="1"/>
              </font>
              <fill>
                <patternFill>
                  <bgColor rgb="FFFFFF99"/>
                </patternFill>
              </fill>
            </x14:dxf>
          </x14:cfRule>
          <xm:sqref>AS200:AS204 AS190:AS197</xm:sqref>
        </x14:conditionalFormatting>
        <x14:conditionalFormatting xmlns:xm="http://schemas.microsoft.com/office/excel/2006/main">
          <x14:cfRule type="beginsWith" priority="727" operator="beginsWith" id="{2E344BB3-AB4D-4222-8C08-08CD05434083}">
            <xm:f>LEFT(AT151,LEN("S*"))="S*"</xm:f>
            <xm:f>"S*"</xm:f>
            <x14:dxf>
              <font>
                <color auto="1"/>
              </font>
              <fill>
                <patternFill>
                  <bgColor rgb="FFFFFF99"/>
                </patternFill>
              </fill>
            </x14:dxf>
          </x14:cfRule>
          <x14:cfRule type="beginsWith" priority="729" operator="beginsWith" id="{6A1999C2-1AB8-48D6-8C9B-640FD90F6AB8}">
            <xm:f>LEFT(AT151,LEN("NP*"))="NP*"</xm:f>
            <xm:f>"NP*"</xm:f>
            <x14:dxf>
              <fill>
                <patternFill>
                  <bgColor rgb="FFFFFF99"/>
                </patternFill>
              </fill>
            </x14:dxf>
          </x14:cfRule>
          <x14:cfRule type="beginsWith" priority="731" operator="beginsWith" id="{19A3C8DD-9631-4872-974C-204DC95D4F22}">
            <xm:f>LEFT(AT151,LEN("N*"))="N*"</xm:f>
            <xm:f>"N*"</xm:f>
            <x14:dxf>
              <fill>
                <patternFill>
                  <bgColor rgb="FFFFFF99"/>
                </patternFill>
              </fill>
            </x14:dxf>
          </x14:cfRule>
          <xm:sqref>AT151 AX151:AY151</xm:sqref>
        </x14:conditionalFormatting>
        <x14:conditionalFormatting xmlns:xm="http://schemas.microsoft.com/office/excel/2006/main">
          <x14:cfRule type="beginsWith" priority="898" operator="beginsWith" id="{98E9FE33-5E22-4635-98A5-87CC947C4EF9}">
            <xm:f>LEFT(O12,LEN("S*"))="S*"</xm:f>
            <xm:f>"S*"</xm:f>
            <x14:dxf>
              <font>
                <color auto="1"/>
              </font>
              <fill>
                <patternFill>
                  <bgColor rgb="FFFFFF99"/>
                </patternFill>
              </fill>
            </x14:dxf>
          </x14:cfRule>
          <xm:sqref>AT81:AV99 AK112:AV125 AV126:AV128 AV129:AW129 BA142:BD143 BA145:BD146 BA148:BD149 O38:AJ39 O51:AV51 AL64:AV68 O64:AK69 AL69:AW69 O81:AS100 O112:AJ129 AK126:AU129 O179:AV179 U180:Y180 U190:AJ197 U200:AF204 AG200:AJ205 AL200:AV205 O36:AI37 AK36:AV38 O205:AF205 Q200:R204 O12:AV28</xm:sqref>
        </x14:conditionalFormatting>
        <x14:conditionalFormatting xmlns:xm="http://schemas.microsoft.com/office/excel/2006/main">
          <x14:cfRule type="cellIs" priority="1063" operator="equal" id="{3EE9D5F7-B724-48A1-BB12-6DD25E111750}">
            <xm:f>'Cover Sheet'!$G$12</xm:f>
            <x14:dxf>
              <font>
                <color rgb="FF9C0006"/>
              </font>
              <fill>
                <patternFill>
                  <bgColor rgb="FFFFC7CE"/>
                </patternFill>
              </fill>
            </x14:dxf>
          </x14:cfRule>
          <xm:sqref>AT89:AV89 E130:J130 E132:I132 E134:J135 E137:I137</xm:sqref>
        </x14:conditionalFormatting>
        <x14:conditionalFormatting xmlns:xm="http://schemas.microsoft.com/office/excel/2006/main">
          <x14:cfRule type="beginsWith" priority="720" operator="beginsWith" id="{777E7575-DDBB-4156-B9D8-0877FC798542}">
            <xm:f>LEFT(AU152,LEN("S*"))="S*"</xm:f>
            <xm:f>"S*"</xm:f>
            <x14:dxf>
              <font>
                <color auto="1"/>
              </font>
              <fill>
                <patternFill>
                  <bgColor rgb="FFFFFF99"/>
                </patternFill>
              </fill>
            </x14:dxf>
          </x14:cfRule>
          <x14:cfRule type="beginsWith" priority="722" operator="beginsWith" id="{163DE450-B72A-4863-95F6-0749CC42ACF0}">
            <xm:f>LEFT(AU152,LEN("NP*"))="NP*"</xm:f>
            <xm:f>"NP*"</xm:f>
            <x14:dxf>
              <fill>
                <patternFill>
                  <bgColor rgb="FFFFFF99"/>
                </patternFill>
              </fill>
            </x14:dxf>
          </x14:cfRule>
          <x14:cfRule type="beginsWith" priority="724" operator="beginsWith" id="{ECE74469-8A7B-45B6-B9F0-DF690B1608BF}">
            <xm:f>LEFT(AU152,LEN("N*"))="N*"</xm:f>
            <xm:f>"N*"</xm:f>
            <x14:dxf>
              <fill>
                <patternFill>
                  <bgColor rgb="FFFFFF99"/>
                </patternFill>
              </fill>
            </x14:dxf>
          </x14:cfRule>
          <xm:sqref>AU152</xm:sqref>
        </x14:conditionalFormatting>
        <x14:conditionalFormatting xmlns:xm="http://schemas.microsoft.com/office/excel/2006/main">
          <x14:cfRule type="beginsWith" priority="692" operator="beginsWith" id="{632FCA36-149D-4A9F-8A42-B301E016E7C3}">
            <xm:f>LEFT(AV153,LEN("S*"))="S*"</xm:f>
            <xm:f>"S*"</xm:f>
            <x14:dxf>
              <font>
                <color auto="1"/>
              </font>
              <fill>
                <patternFill>
                  <bgColor rgb="FFFFFF99"/>
                </patternFill>
              </fill>
            </x14:dxf>
          </x14:cfRule>
          <x14:cfRule type="beginsWith" priority="694" operator="beginsWith" id="{F6E855C1-12E4-4737-8EF3-E7472AF37397}">
            <xm:f>LEFT(AV153,LEN("NP*"))="NP*"</xm:f>
            <xm:f>"NP*"</xm:f>
            <x14:dxf>
              <fill>
                <patternFill>
                  <bgColor rgb="FFFFFF99"/>
                </patternFill>
              </fill>
            </x14:dxf>
          </x14:cfRule>
          <x14:cfRule type="beginsWith" priority="696" operator="beginsWith" id="{690F9221-9BC7-4502-B0ED-F430674A5F7E}">
            <xm:f>LEFT(AV153,LEN("N*"))="N*"</xm:f>
            <xm:f>"N*"</xm:f>
            <x14:dxf>
              <fill>
                <patternFill>
                  <bgColor rgb="FFFFFF99"/>
                </patternFill>
              </fill>
            </x14:dxf>
          </x14:cfRule>
          <xm:sqref>AV153</xm:sqref>
        </x14:conditionalFormatting>
        <x14:conditionalFormatting xmlns:xm="http://schemas.microsoft.com/office/excel/2006/main">
          <x14:cfRule type="beginsWith" priority="260" operator="beginsWith" id="{E33F9326-197B-473E-9D7C-9F3E407DC1E8}">
            <xm:f>LEFT(O9,LEN("S*"))="S*"</xm:f>
            <xm:f>"S*"</xm:f>
            <x14:dxf>
              <font>
                <color auto="1"/>
              </font>
              <fill>
                <patternFill>
                  <bgColor rgb="FFFFFF99"/>
                </patternFill>
              </fill>
            </x14:dxf>
          </x14:cfRule>
          <x14:cfRule type="beginsWith" priority="262" operator="beginsWith" id="{FF1D2643-B932-44EB-AE0D-489884B52A26}">
            <xm:f>LEFT(O9,LEN("NP*"))="NP*"</xm:f>
            <xm:f>"NP*"</xm:f>
            <x14:dxf>
              <fill>
                <patternFill>
                  <bgColor rgb="FFFFFF99"/>
                </patternFill>
              </fill>
            </x14:dxf>
          </x14:cfRule>
          <x14:cfRule type="beginsWith" priority="264" operator="beginsWith" id="{613A4734-4014-4F63-8045-2A640D0F0D7D}">
            <xm:f>LEFT(O9,LEN("N*"))="N*"</xm:f>
            <xm:f>"N*"</xm:f>
            <x14:dxf>
              <fill>
                <patternFill>
                  <bgColor rgb="FFFFFF99"/>
                </patternFill>
              </fill>
            </x14:dxf>
          </x14:cfRule>
          <xm:sqref>AW154 AW179:AW185 O206:AJ206 AX9:BD10</xm:sqref>
        </x14:conditionalFormatting>
        <x14:conditionalFormatting xmlns:xm="http://schemas.microsoft.com/office/excel/2006/main">
          <x14:cfRule type="beginsWith" priority="699" operator="beginsWith" id="{76213224-3EE7-486B-9DBC-9D8F489D2E61}">
            <xm:f>LEFT(AW200,LEN("S*"))="S*"</xm:f>
            <xm:f>"S*"</xm:f>
            <x14:dxf>
              <font>
                <color auto="1"/>
              </font>
              <fill>
                <patternFill>
                  <bgColor rgb="FFFFFF99"/>
                </patternFill>
              </fill>
            </x14:dxf>
          </x14:cfRule>
          <x14:cfRule type="beginsWith" priority="701" operator="beginsWith" id="{12B2886B-BF30-4660-A306-4641A1C51000}">
            <xm:f>LEFT(AW200,LEN("NP*"))="NP*"</xm:f>
            <xm:f>"NP*"</xm:f>
            <x14:dxf>
              <fill>
                <patternFill>
                  <bgColor rgb="FFFFFF99"/>
                </patternFill>
              </fill>
            </x14:dxf>
          </x14:cfRule>
          <x14:cfRule type="beginsWith" priority="703" operator="beginsWith" id="{5ABE6199-E36A-4CCC-B350-5D68AAD49103}">
            <xm:f>LEFT(AW200,LEN("N*"))="N*"</xm:f>
            <xm:f>"N*"</xm:f>
            <x14:dxf>
              <fill>
                <patternFill>
                  <bgColor rgb="FFFFFF99"/>
                </patternFill>
              </fill>
            </x14:dxf>
          </x14:cfRule>
          <xm:sqref>AW200:AW204</xm:sqref>
        </x14:conditionalFormatting>
        <x14:conditionalFormatting xmlns:xm="http://schemas.microsoft.com/office/excel/2006/main">
          <x14:cfRule type="beginsWith" priority="198" operator="beginsWith" id="{CE7619AF-9840-479A-86B4-4D98F83AD0D6}">
            <xm:f>LEFT(Q185,LEN("NP*"))="NP*"</xm:f>
            <xm:f>"NP*"</xm:f>
            <x14:dxf>
              <fill>
                <patternFill>
                  <bgColor rgb="FFFFFF99"/>
                </patternFill>
              </fill>
            </x14:dxf>
          </x14:cfRule>
          <x14:cfRule type="beginsWith" priority="200" operator="beginsWith" id="{AB567B87-3494-48D9-A928-250F1499A157}">
            <xm:f>LEFT(Q185,LEN("N*"))="N*"</xm:f>
            <xm:f>"N*"</xm:f>
            <x14:dxf>
              <fill>
                <patternFill>
                  <bgColor rgb="FFFFFF99"/>
                </patternFill>
              </fill>
            </x14:dxf>
          </x14:cfRule>
          <xm:sqref>AX185:AX189 AY185:BA197 AL190:AX197 Q198:R199 AL206:AZ206</xm:sqref>
        </x14:conditionalFormatting>
        <x14:conditionalFormatting xmlns:xm="http://schemas.microsoft.com/office/excel/2006/main">
          <x14:cfRule type="beginsWith" priority="298" operator="beginsWith" id="{8F6CA14F-1A59-4259-8380-2FEBEB169A58}">
            <xm:f>LEFT(V154,LEN("S*"))="S*"</xm:f>
            <xm:f>"S*"</xm:f>
            <x14:dxf>
              <font>
                <color auto="1"/>
              </font>
              <fill>
                <patternFill>
                  <bgColor rgb="FFFFFF99"/>
                </patternFill>
              </fill>
            </x14:dxf>
          </x14:cfRule>
          <x14:cfRule type="beginsWith" priority="300" operator="beginsWith" id="{8AACEB45-8FB8-4F7F-9F2E-F84D20AA53F3}">
            <xm:f>LEFT(V154,LEN("NP*"))="NP*"</xm:f>
            <xm:f>"NP*"</xm:f>
            <x14:dxf>
              <fill>
                <patternFill>
                  <bgColor rgb="FFFFFF99"/>
                </patternFill>
              </fill>
            </x14:dxf>
          </x14:cfRule>
          <x14:cfRule type="beginsWith" priority="302" operator="beginsWith" id="{05FED2D4-1AE4-4A61-8C88-CEC4F636BB37}">
            <xm:f>LEFT(V154,LEN("N*"))="N*"</xm:f>
            <xm:f>"N*"</xm:f>
            <x14:dxf>
              <fill>
                <patternFill>
                  <bgColor rgb="FFFFFF99"/>
                </patternFill>
              </fill>
            </x14:dxf>
          </x14:cfRule>
          <xm:sqref>V154 AO154 AS154 V179:V185 AO179:AO185 AS179:AS185 BA190:BA197 BA200:BA204</xm:sqref>
        </x14:conditionalFormatting>
        <x14:conditionalFormatting xmlns:xm="http://schemas.microsoft.com/office/excel/2006/main">
          <x14:cfRule type="beginsWith" priority="196" operator="beginsWith" id="{054BD97C-D903-47E5-AB7B-56E3576BA5E8}">
            <xm:f>LEFT(Q185,LEN("S*"))="S*"</xm:f>
            <xm:f>"S*"</xm:f>
            <x14:dxf>
              <font>
                <color auto="1"/>
              </font>
              <fill>
                <patternFill>
                  <bgColor rgb="FFFFFF99"/>
                </patternFill>
              </fill>
            </x14:dxf>
          </x14:cfRule>
          <xm:sqref>AY185:BA197 AX185:AX189 AL190:AX197 Q198:R199 AL206:AZ206</xm:sqref>
        </x14:conditionalFormatting>
        <x14:conditionalFormatting xmlns:xm="http://schemas.microsoft.com/office/excel/2006/main">
          <x14:cfRule type="beginsWith" priority="713" operator="beginsWith" id="{66595E62-4CC5-4600-B5A3-E7CF145B7776}">
            <xm:f>LEFT(AZ153,LEN("S*"))="S*"</xm:f>
            <xm:f>"S*"</xm:f>
            <x14:dxf>
              <font>
                <color auto="1"/>
              </font>
              <fill>
                <patternFill>
                  <bgColor rgb="FFFFFF99"/>
                </patternFill>
              </fill>
            </x14:dxf>
          </x14:cfRule>
          <x14:cfRule type="beginsWith" priority="715" operator="beginsWith" id="{93C4A5C6-E8CA-4457-9682-D877B074AB73}">
            <xm:f>LEFT(AZ153,LEN("NP*"))="NP*"</xm:f>
            <xm:f>"NP*"</xm:f>
            <x14:dxf>
              <fill>
                <patternFill>
                  <bgColor rgb="FFFFFF99"/>
                </patternFill>
              </fill>
            </x14:dxf>
          </x14:cfRule>
          <x14:cfRule type="beginsWith" priority="717" operator="beginsWith" id="{7A22FB54-7F45-4D78-8FB8-1F1979D060B5}">
            <xm:f>LEFT(AZ153,LEN("N*"))="N*"</xm:f>
            <xm:f>"N*"</xm:f>
            <x14:dxf>
              <fill>
                <patternFill>
                  <bgColor rgb="FFFFFF99"/>
                </patternFill>
              </fill>
            </x14:dxf>
          </x14:cfRule>
          <xm:sqref>AZ153</xm:sqref>
        </x14:conditionalFormatting>
        <x14:conditionalFormatting xmlns:xm="http://schemas.microsoft.com/office/excel/2006/main">
          <x14:cfRule type="beginsWith" priority="332" operator="beginsWith" id="{AE3F4208-6CA9-4460-9229-9CEF8D4B01A2}">
            <xm:f>LEFT(O12,LEN("S*"))="S*"</xm:f>
            <xm:f>"S*"</xm:f>
            <x14:dxf>
              <font>
                <color auto="1"/>
              </font>
              <fill>
                <patternFill>
                  <bgColor rgb="FFFFFF99"/>
                </patternFill>
              </fill>
            </x14:dxf>
          </x14:cfRule>
          <xm:sqref>BA179:BA189 U185:AJ189 AL185:AV189 AI36 AL180:AX180 AX200:BA205 BD154:BD185 AX12:BD28 O31:AX31 AX38 AY38:BD39 AK39:AX39 O41:BD41 O43:BD43 O45:BD45 O47:BD47 O49:BD49 AX51:BD51 O52:BD52 AX64:BD69 O75:BD75 AX81:AX99 AY81:BD100 AT100:AX100 O106:BD106 AX112:BD129 O134:BD134 BA139:BD140 BA154:BC154 O155:AV178 AZ155:BC178 AX155:AX179 AY155:AY180 BB156:BD159 BB161:BD169 AZ179:BD179 AZ180:BA180 Q185:R197</xm:sqref>
        </x14:conditionalFormatting>
        <x14:conditionalFormatting xmlns:xm="http://schemas.microsoft.com/office/excel/2006/main">
          <x14:cfRule type="beginsWith" priority="52" operator="beginsWith" id="{E2C7B29D-67DE-4A9B-B98E-8C9B7261EAA8}">
            <xm:f>LEFT(AI36,LEN("NP*"))="NP*"</xm:f>
            <xm:f>"NP*"</xm:f>
            <x14:dxf>
              <fill>
                <patternFill>
                  <bgColor rgb="FFFFFF99"/>
                </patternFill>
              </fill>
            </x14:dxf>
          </x14:cfRule>
          <x14:cfRule type="beginsWith" priority="53" operator="beginsWith" id="{54EF61BE-5E26-47F9-AFCA-C91982DA4BFE}">
            <xm:f>LEFT(AI36,LEN("N*"))="N*"</xm:f>
            <xm:f>"N*"</xm:f>
            <x14:dxf>
              <fill>
                <patternFill>
                  <bgColor rgb="FFFFFF99"/>
                </patternFill>
              </fill>
            </x14:dxf>
          </x14:cfRule>
          <xm:sqref>BA36:BD36 AI36</xm:sqref>
        </x14:conditionalFormatting>
        <x14:conditionalFormatting xmlns:xm="http://schemas.microsoft.com/office/excel/2006/main">
          <x14:cfRule type="beginsWith" priority="173" operator="beginsWith" id="{12EDD46C-5BF1-4F18-B707-B4C72DAD7B39}">
            <xm:f>LEFT(O30,LEN("NP*"))="NP*"</xm:f>
            <xm:f>"NP*"</xm:f>
            <x14:dxf>
              <fill>
                <patternFill>
                  <bgColor rgb="FFFFFF99"/>
                </patternFill>
              </fill>
            </x14:dxf>
          </x14:cfRule>
          <xm:sqref>BA154:BD154 AX155:AX179 AZ155:BD179 AY155:AY180 AL180:AX180 AZ180:BA180 BA180:BA185 BD180:BD185 AY31:BD31 AX34:BD37 O30:AV30 O33:AV35</xm:sqref>
        </x14:conditionalFormatting>
        <x14:conditionalFormatting xmlns:xm="http://schemas.microsoft.com/office/excel/2006/main">
          <x14:cfRule type="beginsWith" priority="93" operator="beginsWith" id="{287A9CF0-A7D8-4964-9433-54811E0E69C0}">
            <xm:f>LEFT(BB156,LEN("NP*"))="NP*"</xm:f>
            <xm:f>"NP*"</xm:f>
            <x14:dxf>
              <fill>
                <patternFill>
                  <bgColor rgb="FFFFFF99"/>
                </patternFill>
              </fill>
            </x14:dxf>
          </x14:cfRule>
          <x14:cfRule type="beginsWith" priority="95" operator="beginsWith" id="{9F85DD96-DB28-4F5A-98AC-4CC3E37293D9}">
            <xm:f>LEFT(BB156,LEN("N*"))="N*"</xm:f>
            <xm:f>"N*"</xm:f>
            <x14:dxf>
              <fill>
                <patternFill>
                  <bgColor rgb="FFFFFF99"/>
                </patternFill>
              </fill>
            </x14:dxf>
          </x14:cfRule>
          <xm:sqref>BB156:BC159</xm:sqref>
        </x14:conditionalFormatting>
        <x14:conditionalFormatting xmlns:xm="http://schemas.microsoft.com/office/excel/2006/main">
          <x14:cfRule type="beginsWith" priority="113" operator="beginsWith" id="{3D3A8D4F-692D-4846-876B-46AB9995D277}">
            <xm:f>LEFT(BB159,LEN("NP*"))="NP*"</xm:f>
            <xm:f>"NP*"</xm:f>
            <x14:dxf>
              <fill>
                <patternFill>
                  <bgColor rgb="FFFFFF99"/>
                </patternFill>
              </fill>
            </x14:dxf>
          </x14:cfRule>
          <x14:cfRule type="beginsWith" priority="115" operator="beginsWith" id="{F6DE9933-C7D3-4B26-A483-F06C08E380C0}">
            <xm:f>LEFT(BB159,LEN("N*"))="N*"</xm:f>
            <xm:f>"N*"</xm:f>
            <x14:dxf>
              <fill>
                <patternFill>
                  <bgColor rgb="FFFFFF99"/>
                </patternFill>
              </fill>
            </x14:dxf>
          </x14:cfRule>
          <xm:sqref>BB159:BC159</xm:sqref>
        </x14:conditionalFormatting>
        <x14:conditionalFormatting xmlns:xm="http://schemas.microsoft.com/office/excel/2006/main">
          <x14:cfRule type="beginsWith" priority="108" operator="beginsWith" id="{65101EA8-61D4-4EA6-9A1B-D2DBB0C7DE37}">
            <xm:f>LEFT(BB161,LEN("NP*"))="NP*"</xm:f>
            <xm:f>"NP*"</xm:f>
            <x14:dxf>
              <fill>
                <patternFill>
                  <bgColor rgb="FFFFFF99"/>
                </patternFill>
              </fill>
            </x14:dxf>
          </x14:cfRule>
          <x14:cfRule type="beginsWith" priority="110" operator="beginsWith" id="{727C0F39-1A8B-468D-8BCA-9D465DCC02D5}">
            <xm:f>LEFT(BB161,LEN("N*"))="N*"</xm:f>
            <xm:f>"N*"</xm:f>
            <x14:dxf>
              <fill>
                <patternFill>
                  <bgColor rgb="FFFFFF99"/>
                </patternFill>
              </fill>
            </x14:dxf>
          </x14:cfRule>
          <xm:sqref>BB161:BC169</xm:sqref>
        </x14:conditionalFormatting>
        <x14:conditionalFormatting xmlns:xm="http://schemas.microsoft.com/office/excel/2006/main">
          <x14:cfRule type="beginsWith" priority="63" operator="beginsWith" id="{6AEA1FF2-B5E3-4F0F-86CA-C1F1A6E52D2B}">
            <xm:f>LEFT(BB180,LEN("S*"))="S*"</xm:f>
            <xm:f>"S*"</xm:f>
            <x14:dxf>
              <font>
                <color auto="1"/>
              </font>
              <fill>
                <patternFill>
                  <bgColor rgb="FFFFFF99"/>
                </patternFill>
              </fill>
            </x14:dxf>
          </x14:cfRule>
          <x14:cfRule type="beginsWith" priority="65" operator="beginsWith" id="{5F67C586-44E6-4998-AB7B-E6F9AD0E9380}">
            <xm:f>LEFT(BB180,LEN("NP*"))="NP*"</xm:f>
            <xm:f>"NP*"</xm:f>
            <x14:dxf>
              <fill>
                <patternFill>
                  <bgColor rgb="FFFFFF99"/>
                </patternFill>
              </fill>
            </x14:dxf>
          </x14:cfRule>
          <x14:cfRule type="beginsWith" priority="67" operator="beginsWith" id="{DAB1EACA-EC2F-487A-8192-37BF2282FFAE}">
            <xm:f>LEFT(BB180,LEN("N*"))="N*"</xm:f>
            <xm:f>"N*"</xm:f>
            <x14:dxf>
              <fill>
                <patternFill>
                  <bgColor rgb="FFFFFF99"/>
                </patternFill>
              </fill>
            </x14:dxf>
          </x14:cfRule>
          <xm:sqref>BB180:BC180 BB185:BC204</xm:sqref>
        </x14:conditionalFormatting>
        <x14:conditionalFormatting xmlns:xm="http://schemas.microsoft.com/office/excel/2006/main">
          <x14:cfRule type="beginsWith" priority="76" operator="beginsWith" id="{4823966D-24BB-4819-AA7C-EE1501AA9DEE}">
            <xm:f>LEFT(BB205,LEN("S*"))="S*"</xm:f>
            <xm:f>"S*"</xm:f>
            <x14:dxf>
              <font>
                <color auto="1"/>
              </font>
              <fill>
                <patternFill>
                  <bgColor rgb="FFFFFF99"/>
                </patternFill>
              </fill>
            </x14:dxf>
          </x14:cfRule>
          <x14:cfRule type="beginsWith" priority="78" operator="beginsWith" id="{853BC4AF-7232-4262-B047-259AE4F3B0DE}">
            <xm:f>LEFT(BB205,LEN("NP*"))="NP*"</xm:f>
            <xm:f>"NP*"</xm:f>
            <x14:dxf>
              <fill>
                <patternFill>
                  <bgColor rgb="FFFFFF99"/>
                </patternFill>
              </fill>
            </x14:dxf>
          </x14:cfRule>
          <x14:cfRule type="beginsWith" priority="80" operator="beginsWith" id="{255002E5-6E2F-4D42-84A6-E3E2BB182F18}">
            <xm:f>LEFT(BB205,LEN("N*"))="N*"</xm:f>
            <xm:f>"N*"</xm:f>
            <x14:dxf>
              <fill>
                <patternFill>
                  <bgColor rgb="FFFFFF99"/>
                </patternFill>
              </fill>
            </x14:dxf>
          </x14:cfRule>
          <xm:sqref>BB205:BC205</xm:sqref>
        </x14:conditionalFormatting>
        <x14:conditionalFormatting xmlns:xm="http://schemas.microsoft.com/office/excel/2006/main">
          <x14:cfRule type="beginsWith" priority="118" operator="beginsWith" id="{7820E2BB-8759-49CF-83BA-96703B59128D}">
            <xm:f>LEFT(BB156,LEN("NP*"))="NP*"</xm:f>
            <xm:f>"NP*"</xm:f>
            <x14:dxf>
              <fill>
                <patternFill>
                  <bgColor rgb="FFFFFF99"/>
                </patternFill>
              </fill>
            </x14:dxf>
          </x14:cfRule>
          <x14:cfRule type="beginsWith" priority="120" operator="beginsWith" id="{004AC06C-2DFD-4021-B838-7F72C7AA45D6}">
            <xm:f>LEFT(BB156,LEN("N*"))="N*"</xm:f>
            <xm:f>"N*"</xm:f>
            <x14:dxf>
              <fill>
                <patternFill>
                  <bgColor rgb="FFFFFF99"/>
                </patternFill>
              </fill>
            </x14:dxf>
          </x14:cfRule>
          <xm:sqref>BB156:BD158</xm:sqref>
        </x14:conditionalFormatting>
        <x14:conditionalFormatting xmlns:xm="http://schemas.microsoft.com/office/excel/2006/main">
          <x14:cfRule type="beginsWith" priority="83" operator="beginsWith" id="{F07A5BEE-B1AC-48C0-9359-3F9983123301}">
            <xm:f>LEFT(BB156,LEN("NP*"))="NP*"</xm:f>
            <xm:f>"NP*"</xm:f>
            <x14:dxf>
              <fill>
                <patternFill>
                  <bgColor rgb="FFFFFF99"/>
                </patternFill>
              </fill>
            </x14:dxf>
          </x14:cfRule>
          <x14:cfRule type="beginsWith" priority="85" operator="beginsWith" id="{3708461F-E5AD-4123-B9E4-8DEA4BFFF491}">
            <xm:f>LEFT(BB156,LEN("N*"))="N*"</xm:f>
            <xm:f>"N*"</xm:f>
            <x14:dxf>
              <fill>
                <patternFill>
                  <bgColor rgb="FFFFFF99"/>
                </patternFill>
              </fill>
            </x14:dxf>
          </x14:cfRule>
          <xm:sqref>BB156:BD159</xm:sqref>
        </x14:conditionalFormatting>
        <x14:conditionalFormatting xmlns:xm="http://schemas.microsoft.com/office/excel/2006/main">
          <x14:cfRule type="beginsWith" priority="98" operator="beginsWith" id="{DDC3F3A6-533B-4F9B-BBF3-66BB22B6F5B7}">
            <xm:f>LEFT(BB161,LEN("NP*"))="NP*"</xm:f>
            <xm:f>"NP*"</xm:f>
            <x14:dxf>
              <fill>
                <patternFill>
                  <bgColor rgb="FFFFFF99"/>
                </patternFill>
              </fill>
            </x14:dxf>
          </x14:cfRule>
          <x14:cfRule type="beginsWith" priority="100" operator="beginsWith" id="{FEDD0274-EDD7-4051-B848-33978900BCA1}">
            <xm:f>LEFT(BB161,LEN("N*"))="N*"</xm:f>
            <xm:f>"N*"</xm:f>
            <x14:dxf>
              <fill>
                <patternFill>
                  <bgColor rgb="FFFFFF99"/>
                </patternFill>
              </fill>
            </x14:dxf>
          </x14:cfRule>
          <xm:sqref>BB161:BD169</xm:sqref>
        </x14:conditionalFormatting>
        <x14:conditionalFormatting xmlns:xm="http://schemas.microsoft.com/office/excel/2006/main">
          <x14:cfRule type="beginsWith" priority="69" operator="beginsWith" id="{957D8F74-161C-4B7B-A82F-E1A12BD50E51}">
            <xm:f>LEFT(BB206,LEN("S*"))="S*"</xm:f>
            <xm:f>"S*"</xm:f>
            <x14:dxf>
              <font>
                <color auto="1"/>
              </font>
              <fill>
                <patternFill>
                  <bgColor rgb="FFFFFF99"/>
                </patternFill>
              </fill>
            </x14:dxf>
          </x14:cfRule>
          <x14:cfRule type="beginsWith" priority="71" operator="beginsWith" id="{AC219BA0-AFA2-412C-8A45-F09F70D2FF87}">
            <xm:f>LEFT(BB206,LEN("NP*"))="NP*"</xm:f>
            <xm:f>"NP*"</xm:f>
            <x14:dxf>
              <fill>
                <patternFill>
                  <bgColor rgb="FFFFFF99"/>
                </patternFill>
              </fill>
            </x14:dxf>
          </x14:cfRule>
          <x14:cfRule type="beginsWith" priority="73" operator="beginsWith" id="{69C3DB71-EA57-4BC4-A43B-6CAD42AAF014}">
            <xm:f>LEFT(BB206,LEN("N*"))="N*"</xm:f>
            <xm:f>"N*"</xm:f>
            <x14:dxf>
              <fill>
                <patternFill>
                  <bgColor rgb="FFFFFF99"/>
                </patternFill>
              </fill>
            </x14:dxf>
          </x14:cfRule>
          <xm:sqref>BB206:BD206</xm:sqref>
        </x14:conditionalFormatting>
        <x14:conditionalFormatting xmlns:xm="http://schemas.microsoft.com/office/excel/2006/main">
          <x14:cfRule type="beginsWith" priority="55" operator="beginsWith" id="{C03CE19D-1338-476E-96FC-F09EB6F4124C}">
            <xm:f>LEFT(BB210,LEN("S*"))="S*"</xm:f>
            <xm:f>"S*"</xm:f>
            <x14:dxf>
              <font>
                <color auto="1"/>
              </font>
              <fill>
                <patternFill>
                  <bgColor rgb="FFFFFF99"/>
                </patternFill>
              </fill>
            </x14:dxf>
          </x14:cfRule>
          <x14:cfRule type="beginsWith" priority="57" operator="beginsWith" id="{432D3F78-6E40-4025-9397-AE0F12F1F132}">
            <xm:f>LEFT(BB210,LEN("NP*"))="NP*"</xm:f>
            <xm:f>"NP*"</xm:f>
            <x14:dxf>
              <fill>
                <patternFill>
                  <bgColor rgb="FFFFFF99"/>
                </patternFill>
              </fill>
            </x14:dxf>
          </x14:cfRule>
          <x14:cfRule type="beginsWith" priority="59" operator="beginsWith" id="{F4161150-53D0-4FF2-872B-30FAB8BABF75}">
            <xm:f>LEFT(BB210,LEN("N*"))="N*"</xm:f>
            <xm:f>"N*"</xm:f>
            <x14:dxf>
              <fill>
                <patternFill>
                  <bgColor rgb="FFFFFF99"/>
                </patternFill>
              </fill>
            </x14:dxf>
          </x14:cfRule>
          <xm:sqref>BB210:BD210</xm:sqref>
        </x14:conditionalFormatting>
        <x14:conditionalFormatting xmlns:xm="http://schemas.microsoft.com/office/excel/2006/main">
          <x14:cfRule type="beginsWith" priority="232" operator="beginsWith" id="{BD6B6117-32CA-473F-9CBC-FCAA61C42AA8}">
            <xm:f>LEFT(BD180,LEN("S*"))="S*"</xm:f>
            <xm:f>"S*"</xm:f>
            <x14:dxf>
              <font>
                <color auto="1"/>
              </font>
              <fill>
                <patternFill>
                  <bgColor rgb="FFFFFF99"/>
                </patternFill>
              </fill>
            </x14:dxf>
          </x14:cfRule>
          <x14:cfRule type="beginsWith" priority="234" operator="beginsWith" id="{81217CBE-D8BB-42C1-8CA2-A8B4F151D00A}">
            <xm:f>LEFT(BD180,LEN("NP*"))="NP*"</xm:f>
            <xm:f>"NP*"</xm:f>
            <x14:dxf>
              <fill>
                <patternFill>
                  <bgColor rgb="FFFFFF99"/>
                </patternFill>
              </fill>
            </x14:dxf>
          </x14:cfRule>
          <x14:cfRule type="beginsWith" priority="236" operator="beginsWith" id="{FF94495C-9156-46D7-A502-61B96D310B20}">
            <xm:f>LEFT(BD180,LEN("N*"))="N*"</xm:f>
            <xm:f>"N*"</xm:f>
            <x14:dxf>
              <fill>
                <patternFill>
                  <bgColor rgb="FFFFFF99"/>
                </patternFill>
              </fill>
            </x14:dxf>
          </x14:cfRule>
          <xm:sqref>BD180 BD190:BD205</xm:sqref>
        </x14:conditionalFormatting>
        <x14:conditionalFormatting xmlns:xm="http://schemas.microsoft.com/office/excel/2006/main">
          <x14:cfRule type="beginsWith" priority="226" operator="beginsWith" id="{2217AB58-02F9-405B-8BEE-61EE8D06CD2A}">
            <xm:f>LEFT(BD180,LEN("S*"))="S*"</xm:f>
            <xm:f>"S*"</xm:f>
            <x14:dxf>
              <font>
                <color auto="1"/>
              </font>
              <fill>
                <patternFill>
                  <bgColor rgb="FFFFFF99"/>
                </patternFill>
              </fill>
            </x14:dxf>
          </x14:cfRule>
          <x14:cfRule type="beginsWith" priority="228" operator="beginsWith" id="{CF27BA6F-A077-4B80-B241-C312E9E5467B}">
            <xm:f>LEFT(BD180,LEN("NP*"))="NP*"</xm:f>
            <xm:f>"NP*"</xm:f>
            <x14:dxf>
              <fill>
                <patternFill>
                  <bgColor rgb="FFFFFF99"/>
                </patternFill>
              </fill>
            </x14:dxf>
          </x14:cfRule>
          <x14:cfRule type="beginsWith" priority="230" operator="beginsWith" id="{D0E7DD9B-692F-4D27-8338-C5C832D4A921}">
            <xm:f>LEFT(BD180,LEN("N*"))="N*"</xm:f>
            <xm:f>"N*"</xm:f>
            <x14:dxf>
              <fill>
                <patternFill>
                  <bgColor rgb="FFFFFF99"/>
                </patternFill>
              </fill>
            </x14:dxf>
          </x14:cfRule>
          <xm:sqref>BD180</xm:sqref>
        </x14:conditionalFormatting>
        <x14:conditionalFormatting xmlns:xm="http://schemas.microsoft.com/office/excel/2006/main">
          <x14:cfRule type="beginsWith" priority="212" operator="beginsWith" id="{F81DC1F8-3C5C-462E-B805-C6AADF37D05A}">
            <xm:f>LEFT(BD185,LEN("S*"))="S*"</xm:f>
            <xm:f>"S*"</xm:f>
            <x14:dxf>
              <font>
                <color auto="1"/>
              </font>
              <fill>
                <patternFill>
                  <bgColor rgb="FFFFFF99"/>
                </patternFill>
              </fill>
            </x14:dxf>
          </x14:cfRule>
          <x14:cfRule type="beginsWith" priority="214" operator="beginsWith" id="{AB08B6AD-7BED-4092-9EE1-95AD1EF11C0C}">
            <xm:f>LEFT(BD185,LEN("NP*"))="NP*"</xm:f>
            <xm:f>"NP*"</xm:f>
            <x14:dxf>
              <fill>
                <patternFill>
                  <bgColor rgb="FFFFFF99"/>
                </patternFill>
              </fill>
            </x14:dxf>
          </x14:cfRule>
          <x14:cfRule type="beginsWith" priority="216" operator="beginsWith" id="{7F605ED6-2D04-42A1-B2F0-139320D8A381}">
            <xm:f>LEFT(BD185,LEN("N*"))="N*"</xm:f>
            <xm:f>"N*"</xm:f>
            <x14:dxf>
              <fill>
                <patternFill>
                  <bgColor rgb="FFFFFF99"/>
                </patternFill>
              </fill>
            </x14:dxf>
          </x14:cfRule>
          <xm:sqref>BD185:BD204</xm:sqref>
        </x14:conditionalFormatting>
        <x14:conditionalFormatting xmlns:xm="http://schemas.microsoft.com/office/excel/2006/main">
          <x14:cfRule type="beginsWith" priority="205" operator="beginsWith" id="{B0354D70-13FF-4FAD-9A01-161DCDAE4F56}">
            <xm:f>LEFT(BD186,LEN("S*"))="S*"</xm:f>
            <xm:f>"S*"</xm:f>
            <x14:dxf>
              <font>
                <color auto="1"/>
              </font>
              <fill>
                <patternFill>
                  <bgColor rgb="FFFFFF99"/>
                </patternFill>
              </fill>
            </x14:dxf>
          </x14:cfRule>
          <x14:cfRule type="beginsWith" priority="207" operator="beginsWith" id="{3A370DA9-D441-4EAF-B265-802FE01101D3}">
            <xm:f>LEFT(BD186,LEN("NP*"))="NP*"</xm:f>
            <xm:f>"NP*"</xm:f>
            <x14:dxf>
              <fill>
                <patternFill>
                  <bgColor rgb="FFFFFF99"/>
                </patternFill>
              </fill>
            </x14:dxf>
          </x14:cfRule>
          <x14:cfRule type="beginsWith" priority="209" operator="beginsWith" id="{7B456133-36D2-4736-AC60-4EE184B8D250}">
            <xm:f>LEFT(BD186,LEN("N*"))="N*"</xm:f>
            <xm:f>"N*"</xm:f>
            <x14:dxf>
              <fill>
                <patternFill>
                  <bgColor rgb="FFFFFF99"/>
                </patternFill>
              </fill>
            </x14:dxf>
          </x14:cfRule>
          <xm:sqref>BD186:BD189</xm:sqref>
        </x14:conditionalFormatting>
        <x14:conditionalFormatting xmlns:xm="http://schemas.microsoft.com/office/excel/2006/main">
          <x14:cfRule type="cellIs" priority="317" operator="equal" id="{FEC9F1BB-287F-4920-B7F3-48A7DCD0C2A5}">
            <xm:f>'Cover Sheet'!$G$12</xm:f>
            <x14:dxf>
              <font>
                <color rgb="FF9C0006"/>
              </font>
              <fill>
                <patternFill>
                  <bgColor rgb="FFFFC7CE"/>
                </patternFill>
              </fill>
            </x14:dxf>
          </x14:cfRule>
          <xm:sqref>BE1:BM7 BE11:BM28 BE38:BM39 BE41:BM41 BE43:BM43 BE45:BM45 BE47:BM47 BE49:BM49 BE51:BM51 BE52 BF52:BM63 BE54 BE56 BE58 BE60 BE62 BE64:BM64</xm:sqref>
        </x14:conditionalFormatting>
        <x14:conditionalFormatting xmlns:xm="http://schemas.microsoft.com/office/excel/2006/main">
          <x14:cfRule type="cellIs" priority="318" operator="equal" id="{2B73DEBB-79E9-41FE-9354-E38E7C894DB0}">
            <xm:f>'Cover Sheet'!$G$12</xm:f>
            <x14:dxf>
              <font>
                <color rgb="FF9C0006"/>
              </font>
              <fill>
                <patternFill>
                  <bgColor rgb="FFFFC7CE"/>
                </patternFill>
              </fill>
            </x14:dxf>
          </x14:cfRule>
          <xm:sqref>BE81:BM89 BE96:BM97 BE112:BM120 BE127:BM129 BE214:BM1048576</xm:sqref>
        </x14:conditionalFormatting>
        <x14:conditionalFormatting xmlns:xm="http://schemas.microsoft.com/office/excel/2006/main">
          <x14:cfRule type="cellIs" priority="309" operator="equal" id="{0B55C82F-45EE-46A1-B6CD-2E7510CFE3C5}">
            <xm:f>'Cover Sheet'!$G$12</xm:f>
            <x14:dxf>
              <font>
                <color rgb="FF9C0006"/>
              </font>
              <fill>
                <patternFill>
                  <bgColor rgb="FFFFC7CE"/>
                </patternFill>
              </fill>
            </x14:dxf>
          </x14:cfRule>
          <xm:sqref>BE134:BM134</xm:sqref>
        </x14:conditionalFormatting>
        <x14:conditionalFormatting xmlns:xm="http://schemas.microsoft.com/office/excel/2006/main">
          <x14:cfRule type="cellIs" priority="315" operator="equal" id="{1D9BA31B-6CC7-4CF0-BBEC-51B2F13838C9}">
            <xm:f>'Cover Sheet'!$G$12</xm:f>
            <x14:dxf>
              <font>
                <color rgb="FF9C0006"/>
              </font>
              <fill>
                <patternFill>
                  <bgColor rgb="FFFFC7CE"/>
                </patternFill>
              </fill>
            </x14:dxf>
          </x14:cfRule>
          <xm:sqref>BE155:BM155 BE185:BM185 BE190:BM198 BE200:BM205</xm:sqref>
        </x14:conditionalFormatting>
        <x14:conditionalFormatting xmlns:xm="http://schemas.microsoft.com/office/excel/2006/main">
          <x14:cfRule type="cellIs" priority="314" operator="equal" id="{162F91A7-F4B0-44AC-881B-CA0B3764DE5D}">
            <xm:f>'Cover Sheet'!$G$12</xm:f>
            <x14:dxf>
              <font>
                <color rgb="FF9C0006"/>
              </font>
              <fill>
                <patternFill>
                  <bgColor rgb="FFFFC7CE"/>
                </patternFill>
              </fill>
            </x14:dxf>
          </x14:cfRule>
          <xm:sqref>BE159:BM180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6">
    <tabColor rgb="FF00B0F0"/>
    <pageSetUpPr fitToPage="1"/>
  </sheetPr>
  <dimension ref="A1:CO229"/>
  <sheetViews>
    <sheetView defaultGridColor="0" view="pageBreakPreview" topLeftCell="R34" colorId="8" zoomScale="115" zoomScaleNormal="100" zoomScaleSheetLayoutView="115" workbookViewId="0">
      <selection activeCell="BF53" sqref="BF53:BG53"/>
    </sheetView>
  </sheetViews>
  <sheetFormatPr baseColWidth="10" defaultColWidth="11.44140625" defaultRowHeight="15" customHeight="1" outlineLevelRow="1" outlineLevelCol="1" x14ac:dyDescent="0.25"/>
  <cols>
    <col min="1" max="1" width="7.44140625" style="5" customWidth="1"/>
    <col min="2" max="2" width="15.44140625" style="153" customWidth="1"/>
    <col min="3" max="3" width="8.33203125" style="2" customWidth="1"/>
    <col min="4" max="4" width="33.6640625" style="3" customWidth="1"/>
    <col min="5" max="5" width="11.33203125" style="3" customWidth="1"/>
    <col min="6" max="6" width="14.33203125" style="3" customWidth="1"/>
    <col min="7" max="7" width="13" style="3" customWidth="1"/>
    <col min="8" max="8" width="11" style="3" customWidth="1"/>
    <col min="9" max="10" width="10" style="3" customWidth="1"/>
    <col min="11" max="12" width="9.5546875" style="3" customWidth="1"/>
    <col min="13" max="14" width="8.6640625" style="3" customWidth="1"/>
    <col min="15" max="15" width="37.33203125" style="3" customWidth="1"/>
    <col min="16" max="16" width="27.88671875" style="3" customWidth="1"/>
    <col min="17" max="17" width="10.44140625" style="2" customWidth="1"/>
    <col min="18" max="19" width="9.33203125" style="1" customWidth="1"/>
    <col min="20" max="20" width="3.6640625" style="1" customWidth="1"/>
    <col min="21" max="22" width="3.33203125" style="1" customWidth="1"/>
    <col min="23" max="23" width="3.44140625" style="1" customWidth="1"/>
    <col min="24" max="28" width="3.33203125" style="1" customWidth="1"/>
    <col min="29" max="29" width="4.33203125" style="1" customWidth="1"/>
    <col min="30" max="32" width="3.33203125" style="1" customWidth="1"/>
    <col min="33" max="37" width="4.6640625" style="1" customWidth="1"/>
    <col min="38" max="38" width="4.44140625" style="1" customWidth="1"/>
    <col min="39" max="40" width="3.33203125" style="1" customWidth="1"/>
    <col min="41" max="41" width="3.33203125" style="166" hidden="1" customWidth="1" outlineLevel="1"/>
    <col min="42" max="43" width="9.33203125" style="1" hidden="1" customWidth="1" outlineLevel="1"/>
    <col min="44" max="48" width="3.33203125" style="166" hidden="1" customWidth="1" outlineLevel="1"/>
    <col min="49" max="50" width="4.88671875" style="166" hidden="1" customWidth="1" outlineLevel="1"/>
    <col min="51" max="52" width="4.6640625" style="166" hidden="1" customWidth="1" outlineLevel="1"/>
    <col min="53" max="56" width="3.33203125" style="166" hidden="1" customWidth="1" outlineLevel="1"/>
    <col min="57" max="57" width="82.6640625" style="253" customWidth="1" collapsed="1"/>
    <col min="58" max="59" width="24.5546875" style="42" customWidth="1" outlineLevel="1"/>
    <col min="60" max="60" width="82.5546875" style="292" customWidth="1"/>
    <col min="61" max="61" width="16.33203125" style="5" customWidth="1"/>
    <col min="62" max="16384" width="11.44140625" style="5"/>
  </cols>
  <sheetData>
    <row r="1" spans="1:60" ht="135.6" customHeight="1" x14ac:dyDescent="0.25">
      <c r="A1" s="944" t="s">
        <v>689</v>
      </c>
      <c r="B1" s="945"/>
      <c r="C1" s="946"/>
      <c r="D1" s="946"/>
      <c r="E1" s="946"/>
      <c r="F1" s="946"/>
      <c r="G1" s="946"/>
      <c r="H1" s="946"/>
      <c r="I1" s="946"/>
      <c r="J1" s="946"/>
      <c r="K1" s="946"/>
      <c r="L1" s="946"/>
      <c r="M1" s="946"/>
      <c r="N1" s="946"/>
      <c r="O1" s="946"/>
      <c r="P1" s="947"/>
      <c r="Q1" s="9" t="s">
        <v>62</v>
      </c>
      <c r="R1" s="438" t="s">
        <v>690</v>
      </c>
      <c r="S1" s="438" t="s">
        <v>691</v>
      </c>
      <c r="T1" s="439" t="s">
        <v>692</v>
      </c>
      <c r="U1" s="667" t="s">
        <v>4318</v>
      </c>
      <c r="V1" s="440" t="s">
        <v>693</v>
      </c>
      <c r="W1" s="440" t="s">
        <v>4409</v>
      </c>
      <c r="X1" s="667" t="s">
        <v>694</v>
      </c>
      <c r="Y1" s="671" t="s">
        <v>4327</v>
      </c>
      <c r="Z1" s="441" t="s">
        <v>695</v>
      </c>
      <c r="AA1" s="441" t="s">
        <v>696</v>
      </c>
      <c r="AB1" s="441" t="s">
        <v>71</v>
      </c>
      <c r="AC1" s="441" t="s">
        <v>697</v>
      </c>
      <c r="AD1" s="441" t="s">
        <v>698</v>
      </c>
      <c r="AE1" s="441" t="s">
        <v>699</v>
      </c>
      <c r="AF1" s="441" t="s">
        <v>700</v>
      </c>
      <c r="AG1" s="441" t="s">
        <v>701</v>
      </c>
      <c r="AH1" s="377" t="s">
        <v>702</v>
      </c>
      <c r="AI1" s="377" t="s">
        <v>703</v>
      </c>
      <c r="AJ1" s="377" t="s">
        <v>704</v>
      </c>
      <c r="AK1" s="377" t="s">
        <v>705</v>
      </c>
      <c r="AL1" s="339" t="s">
        <v>706</v>
      </c>
      <c r="AM1" s="339" t="s">
        <v>707</v>
      </c>
      <c r="AN1" s="339" t="s">
        <v>708</v>
      </c>
      <c r="AO1" s="990" t="s">
        <v>61</v>
      </c>
      <c r="AP1" s="340" t="s">
        <v>709</v>
      </c>
      <c r="AQ1" s="340" t="s">
        <v>710</v>
      </c>
      <c r="AR1" s="340" t="s">
        <v>708</v>
      </c>
      <c r="AS1" s="987" t="s">
        <v>711</v>
      </c>
      <c r="AT1" s="988"/>
      <c r="AU1" s="988"/>
      <c r="AV1" s="989"/>
      <c r="AW1" s="987" t="s">
        <v>711</v>
      </c>
      <c r="AX1" s="988"/>
      <c r="AY1" s="988"/>
      <c r="AZ1" s="989"/>
      <c r="BA1" s="340" t="s">
        <v>712</v>
      </c>
      <c r="BB1" s="340" t="s">
        <v>713</v>
      </c>
      <c r="BC1" s="340" t="s">
        <v>707</v>
      </c>
      <c r="BD1" s="340" t="s">
        <v>714</v>
      </c>
      <c r="BE1" s="42" t="s">
        <v>4410</v>
      </c>
      <c r="BF1" s="122"/>
      <c r="BH1" s="293" t="s">
        <v>4411</v>
      </c>
    </row>
    <row r="2" spans="1:60" ht="14.4" customHeight="1" x14ac:dyDescent="0.25">
      <c r="A2" s="948"/>
      <c r="B2" s="949"/>
      <c r="C2" s="950"/>
      <c r="D2" s="950"/>
      <c r="E2" s="950"/>
      <c r="F2" s="950"/>
      <c r="G2" s="950"/>
      <c r="H2" s="950"/>
      <c r="I2" s="950"/>
      <c r="J2" s="950"/>
      <c r="K2" s="950"/>
      <c r="L2" s="950"/>
      <c r="M2" s="950"/>
      <c r="N2" s="950"/>
      <c r="O2" s="950"/>
      <c r="P2" s="951"/>
      <c r="Q2" s="232"/>
      <c r="R2" s="442"/>
      <c r="S2" s="442"/>
      <c r="T2" s="443"/>
      <c r="U2" s="668"/>
      <c r="V2" s="444"/>
      <c r="W2" s="444"/>
      <c r="X2" s="668"/>
      <c r="Y2" s="672"/>
      <c r="Z2" s="445"/>
      <c r="AA2" s="445"/>
      <c r="AB2" s="445"/>
      <c r="AC2" s="445"/>
      <c r="AD2" s="445"/>
      <c r="AE2" s="445"/>
      <c r="AF2" s="445"/>
      <c r="AG2" s="445"/>
      <c r="AH2" s="233"/>
      <c r="AI2" s="233"/>
      <c r="AJ2" s="233"/>
      <c r="AK2" s="233"/>
      <c r="AL2" s="233"/>
      <c r="AM2" s="233"/>
      <c r="AN2" s="233"/>
      <c r="AO2" s="991"/>
      <c r="AP2" s="234"/>
      <c r="AQ2" s="234"/>
      <c r="AR2" s="234"/>
      <c r="AS2" s="235"/>
      <c r="AT2" s="236"/>
      <c r="AU2" s="236"/>
      <c r="AV2" s="237"/>
      <c r="AW2" s="235"/>
      <c r="AX2" s="236"/>
      <c r="AY2" s="236"/>
      <c r="AZ2" s="237"/>
      <c r="BA2" s="234"/>
      <c r="BB2" s="234"/>
      <c r="BC2" s="234"/>
      <c r="BD2" s="234"/>
      <c r="BE2" s="58"/>
      <c r="BF2" s="122"/>
    </row>
    <row r="3" spans="1:60" ht="31.2" customHeight="1" outlineLevel="1" x14ac:dyDescent="0.25">
      <c r="A3" s="946"/>
      <c r="B3" s="952"/>
      <c r="C3" s="946"/>
      <c r="D3" s="946"/>
      <c r="E3" s="946"/>
      <c r="F3" s="946"/>
      <c r="G3" s="946"/>
      <c r="H3" s="946"/>
      <c r="I3" s="946"/>
      <c r="J3" s="946"/>
      <c r="K3" s="946"/>
      <c r="L3" s="946"/>
      <c r="M3" s="946"/>
      <c r="N3" s="946"/>
      <c r="O3" s="946"/>
      <c r="P3" s="951"/>
      <c r="Q3" s="9" t="s">
        <v>85</v>
      </c>
      <c r="R3" s="578">
        <v>0</v>
      </c>
      <c r="S3" s="578">
        <v>0</v>
      </c>
      <c r="T3" s="446">
        <v>0</v>
      </c>
      <c r="U3" s="369">
        <v>0</v>
      </c>
      <c r="V3" s="499">
        <v>1</v>
      </c>
      <c r="W3" s="499">
        <v>1</v>
      </c>
      <c r="X3" s="369">
        <v>1</v>
      </c>
      <c r="Y3" s="1">
        <v>0</v>
      </c>
      <c r="Z3" s="499">
        <v>0</v>
      </c>
      <c r="AA3" s="499">
        <v>0</v>
      </c>
      <c r="AB3" s="579">
        <v>0</v>
      </c>
      <c r="AC3" s="579">
        <v>0</v>
      </c>
      <c r="AD3" s="499">
        <v>0</v>
      </c>
      <c r="AE3" s="499">
        <v>0</v>
      </c>
      <c r="AF3" s="499">
        <v>0</v>
      </c>
      <c r="AG3" s="499">
        <v>0</v>
      </c>
      <c r="AH3" s="369">
        <v>0</v>
      </c>
      <c r="AI3" s="369">
        <v>0</v>
      </c>
      <c r="AJ3" s="369">
        <v>0</v>
      </c>
      <c r="AK3" s="369">
        <v>0</v>
      </c>
      <c r="AL3" s="1">
        <v>0</v>
      </c>
      <c r="AM3" s="1">
        <v>0</v>
      </c>
      <c r="AN3" s="1">
        <v>1</v>
      </c>
      <c r="AO3" s="991"/>
      <c r="AP3" s="166">
        <v>0</v>
      </c>
      <c r="AQ3" s="166">
        <v>0</v>
      </c>
      <c r="AR3" s="166">
        <v>1</v>
      </c>
      <c r="AS3" s="166">
        <v>1</v>
      </c>
      <c r="AT3" s="166">
        <v>1</v>
      </c>
      <c r="AU3" s="166">
        <v>1</v>
      </c>
      <c r="AV3" s="166">
        <v>1</v>
      </c>
      <c r="AW3" s="166">
        <v>0</v>
      </c>
      <c r="AX3" s="166">
        <v>0</v>
      </c>
      <c r="AY3" s="166">
        <v>0</v>
      </c>
      <c r="AZ3" s="166">
        <v>0</v>
      </c>
      <c r="BA3" s="166">
        <v>0</v>
      </c>
      <c r="BB3" s="166">
        <v>0</v>
      </c>
      <c r="BC3" s="166">
        <v>0</v>
      </c>
      <c r="BD3" s="166">
        <v>0</v>
      </c>
      <c r="BE3" s="42"/>
      <c r="BF3" s="122"/>
    </row>
    <row r="4" spans="1:60" ht="125.25" customHeight="1" outlineLevel="1" x14ac:dyDescent="0.25">
      <c r="A4" s="946"/>
      <c r="B4" s="952"/>
      <c r="C4" s="946"/>
      <c r="D4" s="946"/>
      <c r="E4" s="946"/>
      <c r="F4" s="946"/>
      <c r="G4" s="946"/>
      <c r="H4" s="946"/>
      <c r="I4" s="946"/>
      <c r="J4" s="946"/>
      <c r="K4" s="946"/>
      <c r="L4" s="946"/>
      <c r="M4" s="946"/>
      <c r="N4" s="946"/>
      <c r="O4" s="946"/>
      <c r="P4" s="951"/>
      <c r="Q4" s="39" t="s">
        <v>87</v>
      </c>
      <c r="R4" s="447" t="s">
        <v>715</v>
      </c>
      <c r="S4" s="447" t="s">
        <v>716</v>
      </c>
      <c r="T4" s="448" t="s">
        <v>717</v>
      </c>
      <c r="U4" s="669" t="s">
        <v>4319</v>
      </c>
      <c r="V4" s="449" t="s">
        <v>718</v>
      </c>
      <c r="W4" s="449" t="s">
        <v>719</v>
      </c>
      <c r="X4" s="669" t="s">
        <v>720</v>
      </c>
      <c r="Y4" s="85" t="s">
        <v>4328</v>
      </c>
      <c r="Z4" s="449" t="s">
        <v>721</v>
      </c>
      <c r="AA4" s="449" t="s">
        <v>722</v>
      </c>
      <c r="AB4" s="450" t="s">
        <v>723</v>
      </c>
      <c r="AC4" s="447" t="s">
        <v>724</v>
      </c>
      <c r="AD4" s="449" t="s">
        <v>725</v>
      </c>
      <c r="AE4" s="449" t="s">
        <v>726</v>
      </c>
      <c r="AF4" s="449" t="s">
        <v>727</v>
      </c>
      <c r="AG4" s="451" t="s">
        <v>728</v>
      </c>
      <c r="AH4" s="376" t="s">
        <v>729</v>
      </c>
      <c r="AI4" s="376" t="s">
        <v>730</v>
      </c>
      <c r="AJ4" s="376" t="s">
        <v>731</v>
      </c>
      <c r="AK4" s="376" t="s">
        <v>732</v>
      </c>
      <c r="AL4" s="276" t="s">
        <v>733</v>
      </c>
      <c r="AM4" s="85" t="s">
        <v>734</v>
      </c>
      <c r="AN4" s="85" t="s">
        <v>735</v>
      </c>
      <c r="AO4" s="991"/>
      <c r="AP4" s="238" t="s">
        <v>736</v>
      </c>
      <c r="AQ4" s="238" t="s">
        <v>737</v>
      </c>
      <c r="AR4" s="192" t="s">
        <v>738</v>
      </c>
      <c r="AS4" s="239" t="s">
        <v>739</v>
      </c>
      <c r="AT4" s="238" t="s">
        <v>740</v>
      </c>
      <c r="AU4" s="238" t="s">
        <v>741</v>
      </c>
      <c r="AV4" s="239" t="s">
        <v>742</v>
      </c>
      <c r="AW4" s="238" t="s">
        <v>743</v>
      </c>
      <c r="AX4" s="238" t="s">
        <v>744</v>
      </c>
      <c r="AY4" s="238" t="s">
        <v>745</v>
      </c>
      <c r="AZ4" s="238" t="s">
        <v>746</v>
      </c>
      <c r="BA4" s="192" t="s">
        <v>747</v>
      </c>
      <c r="BB4" s="192" t="s">
        <v>748</v>
      </c>
      <c r="BC4" s="192" t="s">
        <v>118</v>
      </c>
      <c r="BD4" s="192"/>
      <c r="BE4" s="277"/>
      <c r="BF4" s="333" t="s">
        <v>749</v>
      </c>
      <c r="BG4" s="277"/>
      <c r="BH4" s="293" t="s">
        <v>4412</v>
      </c>
    </row>
    <row r="5" spans="1:60" s="7" customFormat="1" ht="52.95" customHeight="1" x14ac:dyDescent="0.25">
      <c r="A5" s="953"/>
      <c r="B5" s="954"/>
      <c r="C5" s="953"/>
      <c r="D5" s="953"/>
      <c r="E5" s="953"/>
      <c r="F5" s="953"/>
      <c r="G5" s="953"/>
      <c r="H5" s="953"/>
      <c r="I5" s="953"/>
      <c r="J5" s="953"/>
      <c r="K5" s="953"/>
      <c r="L5" s="953"/>
      <c r="M5" s="953"/>
      <c r="N5" s="953"/>
      <c r="O5" s="953"/>
      <c r="P5" s="955"/>
      <c r="Q5" s="10" t="s">
        <v>119</v>
      </c>
      <c r="R5" s="86" t="s">
        <v>120</v>
      </c>
      <c r="S5" s="86" t="s">
        <v>120</v>
      </c>
      <c r="T5" s="86" t="s">
        <v>120</v>
      </c>
      <c r="U5" s="382" t="s">
        <v>4334</v>
      </c>
      <c r="V5" s="87" t="s">
        <v>750</v>
      </c>
      <c r="W5" s="697" t="s">
        <v>750</v>
      </c>
      <c r="X5" s="382" t="s">
        <v>750</v>
      </c>
      <c r="Y5" s="87" t="s">
        <v>121</v>
      </c>
      <c r="Z5" s="87" t="s">
        <v>751</v>
      </c>
      <c r="AA5" s="87" t="s">
        <v>120</v>
      </c>
      <c r="AB5" s="87" t="s">
        <v>121</v>
      </c>
      <c r="AC5" s="88" t="s">
        <v>120</v>
      </c>
      <c r="AD5" s="87" t="s">
        <v>120</v>
      </c>
      <c r="AE5" s="87" t="s">
        <v>751</v>
      </c>
      <c r="AF5" s="87" t="s">
        <v>120</v>
      </c>
      <c r="AG5" s="87" t="s">
        <v>120</v>
      </c>
      <c r="AH5" s="382" t="s">
        <v>120</v>
      </c>
      <c r="AI5" s="382" t="s">
        <v>120</v>
      </c>
      <c r="AJ5" s="382" t="s">
        <v>120</v>
      </c>
      <c r="AK5" s="382" t="s">
        <v>120</v>
      </c>
      <c r="AL5" s="87" t="s">
        <v>120</v>
      </c>
      <c r="AM5" s="87" t="s">
        <v>122</v>
      </c>
      <c r="AN5" s="87" t="s">
        <v>120</v>
      </c>
      <c r="AO5" s="992"/>
      <c r="AP5" s="190" t="s">
        <v>120</v>
      </c>
      <c r="AQ5" s="190" t="s">
        <v>120</v>
      </c>
      <c r="AR5" s="190" t="s">
        <v>120</v>
      </c>
      <c r="AS5" s="194" t="s">
        <v>752</v>
      </c>
      <c r="AT5" s="194" t="s">
        <v>752</v>
      </c>
      <c r="AU5" s="194" t="s">
        <v>752</v>
      </c>
      <c r="AV5" s="194" t="s">
        <v>752</v>
      </c>
      <c r="AW5" s="211" t="s">
        <v>753</v>
      </c>
      <c r="AX5" s="211" t="s">
        <v>753</v>
      </c>
      <c r="AY5" s="211" t="s">
        <v>753</v>
      </c>
      <c r="AZ5" s="211" t="s">
        <v>753</v>
      </c>
      <c r="BA5" s="190" t="s">
        <v>122</v>
      </c>
      <c r="BB5" s="190" t="s">
        <v>122</v>
      </c>
      <c r="BC5" s="190" t="s">
        <v>122</v>
      </c>
      <c r="BD5" s="190" t="s">
        <v>122</v>
      </c>
      <c r="BE5" s="341"/>
      <c r="BF5" s="334"/>
      <c r="BG5" s="263"/>
      <c r="BH5" s="294"/>
    </row>
    <row r="6" spans="1:60" s="50" customFormat="1" ht="13.5" customHeight="1" x14ac:dyDescent="0.25">
      <c r="A6" s="138" t="s">
        <v>754</v>
      </c>
      <c r="B6" s="140" t="s">
        <v>755</v>
      </c>
      <c r="C6" s="138" t="s">
        <v>128</v>
      </c>
      <c r="D6" s="139" t="s">
        <v>129</v>
      </c>
      <c r="E6" s="141" t="s">
        <v>130</v>
      </c>
      <c r="F6" s="139" t="s">
        <v>131</v>
      </c>
      <c r="G6" s="139" t="s">
        <v>756</v>
      </c>
      <c r="H6" s="139" t="s">
        <v>133</v>
      </c>
      <c r="I6" s="139" t="s">
        <v>134</v>
      </c>
      <c r="J6" s="139" t="s">
        <v>757</v>
      </c>
      <c r="K6" s="139" t="s">
        <v>758</v>
      </c>
      <c r="L6" s="139" t="s">
        <v>759</v>
      </c>
      <c r="M6" s="139" t="s">
        <v>136</v>
      </c>
      <c r="N6" s="139" t="s">
        <v>760</v>
      </c>
      <c r="O6" s="139" t="s">
        <v>138</v>
      </c>
      <c r="P6" s="144" t="s">
        <v>139</v>
      </c>
      <c r="Q6" s="145"/>
      <c r="R6" s="143"/>
      <c r="S6" s="67"/>
      <c r="T6" s="67"/>
      <c r="U6" s="68"/>
      <c r="V6" s="68"/>
      <c r="W6" s="68"/>
      <c r="X6" s="68"/>
      <c r="Y6" s="68"/>
      <c r="Z6" s="68"/>
      <c r="AA6" s="68"/>
      <c r="AB6" s="68"/>
      <c r="AC6" s="68"/>
      <c r="AD6" s="68"/>
      <c r="AE6" s="68"/>
      <c r="AF6" s="68"/>
      <c r="AG6" s="68"/>
      <c r="AH6" s="68"/>
      <c r="AI6" s="68"/>
      <c r="AJ6" s="68"/>
      <c r="AK6" s="68"/>
      <c r="AL6" s="68"/>
      <c r="AM6" s="68"/>
      <c r="AN6" s="68"/>
      <c r="AO6" s="68"/>
      <c r="AP6" s="143"/>
      <c r="AQ6" s="67"/>
      <c r="AR6" s="68"/>
      <c r="AS6" s="68"/>
      <c r="AT6" s="68"/>
      <c r="AU6" s="68"/>
      <c r="AV6" s="68"/>
      <c r="AW6" s="68"/>
      <c r="AX6" s="68"/>
      <c r="AY6" s="68"/>
      <c r="AZ6" s="68"/>
      <c r="BA6" s="68"/>
      <c r="BB6" s="68"/>
      <c r="BC6" s="68"/>
      <c r="BD6" s="68"/>
      <c r="BE6" s="289" t="s">
        <v>142</v>
      </c>
      <c r="BF6" s="311" t="s">
        <v>143</v>
      </c>
      <c r="BG6" s="245" t="s">
        <v>144</v>
      </c>
      <c r="BH6" s="278" t="s">
        <v>126</v>
      </c>
    </row>
    <row r="7" spans="1:60" s="15" customFormat="1" ht="14.4" customHeight="1" x14ac:dyDescent="0.25">
      <c r="A7" s="129"/>
      <c r="B7" s="76"/>
      <c r="C7" s="95"/>
      <c r="D7" s="95"/>
      <c r="E7" s="95"/>
      <c r="F7" s="95"/>
      <c r="G7" s="95"/>
      <c r="H7" s="95"/>
      <c r="I7" s="95"/>
      <c r="J7" s="95"/>
      <c r="K7" s="95"/>
      <c r="L7" s="95"/>
      <c r="M7" s="95"/>
      <c r="N7" s="95"/>
      <c r="O7" s="95"/>
      <c r="P7" s="95"/>
      <c r="Q7" s="95"/>
      <c r="R7" s="1"/>
      <c r="S7" s="1"/>
      <c r="T7" s="1"/>
      <c r="U7" s="1"/>
      <c r="V7" s="1"/>
      <c r="W7" s="1"/>
      <c r="X7" s="1"/>
      <c r="Y7" s="1"/>
      <c r="Z7" s="1"/>
      <c r="AA7" s="1"/>
      <c r="AB7" s="1"/>
      <c r="AC7" s="1"/>
      <c r="AD7" s="1"/>
      <c r="AE7" s="1"/>
      <c r="AF7" s="1"/>
      <c r="AG7" s="1"/>
      <c r="AH7" s="1"/>
      <c r="AI7" s="1"/>
      <c r="AJ7" s="1"/>
      <c r="AK7" s="1"/>
      <c r="AL7" s="1"/>
      <c r="AM7" s="1"/>
      <c r="AN7" s="1"/>
      <c r="AO7" s="69"/>
      <c r="AP7" s="166"/>
      <c r="AQ7" s="166"/>
      <c r="AR7" s="166"/>
      <c r="AS7" s="166"/>
      <c r="AT7" s="166"/>
      <c r="AU7" s="166"/>
      <c r="AV7" s="166"/>
      <c r="AW7" s="166"/>
      <c r="AX7" s="166"/>
      <c r="AY7" s="166"/>
      <c r="AZ7" s="166"/>
      <c r="BA7" s="166"/>
      <c r="BB7" s="166"/>
      <c r="BC7" s="166"/>
      <c r="BD7" s="166"/>
      <c r="BE7" s="42"/>
      <c r="BF7" s="122"/>
      <c r="BG7" s="42"/>
      <c r="BH7" s="295"/>
    </row>
    <row r="8" spans="1:60" s="27" customFormat="1" ht="14.7" customHeight="1" x14ac:dyDescent="0.3">
      <c r="A8" s="383" t="s">
        <v>761</v>
      </c>
      <c r="B8" s="452"/>
      <c r="C8" s="506"/>
      <c r="D8" s="506"/>
      <c r="E8" s="497"/>
      <c r="F8" s="497"/>
      <c r="G8" s="497"/>
      <c r="H8" s="497"/>
      <c r="I8" s="497"/>
      <c r="J8" s="497"/>
      <c r="K8" s="580"/>
      <c r="L8" s="580"/>
      <c r="M8" s="497"/>
      <c r="N8" s="497"/>
      <c r="O8" s="497"/>
      <c r="P8" s="497"/>
      <c r="Q8" s="506"/>
      <c r="R8" s="506"/>
      <c r="S8" s="506"/>
      <c r="T8" s="581"/>
      <c r="U8" s="581"/>
      <c r="V8" s="581"/>
      <c r="W8" s="581"/>
      <c r="X8" s="581"/>
      <c r="Y8" s="506"/>
      <c r="Z8" s="581"/>
      <c r="AA8" s="581"/>
      <c r="AB8" s="581"/>
      <c r="AC8" s="581"/>
      <c r="AD8" s="581"/>
      <c r="AE8" s="581"/>
      <c r="AF8" s="581"/>
      <c r="AG8" s="581"/>
      <c r="AH8" s="581"/>
      <c r="AI8" s="581"/>
      <c r="AJ8" s="581"/>
      <c r="AK8" s="581"/>
      <c r="AL8" s="581"/>
      <c r="AM8" s="581"/>
      <c r="AN8" s="581"/>
      <c r="AO8" s="581"/>
      <c r="AP8" s="581"/>
      <c r="AQ8" s="581"/>
      <c r="AR8" s="581"/>
      <c r="AS8" s="581"/>
      <c r="AT8" s="581"/>
      <c r="AU8" s="581"/>
      <c r="AV8" s="581"/>
      <c r="AW8" s="581"/>
      <c r="AX8" s="581"/>
      <c r="AY8" s="581"/>
      <c r="AZ8" s="581"/>
      <c r="BA8" s="581"/>
      <c r="BB8" s="581"/>
      <c r="BC8" s="581"/>
      <c r="BD8" s="581"/>
      <c r="BE8" s="581" t="s">
        <v>762</v>
      </c>
      <c r="BF8" s="335"/>
      <c r="BG8" s="72"/>
      <c r="BH8" s="281"/>
    </row>
    <row r="9" spans="1:60" s="120" customFormat="1" ht="30" customHeight="1" x14ac:dyDescent="0.3">
      <c r="A9" s="453"/>
      <c r="B9" s="454"/>
      <c r="C9" s="582" t="s">
        <v>51</v>
      </c>
      <c r="D9" s="509" t="s">
        <v>763</v>
      </c>
      <c r="E9" s="509" t="s">
        <v>148</v>
      </c>
      <c r="F9" s="583" t="s">
        <v>149</v>
      </c>
      <c r="G9" s="584">
        <v>1</v>
      </c>
      <c r="H9" s="503" t="s">
        <v>149</v>
      </c>
      <c r="I9" s="509" t="s">
        <v>150</v>
      </c>
      <c r="J9" s="528" t="s">
        <v>149</v>
      </c>
      <c r="K9" s="528" t="s">
        <v>675</v>
      </c>
      <c r="L9" s="503" t="s">
        <v>149</v>
      </c>
      <c r="M9" s="549"/>
      <c r="N9" s="549" t="s">
        <v>151</v>
      </c>
      <c r="O9" s="509" t="s">
        <v>764</v>
      </c>
      <c r="P9" s="509" t="s">
        <v>765</v>
      </c>
      <c r="Q9" s="549"/>
      <c r="R9" s="509"/>
      <c r="S9" s="536" t="s">
        <v>14</v>
      </c>
      <c r="T9" s="509"/>
      <c r="U9" s="532"/>
      <c r="V9" s="509" t="s">
        <v>218</v>
      </c>
      <c r="W9" s="509"/>
      <c r="X9" s="509"/>
      <c r="Y9" s="673" t="s">
        <v>14</v>
      </c>
      <c r="Z9" s="509" t="s">
        <v>199</v>
      </c>
      <c r="AA9" s="509"/>
      <c r="AB9" s="509" t="s">
        <v>14</v>
      </c>
      <c r="AC9" s="509"/>
      <c r="AD9" s="509"/>
      <c r="AE9" s="509"/>
      <c r="AF9" s="509"/>
      <c r="AG9" s="509"/>
      <c r="AH9" s="509"/>
      <c r="AI9" s="509"/>
      <c r="AJ9" s="509"/>
      <c r="AK9" s="509"/>
      <c r="AL9" s="509"/>
      <c r="AM9" s="509"/>
      <c r="AN9" s="509"/>
      <c r="AO9" s="585"/>
      <c r="AP9" s="586"/>
      <c r="AQ9" s="586" t="s">
        <v>14</v>
      </c>
      <c r="AR9" s="586"/>
      <c r="AS9" s="586"/>
      <c r="AT9" s="586"/>
      <c r="AU9" s="586"/>
      <c r="AV9" s="586"/>
      <c r="AW9" s="586"/>
      <c r="AX9" s="586"/>
      <c r="AY9" s="586"/>
      <c r="AZ9" s="586"/>
      <c r="BA9" s="586"/>
      <c r="BB9" s="586"/>
      <c r="BC9" s="586"/>
      <c r="BD9" s="586"/>
      <c r="BE9" s="545" t="s">
        <v>766</v>
      </c>
      <c r="BF9" s="678" t="s">
        <v>4422</v>
      </c>
      <c r="BG9" s="1315" t="s">
        <v>561</v>
      </c>
      <c r="BH9" s="345" t="s">
        <v>767</v>
      </c>
    </row>
    <row r="10" spans="1:60" s="16" customFormat="1" ht="30" customHeight="1" x14ac:dyDescent="0.3">
      <c r="A10" s="413"/>
      <c r="B10" s="455"/>
      <c r="C10" s="582" t="s">
        <v>51</v>
      </c>
      <c r="D10" s="503" t="s">
        <v>768</v>
      </c>
      <c r="E10" s="503" t="s">
        <v>169</v>
      </c>
      <c r="F10" s="584" t="s">
        <v>149</v>
      </c>
      <c r="G10" s="584">
        <v>0</v>
      </c>
      <c r="H10" s="503" t="s">
        <v>149</v>
      </c>
      <c r="I10" s="503" t="s">
        <v>150</v>
      </c>
      <c r="J10" s="528" t="s">
        <v>149</v>
      </c>
      <c r="K10" s="503" t="s">
        <v>149</v>
      </c>
      <c r="L10" s="503" t="s">
        <v>149</v>
      </c>
      <c r="M10" s="539"/>
      <c r="N10" s="539" t="s">
        <v>151</v>
      </c>
      <c r="O10" s="503" t="s">
        <v>769</v>
      </c>
      <c r="P10" s="503" t="s">
        <v>770</v>
      </c>
      <c r="Q10" s="503"/>
      <c r="R10" s="499"/>
      <c r="S10" s="499" t="s">
        <v>14</v>
      </c>
      <c r="T10" s="532"/>
      <c r="U10" s="532"/>
      <c r="V10" s="532"/>
      <c r="W10" s="532"/>
      <c r="X10" s="532"/>
      <c r="Y10" s="499"/>
      <c r="Z10" s="499"/>
      <c r="AA10" s="499"/>
      <c r="AB10" s="532"/>
      <c r="AC10" s="532"/>
      <c r="AD10" s="499"/>
      <c r="AE10" s="499"/>
      <c r="AF10" s="499"/>
      <c r="AG10" s="499"/>
      <c r="AH10" s="499"/>
      <c r="AI10" s="499"/>
      <c r="AJ10" s="499"/>
      <c r="AK10" s="499"/>
      <c r="AL10" s="499"/>
      <c r="AM10" s="499"/>
      <c r="AN10" s="499"/>
      <c r="AO10" s="506"/>
      <c r="AP10" s="507"/>
      <c r="AQ10" s="587" t="s">
        <v>14</v>
      </c>
      <c r="AR10" s="507"/>
      <c r="AS10" s="507"/>
      <c r="AT10" s="507"/>
      <c r="AU10" s="507"/>
      <c r="AV10" s="507"/>
      <c r="AW10" s="507"/>
      <c r="AX10" s="507"/>
      <c r="AY10" s="507"/>
      <c r="AZ10" s="507"/>
      <c r="BA10" s="507"/>
      <c r="BB10" s="507"/>
      <c r="BC10" s="507"/>
      <c r="BD10" s="507"/>
      <c r="BE10" s="547" t="s">
        <v>771</v>
      </c>
      <c r="BF10" s="678" t="s">
        <v>4422</v>
      </c>
      <c r="BG10" s="1315" t="s">
        <v>561</v>
      </c>
      <c r="BH10" s="279" t="s">
        <v>772</v>
      </c>
    </row>
    <row r="11" spans="1:60" s="19" customFormat="1" ht="30" customHeight="1" x14ac:dyDescent="0.3">
      <c r="A11" s="588"/>
      <c r="B11" s="589"/>
      <c r="C11" s="582" t="s">
        <v>51</v>
      </c>
      <c r="D11" s="555" t="s">
        <v>773</v>
      </c>
      <c r="E11" s="503" t="s">
        <v>169</v>
      </c>
      <c r="F11" s="503" t="s">
        <v>149</v>
      </c>
      <c r="G11" s="539">
        <v>0</v>
      </c>
      <c r="H11" s="503" t="s">
        <v>149</v>
      </c>
      <c r="I11" s="539" t="s">
        <v>150</v>
      </c>
      <c r="J11" s="528" t="s">
        <v>149</v>
      </c>
      <c r="K11" s="503" t="s">
        <v>149</v>
      </c>
      <c r="L11" s="503" t="s">
        <v>149</v>
      </c>
      <c r="M11" s="539"/>
      <c r="N11" s="539" t="s">
        <v>151</v>
      </c>
      <c r="O11" s="539" t="s">
        <v>774</v>
      </c>
      <c r="P11" s="503" t="s">
        <v>770</v>
      </c>
      <c r="Q11" s="539"/>
      <c r="R11" s="503"/>
      <c r="S11" s="503" t="s">
        <v>14</v>
      </c>
      <c r="T11" s="503"/>
      <c r="U11" s="532"/>
      <c r="V11" s="503" t="s">
        <v>218</v>
      </c>
      <c r="W11" s="503"/>
      <c r="X11" s="503"/>
      <c r="Y11" s="503"/>
      <c r="Z11" s="503" t="s">
        <v>199</v>
      </c>
      <c r="AA11" s="503"/>
      <c r="AB11" s="503"/>
      <c r="AC11" s="503"/>
      <c r="AD11" s="503"/>
      <c r="AE11" s="503"/>
      <c r="AF11" s="503"/>
      <c r="AG11" s="503"/>
      <c r="AH11" s="503"/>
      <c r="AI11" s="503"/>
      <c r="AJ11" s="503"/>
      <c r="AK11" s="503"/>
      <c r="AL11" s="503"/>
      <c r="AM11" s="503"/>
      <c r="AN11" s="503"/>
      <c r="AO11" s="580"/>
      <c r="AP11" s="587"/>
      <c r="AQ11" s="587" t="s">
        <v>14</v>
      </c>
      <c r="AR11" s="587"/>
      <c r="AS11" s="587"/>
      <c r="AT11" s="587"/>
      <c r="AU11" s="587"/>
      <c r="AV11" s="587"/>
      <c r="AW11" s="587"/>
      <c r="AX11" s="587"/>
      <c r="AY11" s="587"/>
      <c r="AZ11" s="587"/>
      <c r="BA11" s="587"/>
      <c r="BB11" s="587"/>
      <c r="BC11" s="587"/>
      <c r="BD11" s="587"/>
      <c r="BE11" s="551" t="s">
        <v>775</v>
      </c>
      <c r="BF11" s="678" t="s">
        <v>4422</v>
      </c>
      <c r="BG11" s="1315" t="s">
        <v>561</v>
      </c>
      <c r="BH11" s="279" t="s">
        <v>776</v>
      </c>
    </row>
    <row r="12" spans="1:60" s="16" customFormat="1" ht="30" customHeight="1" x14ac:dyDescent="0.3">
      <c r="A12" s="413"/>
      <c r="B12" s="455"/>
      <c r="C12" s="582" t="s">
        <v>51</v>
      </c>
      <c r="D12" s="503" t="s">
        <v>777</v>
      </c>
      <c r="E12" s="503" t="s">
        <v>169</v>
      </c>
      <c r="F12" s="584" t="s">
        <v>149</v>
      </c>
      <c r="G12" s="584">
        <v>0</v>
      </c>
      <c r="H12" s="503" t="s">
        <v>149</v>
      </c>
      <c r="I12" s="503" t="s">
        <v>150</v>
      </c>
      <c r="J12" s="528" t="s">
        <v>149</v>
      </c>
      <c r="K12" s="503" t="s">
        <v>149</v>
      </c>
      <c r="L12" s="503" t="s">
        <v>149</v>
      </c>
      <c r="M12" s="539"/>
      <c r="N12" s="539" t="s">
        <v>151</v>
      </c>
      <c r="O12" s="539" t="s">
        <v>778</v>
      </c>
      <c r="P12" s="503" t="s">
        <v>779</v>
      </c>
      <c r="Q12" s="503"/>
      <c r="R12" s="499"/>
      <c r="S12" s="532"/>
      <c r="T12" s="532"/>
      <c r="U12" s="499"/>
      <c r="V12" s="499"/>
      <c r="W12" s="532"/>
      <c r="X12" s="532"/>
      <c r="Y12" s="670" t="s">
        <v>14</v>
      </c>
      <c r="Z12" s="499"/>
      <c r="AA12" s="499"/>
      <c r="AB12" s="532"/>
      <c r="AC12" s="532"/>
      <c r="AD12" s="499"/>
      <c r="AE12" s="499"/>
      <c r="AF12" s="499"/>
      <c r="AG12" s="499"/>
      <c r="AH12" s="499"/>
      <c r="AI12" s="499"/>
      <c r="AJ12" s="499"/>
      <c r="AK12" s="499"/>
      <c r="AL12" s="499"/>
      <c r="AM12" s="499"/>
      <c r="AN12" s="499"/>
      <c r="AO12" s="506"/>
      <c r="AP12" s="507"/>
      <c r="AQ12" s="507"/>
      <c r="AR12" s="507"/>
      <c r="AS12" s="507"/>
      <c r="AT12" s="507"/>
      <c r="AU12" s="507"/>
      <c r="AV12" s="507"/>
      <c r="AW12" s="507"/>
      <c r="AX12" s="507"/>
      <c r="AY12" s="507"/>
      <c r="AZ12" s="507"/>
      <c r="BA12" s="507"/>
      <c r="BB12" s="507"/>
      <c r="BC12" s="507"/>
      <c r="BD12" s="507"/>
      <c r="BE12" s="551" t="s">
        <v>780</v>
      </c>
      <c r="BF12" s="678" t="s">
        <v>4422</v>
      </c>
      <c r="BG12" s="1315" t="s">
        <v>561</v>
      </c>
      <c r="BH12" s="279" t="s">
        <v>781</v>
      </c>
    </row>
    <row r="13" spans="1:60" s="16" customFormat="1" ht="30" customHeight="1" x14ac:dyDescent="0.3">
      <c r="A13" s="413"/>
      <c r="B13" s="456"/>
      <c r="C13" s="582" t="s">
        <v>51</v>
      </c>
      <c r="D13" s="503" t="s">
        <v>782</v>
      </c>
      <c r="E13" s="503" t="s">
        <v>169</v>
      </c>
      <c r="F13" s="584" t="s">
        <v>149</v>
      </c>
      <c r="G13" s="584">
        <v>0</v>
      </c>
      <c r="H13" s="503" t="s">
        <v>149</v>
      </c>
      <c r="I13" s="503" t="s">
        <v>150</v>
      </c>
      <c r="J13" s="528" t="s">
        <v>149</v>
      </c>
      <c r="K13" s="503" t="s">
        <v>149</v>
      </c>
      <c r="L13" s="503" t="s">
        <v>149</v>
      </c>
      <c r="M13" s="539"/>
      <c r="N13" s="539" t="s">
        <v>151</v>
      </c>
      <c r="O13" s="503" t="s">
        <v>783</v>
      </c>
      <c r="P13" s="503" t="s">
        <v>779</v>
      </c>
      <c r="Q13" s="503"/>
      <c r="R13" s="499"/>
      <c r="S13" s="532"/>
      <c r="T13" s="532"/>
      <c r="U13" s="532"/>
      <c r="V13" s="532"/>
      <c r="W13" s="532"/>
      <c r="X13" s="532"/>
      <c r="Y13" s="499"/>
      <c r="Z13" s="499"/>
      <c r="AA13" s="499"/>
      <c r="AB13" s="499" t="s">
        <v>14</v>
      </c>
      <c r="AC13" s="532"/>
      <c r="AD13" s="499"/>
      <c r="AE13" s="499"/>
      <c r="AF13" s="499"/>
      <c r="AG13" s="499"/>
      <c r="AH13" s="499"/>
      <c r="AI13" s="499"/>
      <c r="AJ13" s="499"/>
      <c r="AK13" s="499"/>
      <c r="AL13" s="499"/>
      <c r="AM13" s="499"/>
      <c r="AN13" s="499"/>
      <c r="AO13" s="506"/>
      <c r="AP13" s="507"/>
      <c r="AQ13" s="507"/>
      <c r="AR13" s="507"/>
      <c r="AS13" s="507"/>
      <c r="AT13" s="507"/>
      <c r="AU13" s="507"/>
      <c r="AV13" s="507"/>
      <c r="AW13" s="507"/>
      <c r="AX13" s="507"/>
      <c r="AY13" s="507"/>
      <c r="AZ13" s="507"/>
      <c r="BA13" s="507"/>
      <c r="BB13" s="507"/>
      <c r="BC13" s="507"/>
      <c r="BD13" s="507"/>
      <c r="BE13" s="547" t="s">
        <v>771</v>
      </c>
      <c r="BF13" s="678" t="s">
        <v>4422</v>
      </c>
      <c r="BG13" s="1315" t="s">
        <v>561</v>
      </c>
      <c r="BH13" s="296" t="s">
        <v>784</v>
      </c>
    </row>
    <row r="14" spans="1:60" s="27" customFormat="1" ht="13.8" customHeight="1" x14ac:dyDescent="0.3">
      <c r="A14" s="383" t="s">
        <v>343</v>
      </c>
      <c r="B14" s="452"/>
      <c r="C14" s="540"/>
      <c r="D14" s="506"/>
      <c r="E14" s="506"/>
      <c r="F14" s="497"/>
      <c r="G14" s="497"/>
      <c r="H14" s="497"/>
      <c r="I14" s="497"/>
      <c r="J14" s="497"/>
      <c r="K14" s="580"/>
      <c r="L14" s="580"/>
      <c r="M14" s="497"/>
      <c r="N14" s="497"/>
      <c r="O14" s="497"/>
      <c r="P14" s="497"/>
      <c r="Q14" s="506"/>
      <c r="R14" s="506"/>
      <c r="S14" s="506"/>
      <c r="T14" s="581"/>
      <c r="U14" s="581"/>
      <c r="V14" s="581"/>
      <c r="W14" s="581"/>
      <c r="X14" s="581"/>
      <c r="Y14" s="506"/>
      <c r="Z14" s="581"/>
      <c r="AA14" s="581"/>
      <c r="AB14" s="581"/>
      <c r="AC14" s="581"/>
      <c r="AD14" s="581"/>
      <c r="AE14" s="581"/>
      <c r="AF14" s="581"/>
      <c r="AG14" s="581"/>
      <c r="AH14" s="581"/>
      <c r="AI14" s="581"/>
      <c r="AJ14" s="581"/>
      <c r="AK14" s="581"/>
      <c r="AL14" s="581"/>
      <c r="AM14" s="581"/>
      <c r="AN14" s="581"/>
      <c r="AO14" s="581"/>
      <c r="AP14" s="506"/>
      <c r="AQ14" s="506"/>
      <c r="AR14" s="581"/>
      <c r="AS14" s="581"/>
      <c r="AT14" s="581"/>
      <c r="AU14" s="581"/>
      <c r="AV14" s="581"/>
      <c r="AW14" s="581"/>
      <c r="AX14" s="581"/>
      <c r="AY14" s="581"/>
      <c r="AZ14" s="581"/>
      <c r="BA14" s="581"/>
      <c r="BB14" s="581"/>
      <c r="BC14" s="581"/>
      <c r="BD14" s="581"/>
      <c r="BE14" s="581"/>
      <c r="BF14" s="335"/>
      <c r="BG14" s="72"/>
      <c r="BH14" s="281"/>
    </row>
    <row r="15" spans="1:60" s="6" customFormat="1" ht="14.7" customHeight="1" x14ac:dyDescent="0.3">
      <c r="A15" s="726"/>
      <c r="B15" s="959"/>
      <c r="C15" s="956" t="s">
        <v>9</v>
      </c>
      <c r="D15" s="213" t="s">
        <v>346</v>
      </c>
      <c r="E15" s="1" t="s">
        <v>193</v>
      </c>
      <c r="F15" s="97" t="s">
        <v>149</v>
      </c>
      <c r="G15" s="698" t="s">
        <v>785</v>
      </c>
      <c r="H15" s="698">
        <v>1000</v>
      </c>
      <c r="I15" s="97" t="s">
        <v>786</v>
      </c>
      <c r="J15" s="18" t="s">
        <v>149</v>
      </c>
      <c r="K15" s="97" t="s">
        <v>149</v>
      </c>
      <c r="L15" s="97" t="s">
        <v>149</v>
      </c>
      <c r="M15" s="737" t="s">
        <v>270</v>
      </c>
      <c r="N15" s="737" t="s">
        <v>301</v>
      </c>
      <c r="O15" s="786" t="s">
        <v>787</v>
      </c>
      <c r="P15" s="699" t="s">
        <v>351</v>
      </c>
      <c r="Q15" s="786"/>
      <c r="R15" s="726"/>
      <c r="S15" s="726"/>
      <c r="T15" s="726"/>
      <c r="U15" s="726"/>
      <c r="V15" s="726"/>
      <c r="W15" s="913" t="s">
        <v>14</v>
      </c>
      <c r="X15" s="910" t="s">
        <v>218</v>
      </c>
      <c r="Y15" s="913" t="s">
        <v>14</v>
      </c>
      <c r="Z15" s="726"/>
      <c r="AA15" s="922" t="s">
        <v>199</v>
      </c>
      <c r="AB15" s="726"/>
      <c r="AC15" s="726"/>
      <c r="AD15" s="726"/>
      <c r="AE15" s="726"/>
      <c r="AF15" s="726"/>
      <c r="AG15" s="726"/>
      <c r="AH15" s="726"/>
      <c r="AI15" s="726"/>
      <c r="AJ15" s="726"/>
      <c r="AK15" s="726"/>
      <c r="AL15" s="726"/>
      <c r="AM15" s="726"/>
      <c r="AN15" s="726"/>
      <c r="AO15" s="726"/>
      <c r="AP15" s="726"/>
      <c r="AQ15" s="693"/>
      <c r="AR15" s="726"/>
      <c r="AS15" s="693"/>
      <c r="AT15" s="693"/>
      <c r="AU15" s="693"/>
      <c r="AV15" s="693"/>
      <c r="AW15" s="693"/>
      <c r="AX15" s="693"/>
      <c r="AY15" s="693"/>
      <c r="AZ15" s="693"/>
      <c r="BA15" s="726"/>
      <c r="BB15" s="726"/>
      <c r="BC15" s="726"/>
      <c r="BD15" s="726"/>
      <c r="BE15" s="926" t="s">
        <v>4413</v>
      </c>
      <c r="BF15" s="739"/>
      <c r="BG15" s="786"/>
      <c r="BH15" s="929" t="s">
        <v>4407</v>
      </c>
    </row>
    <row r="16" spans="1:60" s="6" customFormat="1" ht="14.7" customHeight="1" x14ac:dyDescent="0.3">
      <c r="A16" s="727"/>
      <c r="B16" s="960"/>
      <c r="C16" s="956"/>
      <c r="D16" s="343" t="s">
        <v>57</v>
      </c>
      <c r="E16" s="97"/>
      <c r="F16" s="97" t="s">
        <v>149</v>
      </c>
      <c r="G16" s="700">
        <v>1</v>
      </c>
      <c r="H16" s="97" t="s">
        <v>149</v>
      </c>
      <c r="I16" s="97" t="s">
        <v>150</v>
      </c>
      <c r="J16" s="18" t="s">
        <v>149</v>
      </c>
      <c r="K16" s="97" t="s">
        <v>149</v>
      </c>
      <c r="L16" s="97" t="s">
        <v>149</v>
      </c>
      <c r="M16" s="780"/>
      <c r="N16" s="780"/>
      <c r="O16" s="918"/>
      <c r="P16" s="699" t="s">
        <v>788</v>
      </c>
      <c r="Q16" s="918"/>
      <c r="R16" s="727"/>
      <c r="S16" s="727"/>
      <c r="T16" s="727"/>
      <c r="U16" s="727"/>
      <c r="V16" s="727"/>
      <c r="W16" s="914"/>
      <c r="X16" s="911"/>
      <c r="Y16" s="914"/>
      <c r="Z16" s="727"/>
      <c r="AA16" s="923"/>
      <c r="AB16" s="727"/>
      <c r="AC16" s="727"/>
      <c r="AD16" s="727"/>
      <c r="AE16" s="727"/>
      <c r="AF16" s="727"/>
      <c r="AG16" s="727"/>
      <c r="AH16" s="727"/>
      <c r="AI16" s="727"/>
      <c r="AJ16" s="727"/>
      <c r="AK16" s="727"/>
      <c r="AL16" s="727"/>
      <c r="AM16" s="727"/>
      <c r="AN16" s="727"/>
      <c r="AO16" s="727"/>
      <c r="AP16" s="727"/>
      <c r="AQ16" s="694"/>
      <c r="AR16" s="727"/>
      <c r="AS16" s="694"/>
      <c r="AT16" s="694"/>
      <c r="AU16" s="694"/>
      <c r="AV16" s="694"/>
      <c r="AW16" s="694"/>
      <c r="AX16" s="694"/>
      <c r="AY16" s="694"/>
      <c r="AZ16" s="694"/>
      <c r="BA16" s="727"/>
      <c r="BB16" s="727"/>
      <c r="BC16" s="727"/>
      <c r="BD16" s="727"/>
      <c r="BE16" s="927"/>
      <c r="BF16" s="919"/>
      <c r="BG16" s="918"/>
      <c r="BH16" s="930"/>
    </row>
    <row r="17" spans="1:60" s="6" customFormat="1" ht="14.7" customHeight="1" x14ac:dyDescent="0.3">
      <c r="A17" s="728"/>
      <c r="B17" s="961"/>
      <c r="C17" s="957"/>
      <c r="D17" s="213" t="s">
        <v>789</v>
      </c>
      <c r="E17" s="1" t="s">
        <v>790</v>
      </c>
      <c r="F17" s="97" t="s">
        <v>149</v>
      </c>
      <c r="G17" s="700">
        <v>0</v>
      </c>
      <c r="H17" s="97" t="s">
        <v>149</v>
      </c>
      <c r="I17" s="97" t="s">
        <v>150</v>
      </c>
      <c r="J17" s="18" t="s">
        <v>149</v>
      </c>
      <c r="K17" s="97" t="s">
        <v>149</v>
      </c>
      <c r="L17" s="97" t="s">
        <v>149</v>
      </c>
      <c r="M17" s="973"/>
      <c r="N17" s="780"/>
      <c r="O17" s="918"/>
      <c r="P17" s="699" t="s">
        <v>791</v>
      </c>
      <c r="Q17" s="918"/>
      <c r="R17" s="728"/>
      <c r="S17" s="728"/>
      <c r="T17" s="728"/>
      <c r="U17" s="728"/>
      <c r="V17" s="728"/>
      <c r="W17" s="915"/>
      <c r="X17" s="912"/>
      <c r="Y17" s="915"/>
      <c r="Z17" s="728"/>
      <c r="AA17" s="924"/>
      <c r="AB17" s="728"/>
      <c r="AC17" s="728"/>
      <c r="AD17" s="728"/>
      <c r="AE17" s="728"/>
      <c r="AF17" s="728"/>
      <c r="AG17" s="728"/>
      <c r="AH17" s="728"/>
      <c r="AI17" s="728"/>
      <c r="AJ17" s="728"/>
      <c r="AK17" s="728"/>
      <c r="AL17" s="728"/>
      <c r="AM17" s="728"/>
      <c r="AN17" s="728"/>
      <c r="AO17" s="728"/>
      <c r="AP17" s="728"/>
      <c r="AQ17" s="696"/>
      <c r="AR17" s="728"/>
      <c r="AS17" s="696"/>
      <c r="AT17" s="696"/>
      <c r="AU17" s="696"/>
      <c r="AV17" s="696"/>
      <c r="AW17" s="696"/>
      <c r="AX17" s="696"/>
      <c r="AY17" s="696"/>
      <c r="AZ17" s="696"/>
      <c r="BA17" s="728"/>
      <c r="BB17" s="728"/>
      <c r="BC17" s="728"/>
      <c r="BD17" s="728"/>
      <c r="BE17" s="928"/>
      <c r="BF17" s="919"/>
      <c r="BG17" s="918"/>
      <c r="BH17" s="931"/>
    </row>
    <row r="18" spans="1:60" s="6" customFormat="1" ht="14.7" customHeight="1" x14ac:dyDescent="0.3">
      <c r="A18" s="728"/>
      <c r="B18" s="961"/>
      <c r="C18" s="957"/>
      <c r="D18" s="213" t="s">
        <v>355</v>
      </c>
      <c r="E18" s="1" t="s">
        <v>193</v>
      </c>
      <c r="F18" s="97" t="s">
        <v>149</v>
      </c>
      <c r="G18" s="698" t="s">
        <v>785</v>
      </c>
      <c r="H18" s="698">
        <v>1000</v>
      </c>
      <c r="I18" s="97" t="s">
        <v>786</v>
      </c>
      <c r="J18" s="18" t="s">
        <v>149</v>
      </c>
      <c r="K18" s="97" t="s">
        <v>149</v>
      </c>
      <c r="L18" s="97" t="s">
        <v>149</v>
      </c>
      <c r="M18" s="737" t="s">
        <v>270</v>
      </c>
      <c r="N18" s="780"/>
      <c r="O18" s="918"/>
      <c r="P18" s="699" t="s">
        <v>356</v>
      </c>
      <c r="Q18" s="918"/>
      <c r="R18" s="728"/>
      <c r="S18" s="728"/>
      <c r="T18" s="728"/>
      <c r="U18" s="728"/>
      <c r="V18" s="728"/>
      <c r="W18" s="915"/>
      <c r="X18" s="912"/>
      <c r="Y18" s="915"/>
      <c r="Z18" s="728"/>
      <c r="AA18" s="924"/>
      <c r="AB18" s="728"/>
      <c r="AC18" s="728"/>
      <c r="AD18" s="728"/>
      <c r="AE18" s="728"/>
      <c r="AF18" s="728"/>
      <c r="AG18" s="728"/>
      <c r="AH18" s="728"/>
      <c r="AI18" s="728"/>
      <c r="AJ18" s="728"/>
      <c r="AK18" s="728"/>
      <c r="AL18" s="728"/>
      <c r="AM18" s="728"/>
      <c r="AN18" s="728"/>
      <c r="AO18" s="728"/>
      <c r="AP18" s="728"/>
      <c r="AQ18" s="696"/>
      <c r="AR18" s="728"/>
      <c r="AS18" s="696"/>
      <c r="AT18" s="696"/>
      <c r="AU18" s="696"/>
      <c r="AV18" s="696"/>
      <c r="AW18" s="696"/>
      <c r="AX18" s="696"/>
      <c r="AY18" s="696"/>
      <c r="AZ18" s="696"/>
      <c r="BA18" s="728"/>
      <c r="BB18" s="728"/>
      <c r="BC18" s="728"/>
      <c r="BD18" s="728"/>
      <c r="BE18" s="928"/>
      <c r="BF18" s="919"/>
      <c r="BG18" s="918"/>
      <c r="BH18" s="931"/>
    </row>
    <row r="19" spans="1:60" s="6" customFormat="1" ht="14.7" customHeight="1" x14ac:dyDescent="0.3">
      <c r="A19" s="728"/>
      <c r="B19" s="961"/>
      <c r="C19" s="957"/>
      <c r="D19" s="343" t="s">
        <v>58</v>
      </c>
      <c r="E19" s="97"/>
      <c r="F19" s="97" t="s">
        <v>149</v>
      </c>
      <c r="G19" s="700">
        <v>1</v>
      </c>
      <c r="H19" s="97" t="s">
        <v>149</v>
      </c>
      <c r="I19" s="97" t="s">
        <v>150</v>
      </c>
      <c r="J19" s="18" t="s">
        <v>149</v>
      </c>
      <c r="K19" s="97" t="s">
        <v>149</v>
      </c>
      <c r="L19" s="97" t="s">
        <v>149</v>
      </c>
      <c r="M19" s="780"/>
      <c r="N19" s="780"/>
      <c r="O19" s="918"/>
      <c r="P19" s="699" t="s">
        <v>792</v>
      </c>
      <c r="Q19" s="918"/>
      <c r="R19" s="728"/>
      <c r="S19" s="728"/>
      <c r="T19" s="728"/>
      <c r="U19" s="728"/>
      <c r="V19" s="728"/>
      <c r="W19" s="915"/>
      <c r="X19" s="912"/>
      <c r="Y19" s="915"/>
      <c r="Z19" s="728"/>
      <c r="AA19" s="924"/>
      <c r="AB19" s="728"/>
      <c r="AC19" s="728"/>
      <c r="AD19" s="728"/>
      <c r="AE19" s="728"/>
      <c r="AF19" s="728"/>
      <c r="AG19" s="728"/>
      <c r="AH19" s="728"/>
      <c r="AI19" s="728"/>
      <c r="AJ19" s="728"/>
      <c r="AK19" s="728"/>
      <c r="AL19" s="728"/>
      <c r="AM19" s="728"/>
      <c r="AN19" s="728"/>
      <c r="AO19" s="728"/>
      <c r="AP19" s="728"/>
      <c r="AQ19" s="696"/>
      <c r="AR19" s="728"/>
      <c r="AS19" s="696"/>
      <c r="AT19" s="696"/>
      <c r="AU19" s="696"/>
      <c r="AV19" s="696"/>
      <c r="AW19" s="696"/>
      <c r="AX19" s="696"/>
      <c r="AY19" s="696"/>
      <c r="AZ19" s="696"/>
      <c r="BA19" s="728"/>
      <c r="BB19" s="728"/>
      <c r="BC19" s="728"/>
      <c r="BD19" s="728"/>
      <c r="BE19" s="928"/>
      <c r="BF19" s="919"/>
      <c r="BG19" s="918"/>
      <c r="BH19" s="931"/>
    </row>
    <row r="20" spans="1:60" s="6" customFormat="1" ht="14.7" customHeight="1" x14ac:dyDescent="0.3">
      <c r="A20" s="728"/>
      <c r="B20" s="961"/>
      <c r="C20" s="957"/>
      <c r="D20" s="213" t="s">
        <v>789</v>
      </c>
      <c r="E20" s="1" t="s">
        <v>790</v>
      </c>
      <c r="F20" s="97" t="s">
        <v>149</v>
      </c>
      <c r="G20" s="700">
        <v>0</v>
      </c>
      <c r="H20" s="97" t="s">
        <v>149</v>
      </c>
      <c r="I20" s="97" t="s">
        <v>150</v>
      </c>
      <c r="J20" s="18" t="s">
        <v>149</v>
      </c>
      <c r="K20" s="97" t="s">
        <v>149</v>
      </c>
      <c r="L20" s="97" t="s">
        <v>149</v>
      </c>
      <c r="M20" s="780"/>
      <c r="N20" s="780"/>
      <c r="O20" s="918"/>
      <c r="P20" s="699" t="s">
        <v>791</v>
      </c>
      <c r="Q20" s="918"/>
      <c r="R20" s="728"/>
      <c r="S20" s="728"/>
      <c r="T20" s="728"/>
      <c r="U20" s="728"/>
      <c r="V20" s="728"/>
      <c r="W20" s="915"/>
      <c r="X20" s="912"/>
      <c r="Y20" s="915"/>
      <c r="Z20" s="728"/>
      <c r="AA20" s="924"/>
      <c r="AB20" s="728"/>
      <c r="AC20" s="728"/>
      <c r="AD20" s="728"/>
      <c r="AE20" s="728"/>
      <c r="AF20" s="728"/>
      <c r="AG20" s="728"/>
      <c r="AH20" s="728"/>
      <c r="AI20" s="728"/>
      <c r="AJ20" s="728"/>
      <c r="AK20" s="728"/>
      <c r="AL20" s="728"/>
      <c r="AM20" s="728"/>
      <c r="AN20" s="728"/>
      <c r="AO20" s="728"/>
      <c r="AP20" s="728"/>
      <c r="AQ20" s="696"/>
      <c r="AR20" s="728"/>
      <c r="AS20" s="696"/>
      <c r="AT20" s="696"/>
      <c r="AU20" s="696"/>
      <c r="AV20" s="696"/>
      <c r="AW20" s="696"/>
      <c r="AX20" s="696"/>
      <c r="AY20" s="696"/>
      <c r="AZ20" s="696"/>
      <c r="BA20" s="728"/>
      <c r="BB20" s="728"/>
      <c r="BC20" s="728"/>
      <c r="BD20" s="728"/>
      <c r="BE20" s="928"/>
      <c r="BF20" s="740"/>
      <c r="BG20" s="787"/>
      <c r="BH20" s="931"/>
    </row>
    <row r="21" spans="1:60" s="6" customFormat="1" ht="18" customHeight="1" x14ac:dyDescent="0.3">
      <c r="A21" s="726"/>
      <c r="B21" s="959"/>
      <c r="C21" s="956" t="s">
        <v>9</v>
      </c>
      <c r="D21" s="213" t="s">
        <v>346</v>
      </c>
      <c r="E21" s="1" t="s">
        <v>193</v>
      </c>
      <c r="F21" s="702" t="s">
        <v>4406</v>
      </c>
      <c r="G21" s="702" t="s">
        <v>795</v>
      </c>
      <c r="H21" s="702">
        <v>4000</v>
      </c>
      <c r="I21" s="97" t="s">
        <v>786</v>
      </c>
      <c r="J21" s="18" t="s">
        <v>149</v>
      </c>
      <c r="K21" s="97" t="s">
        <v>149</v>
      </c>
      <c r="L21" s="97" t="s">
        <v>149</v>
      </c>
      <c r="M21" s="737" t="s">
        <v>270</v>
      </c>
      <c r="N21" s="737" t="s">
        <v>301</v>
      </c>
      <c r="O21" s="975" t="s">
        <v>4414</v>
      </c>
      <c r="P21" s="699" t="s">
        <v>351</v>
      </c>
      <c r="Q21" s="786"/>
      <c r="R21" s="726"/>
      <c r="S21" s="726" t="s">
        <v>199</v>
      </c>
      <c r="T21" s="726"/>
      <c r="U21" s="726"/>
      <c r="V21" s="726"/>
      <c r="W21" s="910" t="s">
        <v>14</v>
      </c>
      <c r="X21" s="726"/>
      <c r="Y21" s="726" t="s">
        <v>199</v>
      </c>
      <c r="Z21" s="726"/>
      <c r="AA21" s="910" t="s">
        <v>199</v>
      </c>
      <c r="AB21" s="726"/>
      <c r="AC21" s="726"/>
      <c r="AD21" s="726"/>
      <c r="AE21" s="726"/>
      <c r="AF21" s="726"/>
      <c r="AG21" s="726"/>
      <c r="AH21" s="726"/>
      <c r="AI21" s="726"/>
      <c r="AJ21" s="726"/>
      <c r="AK21" s="726"/>
      <c r="AL21" s="726"/>
      <c r="AM21" s="726"/>
      <c r="AN21" s="726"/>
      <c r="AO21" s="726"/>
      <c r="AP21" s="726"/>
      <c r="AQ21" s="726" t="s">
        <v>199</v>
      </c>
      <c r="AR21" s="726"/>
      <c r="AS21" s="693"/>
      <c r="AT21" s="693"/>
      <c r="AU21" s="693"/>
      <c r="AV21" s="693"/>
      <c r="AW21" s="693"/>
      <c r="AX21" s="693"/>
      <c r="AY21" s="693"/>
      <c r="AZ21" s="693"/>
      <c r="BA21" s="726"/>
      <c r="BB21" s="726"/>
      <c r="BC21" s="726"/>
      <c r="BD21" s="726"/>
      <c r="BE21" s="926" t="s">
        <v>793</v>
      </c>
      <c r="BF21" s="739"/>
      <c r="BG21" s="786"/>
      <c r="BH21" s="929" t="s">
        <v>4408</v>
      </c>
    </row>
    <row r="22" spans="1:60" s="6" customFormat="1" ht="18" customHeight="1" x14ac:dyDescent="0.3">
      <c r="A22" s="727"/>
      <c r="B22" s="960"/>
      <c r="C22" s="956"/>
      <c r="D22" s="343" t="s">
        <v>57</v>
      </c>
      <c r="E22" s="97"/>
      <c r="F22" s="97" t="s">
        <v>149</v>
      </c>
      <c r="G22" s="700">
        <v>1</v>
      </c>
      <c r="H22" s="97" t="s">
        <v>149</v>
      </c>
      <c r="I22" s="97" t="s">
        <v>150</v>
      </c>
      <c r="J22" s="18" t="s">
        <v>149</v>
      </c>
      <c r="K22" s="97" t="s">
        <v>149</v>
      </c>
      <c r="L22" s="97" t="s">
        <v>149</v>
      </c>
      <c r="M22" s="780"/>
      <c r="N22" s="780"/>
      <c r="O22" s="976"/>
      <c r="P22" s="699" t="s">
        <v>788</v>
      </c>
      <c r="Q22" s="918"/>
      <c r="R22" s="727"/>
      <c r="S22" s="727"/>
      <c r="T22" s="727"/>
      <c r="U22" s="727"/>
      <c r="V22" s="727"/>
      <c r="W22" s="911"/>
      <c r="X22" s="727"/>
      <c r="Y22" s="727"/>
      <c r="Z22" s="727"/>
      <c r="AA22" s="911"/>
      <c r="AB22" s="727"/>
      <c r="AC22" s="727"/>
      <c r="AD22" s="727"/>
      <c r="AE22" s="727"/>
      <c r="AF22" s="727"/>
      <c r="AG22" s="727"/>
      <c r="AH22" s="727"/>
      <c r="AI22" s="727"/>
      <c r="AJ22" s="727"/>
      <c r="AK22" s="727"/>
      <c r="AL22" s="727"/>
      <c r="AM22" s="727"/>
      <c r="AN22" s="727"/>
      <c r="AO22" s="727"/>
      <c r="AP22" s="727"/>
      <c r="AQ22" s="727"/>
      <c r="AR22" s="727"/>
      <c r="AS22" s="694"/>
      <c r="AT22" s="694"/>
      <c r="AU22" s="694"/>
      <c r="AV22" s="694"/>
      <c r="AW22" s="694"/>
      <c r="AX22" s="694"/>
      <c r="AY22" s="694"/>
      <c r="AZ22" s="694"/>
      <c r="BA22" s="727"/>
      <c r="BB22" s="727"/>
      <c r="BC22" s="727"/>
      <c r="BD22" s="727"/>
      <c r="BE22" s="927"/>
      <c r="BF22" s="919"/>
      <c r="BG22" s="918"/>
      <c r="BH22" s="930"/>
    </row>
    <row r="23" spans="1:60" s="709" customFormat="1" ht="18" customHeight="1" x14ac:dyDescent="0.3">
      <c r="A23" s="729"/>
      <c r="B23" s="962"/>
      <c r="C23" s="958"/>
      <c r="D23" s="703" t="s">
        <v>789</v>
      </c>
      <c r="E23" s="704" t="s">
        <v>790</v>
      </c>
      <c r="F23" s="705" t="s">
        <v>149</v>
      </c>
      <c r="G23" s="706">
        <v>1</v>
      </c>
      <c r="H23" s="705" t="s">
        <v>149</v>
      </c>
      <c r="I23" s="705" t="s">
        <v>150</v>
      </c>
      <c r="J23" s="707" t="s">
        <v>149</v>
      </c>
      <c r="K23" s="705" t="s">
        <v>149</v>
      </c>
      <c r="L23" s="705" t="s">
        <v>149</v>
      </c>
      <c r="M23" s="974"/>
      <c r="N23" s="780"/>
      <c r="O23" s="977"/>
      <c r="P23" s="708" t="s">
        <v>794</v>
      </c>
      <c r="Q23" s="918"/>
      <c r="R23" s="729"/>
      <c r="S23" s="729"/>
      <c r="T23" s="729"/>
      <c r="U23" s="729"/>
      <c r="V23" s="729"/>
      <c r="W23" s="912"/>
      <c r="X23" s="729"/>
      <c r="Y23" s="729"/>
      <c r="Z23" s="729"/>
      <c r="AA23" s="912"/>
      <c r="AB23" s="729"/>
      <c r="AC23" s="729"/>
      <c r="AD23" s="729"/>
      <c r="AE23" s="729"/>
      <c r="AF23" s="729"/>
      <c r="AG23" s="729"/>
      <c r="AH23" s="729"/>
      <c r="AI23" s="729"/>
      <c r="AJ23" s="729"/>
      <c r="AK23" s="729"/>
      <c r="AL23" s="729"/>
      <c r="AM23" s="729"/>
      <c r="AN23" s="729"/>
      <c r="AO23" s="729"/>
      <c r="AP23" s="729"/>
      <c r="AQ23" s="727"/>
      <c r="AR23" s="729"/>
      <c r="AS23" s="701"/>
      <c r="AT23" s="701"/>
      <c r="AU23" s="701"/>
      <c r="AV23" s="701"/>
      <c r="AW23" s="701"/>
      <c r="AX23" s="701"/>
      <c r="AY23" s="701"/>
      <c r="AZ23" s="701"/>
      <c r="BA23" s="729"/>
      <c r="BB23" s="729"/>
      <c r="BC23" s="729"/>
      <c r="BD23" s="729"/>
      <c r="BE23" s="932"/>
      <c r="BF23" s="919"/>
      <c r="BG23" s="918"/>
      <c r="BH23" s="931"/>
    </row>
    <row r="24" spans="1:60" s="6" customFormat="1" ht="18" customHeight="1" x14ac:dyDescent="0.3">
      <c r="A24" s="729"/>
      <c r="B24" s="962"/>
      <c r="C24" s="958"/>
      <c r="D24" s="213" t="s">
        <v>355</v>
      </c>
      <c r="E24" s="1" t="s">
        <v>193</v>
      </c>
      <c r="F24" s="702" t="s">
        <v>4406</v>
      </c>
      <c r="G24" s="702" t="s">
        <v>795</v>
      </c>
      <c r="H24" s="702">
        <v>4000</v>
      </c>
      <c r="I24" s="97" t="s">
        <v>786</v>
      </c>
      <c r="J24" s="18" t="s">
        <v>149</v>
      </c>
      <c r="K24" s="97" t="s">
        <v>149</v>
      </c>
      <c r="L24" s="97" t="s">
        <v>149</v>
      </c>
      <c r="M24" s="737" t="s">
        <v>270</v>
      </c>
      <c r="N24" s="780"/>
      <c r="O24" s="977"/>
      <c r="P24" s="699" t="s">
        <v>356</v>
      </c>
      <c r="Q24" s="918"/>
      <c r="R24" s="729"/>
      <c r="S24" s="729"/>
      <c r="T24" s="729"/>
      <c r="U24" s="729"/>
      <c r="V24" s="729"/>
      <c r="W24" s="912"/>
      <c r="X24" s="729"/>
      <c r="Y24" s="729"/>
      <c r="Z24" s="729"/>
      <c r="AA24" s="912"/>
      <c r="AB24" s="729"/>
      <c r="AC24" s="729"/>
      <c r="AD24" s="729"/>
      <c r="AE24" s="729"/>
      <c r="AF24" s="729"/>
      <c r="AG24" s="729"/>
      <c r="AH24" s="729"/>
      <c r="AI24" s="729"/>
      <c r="AJ24" s="729"/>
      <c r="AK24" s="729"/>
      <c r="AL24" s="729"/>
      <c r="AM24" s="729"/>
      <c r="AN24" s="729"/>
      <c r="AO24" s="729"/>
      <c r="AP24" s="729"/>
      <c r="AQ24" s="727"/>
      <c r="AR24" s="729"/>
      <c r="AS24" s="695"/>
      <c r="AT24" s="695"/>
      <c r="AU24" s="695"/>
      <c r="AV24" s="695"/>
      <c r="AW24" s="695"/>
      <c r="AX24" s="695"/>
      <c r="AY24" s="695"/>
      <c r="AZ24" s="695"/>
      <c r="BA24" s="729"/>
      <c r="BB24" s="729"/>
      <c r="BC24" s="729"/>
      <c r="BD24" s="729"/>
      <c r="BE24" s="932"/>
      <c r="BF24" s="919"/>
      <c r="BG24" s="918"/>
      <c r="BH24" s="931"/>
    </row>
    <row r="25" spans="1:60" s="6" customFormat="1" ht="18" customHeight="1" x14ac:dyDescent="0.3">
      <c r="A25" s="729"/>
      <c r="B25" s="962"/>
      <c r="C25" s="958"/>
      <c r="D25" s="343" t="s">
        <v>58</v>
      </c>
      <c r="E25" s="97"/>
      <c r="F25" s="97" t="s">
        <v>149</v>
      </c>
      <c r="G25" s="700">
        <v>1</v>
      </c>
      <c r="H25" s="97" t="s">
        <v>149</v>
      </c>
      <c r="I25" s="97" t="s">
        <v>150</v>
      </c>
      <c r="J25" s="18" t="s">
        <v>149</v>
      </c>
      <c r="K25" s="97" t="s">
        <v>149</v>
      </c>
      <c r="L25" s="97" t="s">
        <v>149</v>
      </c>
      <c r="M25" s="780"/>
      <c r="N25" s="780"/>
      <c r="O25" s="977"/>
      <c r="P25" s="699" t="s">
        <v>792</v>
      </c>
      <c r="Q25" s="918"/>
      <c r="R25" s="729"/>
      <c r="S25" s="729"/>
      <c r="T25" s="729"/>
      <c r="U25" s="729"/>
      <c r="V25" s="729"/>
      <c r="W25" s="912"/>
      <c r="X25" s="729"/>
      <c r="Y25" s="729"/>
      <c r="Z25" s="729"/>
      <c r="AA25" s="912"/>
      <c r="AB25" s="729"/>
      <c r="AC25" s="729"/>
      <c r="AD25" s="729"/>
      <c r="AE25" s="729"/>
      <c r="AF25" s="729"/>
      <c r="AG25" s="729"/>
      <c r="AH25" s="729"/>
      <c r="AI25" s="729"/>
      <c r="AJ25" s="729"/>
      <c r="AK25" s="729"/>
      <c r="AL25" s="729"/>
      <c r="AM25" s="729"/>
      <c r="AN25" s="729"/>
      <c r="AO25" s="729"/>
      <c r="AP25" s="729"/>
      <c r="AQ25" s="727"/>
      <c r="AR25" s="729"/>
      <c r="AS25" s="695"/>
      <c r="AT25" s="695"/>
      <c r="AU25" s="695"/>
      <c r="AV25" s="695"/>
      <c r="AW25" s="695"/>
      <c r="AX25" s="695"/>
      <c r="AY25" s="695"/>
      <c r="AZ25" s="695"/>
      <c r="BA25" s="729"/>
      <c r="BB25" s="729"/>
      <c r="BC25" s="729"/>
      <c r="BD25" s="729"/>
      <c r="BE25" s="932"/>
      <c r="BF25" s="919"/>
      <c r="BG25" s="918"/>
      <c r="BH25" s="931"/>
    </row>
    <row r="26" spans="1:60" s="709" customFormat="1" ht="18" customHeight="1" x14ac:dyDescent="0.3">
      <c r="A26" s="729"/>
      <c r="B26" s="962"/>
      <c r="C26" s="958"/>
      <c r="D26" s="703" t="s">
        <v>789</v>
      </c>
      <c r="E26" s="704" t="s">
        <v>790</v>
      </c>
      <c r="F26" s="705" t="s">
        <v>149</v>
      </c>
      <c r="G26" s="706">
        <v>1</v>
      </c>
      <c r="H26" s="705" t="s">
        <v>149</v>
      </c>
      <c r="I26" s="705" t="s">
        <v>150</v>
      </c>
      <c r="J26" s="707" t="s">
        <v>149</v>
      </c>
      <c r="K26" s="705" t="s">
        <v>149</v>
      </c>
      <c r="L26" s="705" t="s">
        <v>149</v>
      </c>
      <c r="M26" s="780"/>
      <c r="N26" s="780"/>
      <c r="O26" s="977"/>
      <c r="P26" s="708" t="s">
        <v>794</v>
      </c>
      <c r="Q26" s="918"/>
      <c r="R26" s="729"/>
      <c r="S26" s="729"/>
      <c r="T26" s="729"/>
      <c r="U26" s="729"/>
      <c r="V26" s="729"/>
      <c r="W26" s="912"/>
      <c r="X26" s="729"/>
      <c r="Y26" s="729"/>
      <c r="Z26" s="729"/>
      <c r="AA26" s="912"/>
      <c r="AB26" s="729"/>
      <c r="AC26" s="729"/>
      <c r="AD26" s="729"/>
      <c r="AE26" s="729"/>
      <c r="AF26" s="729"/>
      <c r="AG26" s="729"/>
      <c r="AH26" s="729"/>
      <c r="AI26" s="729"/>
      <c r="AJ26" s="729"/>
      <c r="AK26" s="729"/>
      <c r="AL26" s="729"/>
      <c r="AM26" s="729"/>
      <c r="AN26" s="729"/>
      <c r="AO26" s="729"/>
      <c r="AP26" s="729"/>
      <c r="AQ26" s="899"/>
      <c r="AR26" s="729"/>
      <c r="AS26" s="701"/>
      <c r="AT26" s="701"/>
      <c r="AU26" s="701"/>
      <c r="AV26" s="701"/>
      <c r="AW26" s="701"/>
      <c r="AX26" s="701"/>
      <c r="AY26" s="701"/>
      <c r="AZ26" s="701"/>
      <c r="BA26" s="729"/>
      <c r="BB26" s="729"/>
      <c r="BC26" s="729"/>
      <c r="BD26" s="729"/>
      <c r="BE26" s="932"/>
      <c r="BF26" s="740"/>
      <c r="BG26" s="787"/>
      <c r="BH26" s="931"/>
    </row>
    <row r="27" spans="1:60" s="20" customFormat="1" ht="31.95" customHeight="1" x14ac:dyDescent="0.3">
      <c r="A27" s="714"/>
      <c r="B27" s="850"/>
      <c r="C27" s="968" t="s">
        <v>9</v>
      </c>
      <c r="D27" s="347" t="s">
        <v>4416</v>
      </c>
      <c r="E27" s="499"/>
      <c r="F27" s="503" t="s">
        <v>149</v>
      </c>
      <c r="G27" s="372">
        <v>0</v>
      </c>
      <c r="H27" s="503" t="s">
        <v>149</v>
      </c>
      <c r="I27" s="503" t="s">
        <v>150</v>
      </c>
      <c r="J27" s="528" t="s">
        <v>149</v>
      </c>
      <c r="K27" s="712" t="s">
        <v>372</v>
      </c>
      <c r="L27" s="503" t="s">
        <v>149</v>
      </c>
      <c r="M27" s="712" t="s">
        <v>483</v>
      </c>
      <c r="N27" s="712" t="s">
        <v>270</v>
      </c>
      <c r="O27" s="712" t="s">
        <v>796</v>
      </c>
      <c r="P27" s="711" t="s">
        <v>4418</v>
      </c>
      <c r="Q27" s="712"/>
      <c r="R27" s="714"/>
      <c r="S27" s="714"/>
      <c r="T27" s="714"/>
      <c r="U27" s="714"/>
      <c r="V27" s="714"/>
      <c r="W27" s="714"/>
      <c r="X27" s="714"/>
      <c r="Y27" s="714"/>
      <c r="Z27" s="714"/>
      <c r="AA27" s="714"/>
      <c r="AB27" s="714"/>
      <c r="AC27" s="714"/>
      <c r="AD27" s="714"/>
      <c r="AE27" s="905" t="s">
        <v>14</v>
      </c>
      <c r="AF27" s="714"/>
      <c r="AG27" s="714"/>
      <c r="AH27" s="714"/>
      <c r="AI27" s="714"/>
      <c r="AJ27" s="714"/>
      <c r="AK27" s="714"/>
      <c r="AL27" s="714"/>
      <c r="AM27" s="714"/>
      <c r="AN27" s="714"/>
      <c r="AO27" s="908"/>
      <c r="AP27" s="754"/>
      <c r="AQ27" s="541"/>
      <c r="AR27" s="754"/>
      <c r="AS27" s="541"/>
      <c r="AT27" s="541"/>
      <c r="AU27" s="541"/>
      <c r="AV27" s="541"/>
      <c r="AW27" s="541"/>
      <c r="AX27" s="541"/>
      <c r="AY27" s="541"/>
      <c r="AZ27" s="541"/>
      <c r="BA27" s="754"/>
      <c r="BB27" s="754"/>
      <c r="BC27" s="754"/>
      <c r="BD27" s="754"/>
      <c r="BE27" s="776" t="s">
        <v>797</v>
      </c>
      <c r="BF27" s="1004"/>
      <c r="BG27" s="1005"/>
      <c r="BH27" s="774" t="s">
        <v>4420</v>
      </c>
    </row>
    <row r="28" spans="1:60" s="20" customFormat="1" ht="31.95" customHeight="1" x14ac:dyDescent="0.3">
      <c r="A28" s="730"/>
      <c r="B28" s="963"/>
      <c r="C28" s="969"/>
      <c r="D28" s="347" t="s">
        <v>4417</v>
      </c>
      <c r="E28" s="499"/>
      <c r="F28" s="503" t="s">
        <v>149</v>
      </c>
      <c r="G28" s="372">
        <v>0</v>
      </c>
      <c r="H28" s="503" t="s">
        <v>149</v>
      </c>
      <c r="I28" s="503" t="s">
        <v>150</v>
      </c>
      <c r="J28" s="528" t="s">
        <v>149</v>
      </c>
      <c r="K28" s="713"/>
      <c r="L28" s="503" t="s">
        <v>149</v>
      </c>
      <c r="M28" s="978"/>
      <c r="N28" s="721"/>
      <c r="O28" s="721"/>
      <c r="P28" s="711" t="s">
        <v>4419</v>
      </c>
      <c r="Q28" s="721"/>
      <c r="R28" s="730"/>
      <c r="S28" s="730"/>
      <c r="T28" s="730"/>
      <c r="U28" s="730"/>
      <c r="V28" s="730"/>
      <c r="W28" s="730"/>
      <c r="X28" s="730"/>
      <c r="Y28" s="730"/>
      <c r="Z28" s="730"/>
      <c r="AA28" s="730"/>
      <c r="AB28" s="730"/>
      <c r="AC28" s="730"/>
      <c r="AD28" s="730"/>
      <c r="AE28" s="906"/>
      <c r="AF28" s="730"/>
      <c r="AG28" s="730"/>
      <c r="AH28" s="730"/>
      <c r="AI28" s="730"/>
      <c r="AJ28" s="730"/>
      <c r="AK28" s="730"/>
      <c r="AL28" s="730"/>
      <c r="AM28" s="730"/>
      <c r="AN28" s="730"/>
      <c r="AO28" s="909"/>
      <c r="AP28" s="900"/>
      <c r="AQ28" s="565"/>
      <c r="AR28" s="900"/>
      <c r="AS28" s="565"/>
      <c r="AT28" s="565"/>
      <c r="AU28" s="565"/>
      <c r="AV28" s="565"/>
      <c r="AW28" s="565"/>
      <c r="AX28" s="565"/>
      <c r="AY28" s="565"/>
      <c r="AZ28" s="565"/>
      <c r="BA28" s="900"/>
      <c r="BB28" s="900"/>
      <c r="BC28" s="900"/>
      <c r="BD28" s="900"/>
      <c r="BE28" s="777"/>
      <c r="BF28" s="1004"/>
      <c r="BG28" s="1005"/>
      <c r="BH28" s="920"/>
    </row>
    <row r="29" spans="1:60" s="20" customFormat="1" ht="15.6" customHeight="1" x14ac:dyDescent="0.3">
      <c r="A29" s="731"/>
      <c r="B29" s="964"/>
      <c r="C29" s="969"/>
      <c r="D29" s="503" t="s">
        <v>798</v>
      </c>
      <c r="E29" s="499" t="s">
        <v>363</v>
      </c>
      <c r="F29" s="503" t="s">
        <v>149</v>
      </c>
      <c r="G29" s="500">
        <v>0</v>
      </c>
      <c r="H29" s="503" t="s">
        <v>149</v>
      </c>
      <c r="I29" s="503" t="s">
        <v>150</v>
      </c>
      <c r="J29" s="528" t="s">
        <v>149</v>
      </c>
      <c r="K29" s="503" t="s">
        <v>149</v>
      </c>
      <c r="L29" s="503" t="s">
        <v>149</v>
      </c>
      <c r="M29" s="503"/>
      <c r="N29" s="713"/>
      <c r="O29" s="713"/>
      <c r="P29" s="711" t="s">
        <v>978</v>
      </c>
      <c r="Q29" s="713"/>
      <c r="R29" s="731"/>
      <c r="S29" s="731"/>
      <c r="T29" s="731"/>
      <c r="U29" s="731"/>
      <c r="V29" s="731"/>
      <c r="W29" s="731"/>
      <c r="X29" s="731"/>
      <c r="Y29" s="731"/>
      <c r="Z29" s="731"/>
      <c r="AA29" s="731"/>
      <c r="AB29" s="731"/>
      <c r="AC29" s="731"/>
      <c r="AD29" s="731"/>
      <c r="AE29" s="907"/>
      <c r="AF29" s="731"/>
      <c r="AG29" s="731"/>
      <c r="AH29" s="731"/>
      <c r="AI29" s="731"/>
      <c r="AJ29" s="731"/>
      <c r="AK29" s="731"/>
      <c r="AL29" s="731"/>
      <c r="AM29" s="731"/>
      <c r="AN29" s="731"/>
      <c r="AO29" s="934"/>
      <c r="AP29" s="901"/>
      <c r="AQ29" s="457"/>
      <c r="AR29" s="901"/>
      <c r="AS29" s="457"/>
      <c r="AT29" s="457"/>
      <c r="AU29" s="457"/>
      <c r="AV29" s="457"/>
      <c r="AW29" s="457"/>
      <c r="AX29" s="457"/>
      <c r="AY29" s="457"/>
      <c r="AZ29" s="457"/>
      <c r="BA29" s="901"/>
      <c r="BB29" s="901"/>
      <c r="BC29" s="901"/>
      <c r="BD29" s="901"/>
      <c r="BE29" s="925"/>
      <c r="BF29" s="1004"/>
      <c r="BG29" s="1005"/>
      <c r="BH29" s="921"/>
    </row>
    <row r="30" spans="1:60" s="20" customFormat="1" ht="28.95" customHeight="1" x14ac:dyDescent="0.3">
      <c r="A30" s="714"/>
      <c r="B30" s="965"/>
      <c r="C30" s="967" t="s">
        <v>42</v>
      </c>
      <c r="D30" s="590" t="s">
        <v>799</v>
      </c>
      <c r="E30" s="503" t="s">
        <v>800</v>
      </c>
      <c r="F30" s="503" t="s">
        <v>149</v>
      </c>
      <c r="G30" s="500">
        <v>1</v>
      </c>
      <c r="H30" s="503"/>
      <c r="I30" s="503" t="s">
        <v>150</v>
      </c>
      <c r="J30" s="528" t="s">
        <v>149</v>
      </c>
      <c r="K30" s="503" t="s">
        <v>149</v>
      </c>
      <c r="L30" s="503" t="s">
        <v>149</v>
      </c>
      <c r="M30" s="550"/>
      <c r="N30" s="719" t="s">
        <v>801</v>
      </c>
      <c r="O30" s="712" t="s">
        <v>802</v>
      </c>
      <c r="P30" s="547" t="s">
        <v>803</v>
      </c>
      <c r="Q30" s="712"/>
      <c r="R30" s="714"/>
      <c r="S30" s="714" t="s">
        <v>199</v>
      </c>
      <c r="T30" s="714"/>
      <c r="U30" s="714"/>
      <c r="V30" s="714"/>
      <c r="W30" s="714"/>
      <c r="X30" s="714"/>
      <c r="Y30" s="1023" t="s">
        <v>199</v>
      </c>
      <c r="Z30" s="714"/>
      <c r="AA30" s="714"/>
      <c r="AB30" s="714"/>
      <c r="AC30" s="714"/>
      <c r="AD30" s="714"/>
      <c r="AE30" s="714"/>
      <c r="AF30" s="714"/>
      <c r="AG30" s="714"/>
      <c r="AH30" s="714"/>
      <c r="AI30" s="714"/>
      <c r="AJ30" s="714"/>
      <c r="AK30" s="714"/>
      <c r="AL30" s="714"/>
      <c r="AM30" s="714"/>
      <c r="AN30" s="714"/>
      <c r="AO30" s="908"/>
      <c r="AP30" s="754"/>
      <c r="AQ30" s="754" t="s">
        <v>199</v>
      </c>
      <c r="AR30" s="754"/>
      <c r="AS30" s="541"/>
      <c r="AT30" s="541"/>
      <c r="AU30" s="541"/>
      <c r="AV30" s="541"/>
      <c r="AW30" s="541"/>
      <c r="AX30" s="541"/>
      <c r="AY30" s="541"/>
      <c r="AZ30" s="541"/>
      <c r="BA30" s="754"/>
      <c r="BB30" s="754"/>
      <c r="BC30" s="754"/>
      <c r="BD30" s="754"/>
      <c r="BE30" s="902"/>
      <c r="BF30" s="935"/>
      <c r="BG30" s="916"/>
      <c r="BH30" s="888" t="s">
        <v>804</v>
      </c>
    </row>
    <row r="31" spans="1:60" s="20" customFormat="1" ht="28.95" customHeight="1" x14ac:dyDescent="0.3">
      <c r="A31" s="730"/>
      <c r="B31" s="966"/>
      <c r="C31" s="967"/>
      <c r="D31" s="590" t="s">
        <v>799</v>
      </c>
      <c r="E31" s="503" t="s">
        <v>805</v>
      </c>
      <c r="F31" s="503" t="s">
        <v>149</v>
      </c>
      <c r="G31" s="500">
        <v>0</v>
      </c>
      <c r="H31" s="503"/>
      <c r="I31" s="503" t="s">
        <v>150</v>
      </c>
      <c r="J31" s="528" t="s">
        <v>149</v>
      </c>
      <c r="K31" s="503" t="s">
        <v>149</v>
      </c>
      <c r="L31" s="503" t="s">
        <v>149</v>
      </c>
      <c r="M31" s="550"/>
      <c r="N31" s="746"/>
      <c r="O31" s="721"/>
      <c r="P31" s="547" t="s">
        <v>806</v>
      </c>
      <c r="Q31" s="721"/>
      <c r="R31" s="730"/>
      <c r="S31" s="730"/>
      <c r="T31" s="730"/>
      <c r="U31" s="730"/>
      <c r="V31" s="730"/>
      <c r="W31" s="730"/>
      <c r="X31" s="730"/>
      <c r="Y31" s="730"/>
      <c r="Z31" s="730"/>
      <c r="AA31" s="730"/>
      <c r="AB31" s="730"/>
      <c r="AC31" s="730"/>
      <c r="AD31" s="730"/>
      <c r="AE31" s="730"/>
      <c r="AF31" s="730"/>
      <c r="AG31" s="730"/>
      <c r="AH31" s="730"/>
      <c r="AI31" s="730"/>
      <c r="AJ31" s="730"/>
      <c r="AK31" s="730"/>
      <c r="AL31" s="730"/>
      <c r="AM31" s="730"/>
      <c r="AN31" s="730"/>
      <c r="AO31" s="909"/>
      <c r="AP31" s="900"/>
      <c r="AQ31" s="900"/>
      <c r="AR31" s="900"/>
      <c r="AS31" s="565"/>
      <c r="AT31" s="565"/>
      <c r="AU31" s="565"/>
      <c r="AV31" s="565"/>
      <c r="AW31" s="565"/>
      <c r="AX31" s="565"/>
      <c r="AY31" s="565"/>
      <c r="AZ31" s="565"/>
      <c r="BA31" s="900"/>
      <c r="BB31" s="900"/>
      <c r="BC31" s="900"/>
      <c r="BD31" s="900"/>
      <c r="BE31" s="903"/>
      <c r="BF31" s="935"/>
      <c r="BG31" s="916"/>
      <c r="BH31" s="917"/>
    </row>
    <row r="32" spans="1:60" s="20" customFormat="1" ht="14.4" customHeight="1" x14ac:dyDescent="0.3">
      <c r="A32" s="730"/>
      <c r="B32" s="966"/>
      <c r="C32" s="967"/>
      <c r="D32" s="591" t="s">
        <v>57</v>
      </c>
      <c r="E32" s="503"/>
      <c r="F32" s="503" t="s">
        <v>149</v>
      </c>
      <c r="G32" s="500">
        <v>0</v>
      </c>
      <c r="H32" s="503" t="s">
        <v>149</v>
      </c>
      <c r="I32" s="503" t="s">
        <v>150</v>
      </c>
      <c r="J32" s="528" t="s">
        <v>149</v>
      </c>
      <c r="K32" s="503" t="s">
        <v>149</v>
      </c>
      <c r="L32" s="503" t="s">
        <v>149</v>
      </c>
      <c r="M32" s="817" t="s">
        <v>270</v>
      </c>
      <c r="N32" s="746"/>
      <c r="O32" s="721"/>
      <c r="P32" s="588" t="s">
        <v>807</v>
      </c>
      <c r="Q32" s="721"/>
      <c r="R32" s="730"/>
      <c r="S32" s="730"/>
      <c r="T32" s="730"/>
      <c r="U32" s="730"/>
      <c r="V32" s="730"/>
      <c r="W32" s="730"/>
      <c r="X32" s="730"/>
      <c r="Y32" s="730"/>
      <c r="Z32" s="730"/>
      <c r="AA32" s="730"/>
      <c r="AB32" s="730"/>
      <c r="AC32" s="730"/>
      <c r="AD32" s="730"/>
      <c r="AE32" s="730"/>
      <c r="AF32" s="730"/>
      <c r="AG32" s="730"/>
      <c r="AH32" s="730"/>
      <c r="AI32" s="730"/>
      <c r="AJ32" s="730"/>
      <c r="AK32" s="730"/>
      <c r="AL32" s="730"/>
      <c r="AM32" s="730"/>
      <c r="AN32" s="730"/>
      <c r="AO32" s="909"/>
      <c r="AP32" s="900"/>
      <c r="AQ32" s="900"/>
      <c r="AR32" s="900"/>
      <c r="AS32" s="565"/>
      <c r="AT32" s="565"/>
      <c r="AU32" s="565"/>
      <c r="AV32" s="565"/>
      <c r="AW32" s="565"/>
      <c r="AX32" s="565"/>
      <c r="AY32" s="565"/>
      <c r="AZ32" s="565"/>
      <c r="BA32" s="900"/>
      <c r="BB32" s="900"/>
      <c r="BC32" s="900"/>
      <c r="BD32" s="900"/>
      <c r="BE32" s="903"/>
      <c r="BF32" s="935"/>
      <c r="BG32" s="916"/>
      <c r="BH32" s="917"/>
    </row>
    <row r="33" spans="1:60" s="469" customFormat="1" ht="14.4" customHeight="1" x14ac:dyDescent="0.3">
      <c r="A33" s="730"/>
      <c r="B33" s="966"/>
      <c r="C33" s="967"/>
      <c r="D33" s="592" t="s">
        <v>58</v>
      </c>
      <c r="E33" s="509"/>
      <c r="F33" s="509" t="s">
        <v>149</v>
      </c>
      <c r="G33" s="593">
        <v>0</v>
      </c>
      <c r="H33" s="509" t="s">
        <v>149</v>
      </c>
      <c r="I33" s="509" t="s">
        <v>150</v>
      </c>
      <c r="J33" s="538" t="s">
        <v>149</v>
      </c>
      <c r="K33" s="509" t="s">
        <v>149</v>
      </c>
      <c r="L33" s="509" t="s">
        <v>149</v>
      </c>
      <c r="M33" s="719"/>
      <c r="N33" s="746"/>
      <c r="O33" s="721"/>
      <c r="P33" s="594" t="s">
        <v>808</v>
      </c>
      <c r="Q33" s="721"/>
      <c r="R33" s="730"/>
      <c r="S33" s="730"/>
      <c r="T33" s="730"/>
      <c r="U33" s="730"/>
      <c r="V33" s="730"/>
      <c r="W33" s="730"/>
      <c r="X33" s="730"/>
      <c r="Y33" s="730"/>
      <c r="Z33" s="730"/>
      <c r="AA33" s="730"/>
      <c r="AB33" s="730"/>
      <c r="AC33" s="730"/>
      <c r="AD33" s="730"/>
      <c r="AE33" s="730"/>
      <c r="AF33" s="730"/>
      <c r="AG33" s="730"/>
      <c r="AH33" s="730"/>
      <c r="AI33" s="730"/>
      <c r="AJ33" s="730"/>
      <c r="AK33" s="730"/>
      <c r="AL33" s="730"/>
      <c r="AM33" s="730"/>
      <c r="AN33" s="730"/>
      <c r="AO33" s="909"/>
      <c r="AP33" s="900"/>
      <c r="AQ33" s="900"/>
      <c r="AR33" s="900"/>
      <c r="AS33" s="565"/>
      <c r="AT33" s="565"/>
      <c r="AU33" s="565"/>
      <c r="AV33" s="565"/>
      <c r="AW33" s="565"/>
      <c r="AX33" s="565"/>
      <c r="AY33" s="565"/>
      <c r="AZ33" s="565"/>
      <c r="BA33" s="900"/>
      <c r="BB33" s="900"/>
      <c r="BC33" s="900"/>
      <c r="BD33" s="900"/>
      <c r="BE33" s="903"/>
      <c r="BF33" s="935"/>
      <c r="BG33" s="916"/>
      <c r="BH33" s="917"/>
    </row>
    <row r="34" spans="1:60" s="20" customFormat="1" ht="43.2" customHeight="1" x14ac:dyDescent="0.3">
      <c r="A34" s="499"/>
      <c r="B34" s="499"/>
      <c r="C34" s="498" t="s">
        <v>9</v>
      </c>
      <c r="D34" s="368" t="s">
        <v>809</v>
      </c>
      <c r="E34" s="347" t="s">
        <v>193</v>
      </c>
      <c r="F34" s="347" t="s">
        <v>810</v>
      </c>
      <c r="G34" s="372" t="s">
        <v>811</v>
      </c>
      <c r="H34" s="473" t="s">
        <v>149</v>
      </c>
      <c r="I34" s="347" t="s">
        <v>240</v>
      </c>
      <c r="J34" s="347" t="s">
        <v>372</v>
      </c>
      <c r="K34" s="347" t="s">
        <v>372</v>
      </c>
      <c r="L34" s="347" t="s">
        <v>149</v>
      </c>
      <c r="M34" s="366"/>
      <c r="N34" s="366" t="s">
        <v>151</v>
      </c>
      <c r="O34" s="347" t="s">
        <v>812</v>
      </c>
      <c r="P34" s="588"/>
      <c r="Q34" s="503"/>
      <c r="R34" s="499"/>
      <c r="S34" s="499"/>
      <c r="T34" s="499"/>
      <c r="U34" s="499"/>
      <c r="V34" s="499"/>
      <c r="W34" s="499"/>
      <c r="X34" s="499"/>
      <c r="Y34" s="499"/>
      <c r="Z34" s="499"/>
      <c r="AA34" s="499"/>
      <c r="AB34" s="499"/>
      <c r="AC34" s="499"/>
      <c r="AD34" s="499"/>
      <c r="AE34" s="499"/>
      <c r="AF34" s="499"/>
      <c r="AG34" s="499"/>
      <c r="AH34" s="499" t="s">
        <v>199</v>
      </c>
      <c r="AI34" s="499"/>
      <c r="AJ34" s="499"/>
      <c r="AK34" s="499"/>
      <c r="AL34" s="499"/>
      <c r="AM34" s="499"/>
      <c r="AN34" s="499"/>
      <c r="AO34" s="506"/>
      <c r="AP34" s="507"/>
      <c r="AQ34" s="507"/>
      <c r="AR34" s="507"/>
      <c r="AS34" s="507"/>
      <c r="AT34" s="507"/>
      <c r="AU34" s="507"/>
      <c r="AV34" s="507"/>
      <c r="AW34" s="507"/>
      <c r="AX34" s="507"/>
      <c r="AY34" s="507"/>
      <c r="AZ34" s="507"/>
      <c r="BA34" s="507"/>
      <c r="BB34" s="507"/>
      <c r="BC34" s="507"/>
      <c r="BD34" s="507"/>
      <c r="BE34" s="472" t="s">
        <v>4289</v>
      </c>
      <c r="BF34" s="312" t="s">
        <v>4421</v>
      </c>
      <c r="BG34" s="246" t="s">
        <v>561</v>
      </c>
      <c r="BH34" s="472" t="s">
        <v>813</v>
      </c>
    </row>
    <row r="35" spans="1:60" s="20" customFormat="1" ht="43.2" customHeight="1" x14ac:dyDescent="0.3">
      <c r="A35" s="499"/>
      <c r="B35" s="499"/>
      <c r="C35" s="498" t="s">
        <v>9</v>
      </c>
      <c r="D35" s="368" t="s">
        <v>814</v>
      </c>
      <c r="E35" s="347" t="s">
        <v>193</v>
      </c>
      <c r="F35" s="347" t="s">
        <v>810</v>
      </c>
      <c r="G35" s="372" t="s">
        <v>811</v>
      </c>
      <c r="H35" s="473" t="s">
        <v>149</v>
      </c>
      <c r="I35" s="347" t="s">
        <v>240</v>
      </c>
      <c r="J35" s="347" t="s">
        <v>372</v>
      </c>
      <c r="K35" s="347" t="s">
        <v>372</v>
      </c>
      <c r="L35" s="347" t="s">
        <v>149</v>
      </c>
      <c r="M35" s="366"/>
      <c r="N35" s="366" t="s">
        <v>151</v>
      </c>
      <c r="O35" s="347" t="s">
        <v>815</v>
      </c>
      <c r="P35" s="588"/>
      <c r="Q35" s="503"/>
      <c r="R35" s="499"/>
      <c r="S35" s="499"/>
      <c r="T35" s="499"/>
      <c r="U35" s="499"/>
      <c r="V35" s="499"/>
      <c r="W35" s="499"/>
      <c r="X35" s="499"/>
      <c r="Y35" s="499"/>
      <c r="Z35" s="499"/>
      <c r="AA35" s="499"/>
      <c r="AB35" s="499"/>
      <c r="AC35" s="499"/>
      <c r="AD35" s="499"/>
      <c r="AE35" s="499"/>
      <c r="AF35" s="499"/>
      <c r="AG35" s="499"/>
      <c r="AH35" s="499"/>
      <c r="AI35" s="499" t="s">
        <v>199</v>
      </c>
      <c r="AJ35" s="499"/>
      <c r="AK35" s="499"/>
      <c r="AL35" s="499"/>
      <c r="AM35" s="499"/>
      <c r="AN35" s="499"/>
      <c r="AO35" s="506"/>
      <c r="AP35" s="507"/>
      <c r="AQ35" s="507"/>
      <c r="AR35" s="507"/>
      <c r="AS35" s="507"/>
      <c r="AT35" s="507"/>
      <c r="AU35" s="507"/>
      <c r="AV35" s="507"/>
      <c r="AW35" s="507"/>
      <c r="AX35" s="507"/>
      <c r="AY35" s="507"/>
      <c r="AZ35" s="507"/>
      <c r="BA35" s="507"/>
      <c r="BB35" s="507"/>
      <c r="BC35" s="507"/>
      <c r="BD35" s="507"/>
      <c r="BE35" s="472" t="s">
        <v>4290</v>
      </c>
      <c r="BF35" s="312" t="s">
        <v>4421</v>
      </c>
      <c r="BG35" s="246" t="s">
        <v>561</v>
      </c>
      <c r="BH35" s="472" t="s">
        <v>813</v>
      </c>
    </row>
    <row r="36" spans="1:60" s="471" customFormat="1" ht="14.7" customHeight="1" x14ac:dyDescent="0.3">
      <c r="A36" s="431" t="s">
        <v>426</v>
      </c>
      <c r="B36" s="458"/>
      <c r="C36" s="543"/>
      <c r="D36" s="543"/>
      <c r="E36" s="543"/>
      <c r="F36" s="595"/>
      <c r="G36" s="595"/>
      <c r="H36" s="595"/>
      <c r="I36" s="595"/>
      <c r="J36" s="595"/>
      <c r="K36" s="596"/>
      <c r="L36" s="596"/>
      <c r="M36" s="595"/>
      <c r="N36" s="595"/>
      <c r="O36" s="595"/>
      <c r="P36" s="595"/>
      <c r="Q36" s="543"/>
      <c r="R36" s="543"/>
      <c r="S36" s="543"/>
      <c r="T36" s="597"/>
      <c r="U36" s="597"/>
      <c r="V36" s="597"/>
      <c r="W36" s="597"/>
      <c r="X36" s="597"/>
      <c r="Y36" s="543"/>
      <c r="Z36" s="597"/>
      <c r="AA36" s="597"/>
      <c r="AB36" s="597"/>
      <c r="AC36" s="597"/>
      <c r="AD36" s="597"/>
      <c r="AE36" s="597"/>
      <c r="AF36" s="597"/>
      <c r="AG36" s="597"/>
      <c r="AH36" s="597"/>
      <c r="AI36" s="597"/>
      <c r="AJ36" s="597"/>
      <c r="AK36" s="597"/>
      <c r="AL36" s="597"/>
      <c r="AM36" s="597"/>
      <c r="AN36" s="597"/>
      <c r="AO36" s="597"/>
      <c r="AP36" s="543"/>
      <c r="AQ36" s="543"/>
      <c r="AR36" s="597"/>
      <c r="AS36" s="597"/>
      <c r="AT36" s="597"/>
      <c r="AU36" s="597"/>
      <c r="AV36" s="597"/>
      <c r="AW36" s="597"/>
      <c r="AX36" s="597"/>
      <c r="AY36" s="597"/>
      <c r="AZ36" s="597"/>
      <c r="BA36" s="597"/>
      <c r="BB36" s="597"/>
      <c r="BC36" s="597"/>
      <c r="BD36" s="597"/>
      <c r="BE36" s="597"/>
      <c r="BF36" s="470"/>
      <c r="BG36" s="337"/>
      <c r="BH36" s="381"/>
    </row>
    <row r="37" spans="1:60" s="20" customFormat="1" ht="14.4" customHeight="1" x14ac:dyDescent="0.3">
      <c r="A37" s="872"/>
      <c r="B37" s="850"/>
      <c r="C37" s="970" t="s">
        <v>42</v>
      </c>
      <c r="D37" s="503" t="s">
        <v>428</v>
      </c>
      <c r="E37" s="499" t="s">
        <v>193</v>
      </c>
      <c r="F37" s="593" t="s">
        <v>816</v>
      </c>
      <c r="G37" s="593" t="s">
        <v>817</v>
      </c>
      <c r="H37" s="598" t="s">
        <v>580</v>
      </c>
      <c r="I37" s="503" t="s">
        <v>818</v>
      </c>
      <c r="J37" s="528" t="s">
        <v>149</v>
      </c>
      <c r="K37" s="503" t="s">
        <v>149</v>
      </c>
      <c r="L37" s="503" t="s">
        <v>149</v>
      </c>
      <c r="M37" s="719" t="s">
        <v>270</v>
      </c>
      <c r="N37" s="719" t="s">
        <v>301</v>
      </c>
      <c r="O37" s="712" t="s">
        <v>432</v>
      </c>
      <c r="P37" s="588" t="s">
        <v>351</v>
      </c>
      <c r="Q37" s="712"/>
      <c r="R37" s="714"/>
      <c r="S37" s="714" t="s">
        <v>199</v>
      </c>
      <c r="T37" s="714"/>
      <c r="U37" s="810"/>
      <c r="V37" s="714" t="s">
        <v>218</v>
      </c>
      <c r="W37" s="714"/>
      <c r="X37" s="714"/>
      <c r="Y37" s="714"/>
      <c r="Z37" s="714" t="s">
        <v>199</v>
      </c>
      <c r="AA37" s="714"/>
      <c r="AB37" s="714"/>
      <c r="AC37" s="714"/>
      <c r="AD37" s="714"/>
      <c r="AE37" s="714"/>
      <c r="AF37" s="714"/>
      <c r="AG37" s="714"/>
      <c r="AH37" s="714"/>
      <c r="AI37" s="714"/>
      <c r="AJ37" s="714"/>
      <c r="AK37" s="714"/>
      <c r="AL37" s="714"/>
      <c r="AM37" s="714"/>
      <c r="AN37" s="714"/>
      <c r="AO37" s="908"/>
      <c r="AP37" s="754"/>
      <c r="AQ37" s="754" t="s">
        <v>199</v>
      </c>
      <c r="AR37" s="754"/>
      <c r="AS37" s="541"/>
      <c r="AT37" s="541"/>
      <c r="AU37" s="541"/>
      <c r="AV37" s="541"/>
      <c r="AW37" s="541"/>
      <c r="AX37" s="541"/>
      <c r="AY37" s="541"/>
      <c r="AZ37" s="541"/>
      <c r="BA37" s="754"/>
      <c r="BB37" s="754"/>
      <c r="BC37" s="754"/>
      <c r="BD37" s="754"/>
      <c r="BE37" s="827" t="s">
        <v>819</v>
      </c>
      <c r="BF37" s="935"/>
      <c r="BG37" s="916"/>
      <c r="BH37" s="774" t="s">
        <v>820</v>
      </c>
    </row>
    <row r="38" spans="1:60" s="20" customFormat="1" ht="14.4" customHeight="1" x14ac:dyDescent="0.3">
      <c r="A38" s="938"/>
      <c r="B38" s="963"/>
      <c r="C38" s="971"/>
      <c r="D38" s="528" t="s">
        <v>59</v>
      </c>
      <c r="E38" s="499"/>
      <c r="F38" s="593" t="s">
        <v>149</v>
      </c>
      <c r="G38" s="593">
        <v>1</v>
      </c>
      <c r="H38" s="503" t="s">
        <v>149</v>
      </c>
      <c r="I38" s="503" t="s">
        <v>150</v>
      </c>
      <c r="J38" s="528" t="s">
        <v>149</v>
      </c>
      <c r="K38" s="503" t="s">
        <v>149</v>
      </c>
      <c r="L38" s="503" t="s">
        <v>149</v>
      </c>
      <c r="M38" s="746"/>
      <c r="N38" s="746"/>
      <c r="O38" s="721"/>
      <c r="P38" s="588" t="s">
        <v>821</v>
      </c>
      <c r="Q38" s="721"/>
      <c r="R38" s="730"/>
      <c r="S38" s="730"/>
      <c r="T38" s="730"/>
      <c r="U38" s="811"/>
      <c r="V38" s="730"/>
      <c r="W38" s="730"/>
      <c r="X38" s="730"/>
      <c r="Y38" s="730"/>
      <c r="Z38" s="730"/>
      <c r="AA38" s="730"/>
      <c r="AB38" s="730"/>
      <c r="AC38" s="730"/>
      <c r="AD38" s="730"/>
      <c r="AE38" s="730"/>
      <c r="AF38" s="730"/>
      <c r="AG38" s="730"/>
      <c r="AH38" s="730"/>
      <c r="AI38" s="730"/>
      <c r="AJ38" s="730"/>
      <c r="AK38" s="730"/>
      <c r="AL38" s="730"/>
      <c r="AM38" s="730"/>
      <c r="AN38" s="730"/>
      <c r="AO38" s="909"/>
      <c r="AP38" s="900"/>
      <c r="AQ38" s="900"/>
      <c r="AR38" s="900"/>
      <c r="AS38" s="565"/>
      <c r="AT38" s="565"/>
      <c r="AU38" s="565"/>
      <c r="AV38" s="565"/>
      <c r="AW38" s="565"/>
      <c r="AX38" s="565"/>
      <c r="AY38" s="565"/>
      <c r="AZ38" s="565"/>
      <c r="BA38" s="900"/>
      <c r="BB38" s="900"/>
      <c r="BC38" s="900"/>
      <c r="BD38" s="900"/>
      <c r="BE38" s="832"/>
      <c r="BF38" s="935"/>
      <c r="BG38" s="916"/>
      <c r="BH38" s="775"/>
    </row>
    <row r="39" spans="1:60" s="20" customFormat="1" ht="14.4" customHeight="1" x14ac:dyDescent="0.3">
      <c r="A39" s="938"/>
      <c r="B39" s="963"/>
      <c r="C39" s="971"/>
      <c r="D39" s="503" t="s">
        <v>435</v>
      </c>
      <c r="E39" s="499" t="s">
        <v>193</v>
      </c>
      <c r="F39" s="593" t="s">
        <v>816</v>
      </c>
      <c r="G39" s="593" t="s">
        <v>817</v>
      </c>
      <c r="H39" s="593" t="s">
        <v>580</v>
      </c>
      <c r="I39" s="503" t="s">
        <v>818</v>
      </c>
      <c r="J39" s="528" t="s">
        <v>149</v>
      </c>
      <c r="K39" s="503" t="s">
        <v>149</v>
      </c>
      <c r="L39" s="503" t="s">
        <v>149</v>
      </c>
      <c r="M39" s="719" t="s">
        <v>270</v>
      </c>
      <c r="N39" s="746"/>
      <c r="O39" s="721"/>
      <c r="P39" s="588" t="s">
        <v>356</v>
      </c>
      <c r="Q39" s="721"/>
      <c r="R39" s="730"/>
      <c r="S39" s="730"/>
      <c r="T39" s="730"/>
      <c r="U39" s="811"/>
      <c r="V39" s="730"/>
      <c r="W39" s="730"/>
      <c r="X39" s="730"/>
      <c r="Y39" s="730"/>
      <c r="Z39" s="730"/>
      <c r="AA39" s="730"/>
      <c r="AB39" s="730"/>
      <c r="AC39" s="730"/>
      <c r="AD39" s="730"/>
      <c r="AE39" s="730"/>
      <c r="AF39" s="730"/>
      <c r="AG39" s="730"/>
      <c r="AH39" s="730"/>
      <c r="AI39" s="730"/>
      <c r="AJ39" s="730"/>
      <c r="AK39" s="730"/>
      <c r="AL39" s="730"/>
      <c r="AM39" s="730"/>
      <c r="AN39" s="730"/>
      <c r="AO39" s="909"/>
      <c r="AP39" s="900"/>
      <c r="AQ39" s="900"/>
      <c r="AR39" s="900"/>
      <c r="AS39" s="565"/>
      <c r="AT39" s="565"/>
      <c r="AU39" s="565"/>
      <c r="AV39" s="565"/>
      <c r="AW39" s="565"/>
      <c r="AX39" s="565"/>
      <c r="AY39" s="565"/>
      <c r="AZ39" s="565"/>
      <c r="BA39" s="900"/>
      <c r="BB39" s="900"/>
      <c r="BC39" s="900"/>
      <c r="BD39" s="900"/>
      <c r="BE39" s="832"/>
      <c r="BF39" s="935"/>
      <c r="BG39" s="916"/>
      <c r="BH39" s="933"/>
    </row>
    <row r="40" spans="1:60" s="20" customFormat="1" ht="14.4" customHeight="1" x14ac:dyDescent="0.3">
      <c r="A40" s="873"/>
      <c r="B40" s="851"/>
      <c r="C40" s="972"/>
      <c r="D40" s="528" t="s">
        <v>60</v>
      </c>
      <c r="E40" s="499"/>
      <c r="F40" s="593" t="s">
        <v>149</v>
      </c>
      <c r="G40" s="593">
        <v>1</v>
      </c>
      <c r="H40" s="503" t="s">
        <v>149</v>
      </c>
      <c r="I40" s="503" t="s">
        <v>150</v>
      </c>
      <c r="J40" s="528" t="s">
        <v>149</v>
      </c>
      <c r="K40" s="503" t="s">
        <v>149</v>
      </c>
      <c r="L40" s="503" t="s">
        <v>149</v>
      </c>
      <c r="M40" s="746"/>
      <c r="N40" s="720"/>
      <c r="O40" s="713"/>
      <c r="P40" s="588" t="s">
        <v>822</v>
      </c>
      <c r="Q40" s="713"/>
      <c r="R40" s="715"/>
      <c r="S40" s="715"/>
      <c r="T40" s="715"/>
      <c r="U40" s="812"/>
      <c r="V40" s="715"/>
      <c r="W40" s="715"/>
      <c r="X40" s="715"/>
      <c r="Y40" s="715"/>
      <c r="Z40" s="715"/>
      <c r="AA40" s="715"/>
      <c r="AB40" s="715"/>
      <c r="AC40" s="715"/>
      <c r="AD40" s="715"/>
      <c r="AE40" s="715"/>
      <c r="AF40" s="715"/>
      <c r="AG40" s="715"/>
      <c r="AH40" s="715"/>
      <c r="AI40" s="715"/>
      <c r="AJ40" s="715"/>
      <c r="AK40" s="715"/>
      <c r="AL40" s="715"/>
      <c r="AM40" s="715"/>
      <c r="AN40" s="715"/>
      <c r="AO40" s="756"/>
      <c r="AP40" s="755"/>
      <c r="AQ40" s="755"/>
      <c r="AR40" s="755"/>
      <c r="AS40" s="544"/>
      <c r="AT40" s="544"/>
      <c r="AU40" s="544"/>
      <c r="AV40" s="544"/>
      <c r="AW40" s="544"/>
      <c r="AX40" s="544"/>
      <c r="AY40" s="544"/>
      <c r="AZ40" s="544"/>
      <c r="BA40" s="755"/>
      <c r="BB40" s="755"/>
      <c r="BC40" s="755"/>
      <c r="BD40" s="755"/>
      <c r="BE40" s="828"/>
      <c r="BF40" s="935"/>
      <c r="BG40" s="916"/>
      <c r="BH40" s="298"/>
    </row>
    <row r="41" spans="1:60" s="20" customFormat="1" ht="28.2" customHeight="1" x14ac:dyDescent="0.3">
      <c r="A41" s="714"/>
      <c r="B41" s="850"/>
      <c r="C41" s="970" t="s">
        <v>42</v>
      </c>
      <c r="D41" s="503" t="s">
        <v>823</v>
      </c>
      <c r="E41" s="503" t="s">
        <v>800</v>
      </c>
      <c r="F41" s="503" t="s">
        <v>149</v>
      </c>
      <c r="G41" s="500">
        <v>1</v>
      </c>
      <c r="H41" s="503" t="s">
        <v>149</v>
      </c>
      <c r="I41" s="503" t="s">
        <v>150</v>
      </c>
      <c r="J41" s="528" t="s">
        <v>149</v>
      </c>
      <c r="K41" s="503" t="s">
        <v>149</v>
      </c>
      <c r="L41" s="503" t="s">
        <v>149</v>
      </c>
      <c r="M41" s="557"/>
      <c r="N41" s="719" t="s">
        <v>801</v>
      </c>
      <c r="O41" s="712" t="s">
        <v>824</v>
      </c>
      <c r="P41" s="547" t="s">
        <v>825</v>
      </c>
      <c r="Q41" s="712"/>
      <c r="R41" s="714"/>
      <c r="S41" s="714" t="s">
        <v>199</v>
      </c>
      <c r="T41" s="810"/>
      <c r="U41" s="810"/>
      <c r="V41" s="810"/>
      <c r="W41" s="714"/>
      <c r="X41" s="714"/>
      <c r="Y41" s="714"/>
      <c r="Z41" s="714"/>
      <c r="AA41" s="714"/>
      <c r="AB41" s="714"/>
      <c r="AC41" s="714"/>
      <c r="AD41" s="714"/>
      <c r="AE41" s="714"/>
      <c r="AF41" s="714"/>
      <c r="AG41" s="714"/>
      <c r="AH41" s="714"/>
      <c r="AI41" s="714"/>
      <c r="AJ41" s="714"/>
      <c r="AK41" s="714"/>
      <c r="AL41" s="714"/>
      <c r="AM41" s="714"/>
      <c r="AN41" s="714"/>
      <c r="AO41" s="908"/>
      <c r="AP41" s="754"/>
      <c r="AQ41" s="754" t="s">
        <v>199</v>
      </c>
      <c r="AR41" s="754"/>
      <c r="AS41" s="541"/>
      <c r="AT41" s="541"/>
      <c r="AU41" s="541"/>
      <c r="AV41" s="541"/>
      <c r="AW41" s="541"/>
      <c r="AX41" s="541"/>
      <c r="AY41" s="541"/>
      <c r="AZ41" s="541"/>
      <c r="BA41" s="754"/>
      <c r="BB41" s="754"/>
      <c r="BC41" s="754"/>
      <c r="BD41" s="754"/>
      <c r="BE41" s="902"/>
      <c r="BF41" s="935"/>
      <c r="BG41" s="916"/>
      <c r="BH41" s="888" t="s">
        <v>826</v>
      </c>
    </row>
    <row r="42" spans="1:60" s="20" customFormat="1" ht="29.4" customHeight="1" x14ac:dyDescent="0.3">
      <c r="A42" s="730"/>
      <c r="B42" s="963"/>
      <c r="C42" s="971"/>
      <c r="D42" s="503" t="s">
        <v>823</v>
      </c>
      <c r="E42" s="503" t="s">
        <v>805</v>
      </c>
      <c r="F42" s="503" t="s">
        <v>149</v>
      </c>
      <c r="G42" s="500">
        <v>0</v>
      </c>
      <c r="H42" s="503" t="s">
        <v>149</v>
      </c>
      <c r="I42" s="503" t="s">
        <v>150</v>
      </c>
      <c r="J42" s="528" t="s">
        <v>149</v>
      </c>
      <c r="K42" s="503" t="s">
        <v>149</v>
      </c>
      <c r="L42" s="503" t="s">
        <v>149</v>
      </c>
      <c r="M42" s="550"/>
      <c r="N42" s="746"/>
      <c r="O42" s="721"/>
      <c r="P42" s="547" t="s">
        <v>827</v>
      </c>
      <c r="Q42" s="721"/>
      <c r="R42" s="730"/>
      <c r="S42" s="730"/>
      <c r="T42" s="811"/>
      <c r="U42" s="811"/>
      <c r="V42" s="811"/>
      <c r="W42" s="730"/>
      <c r="X42" s="730"/>
      <c r="Y42" s="730"/>
      <c r="Z42" s="730"/>
      <c r="AA42" s="730"/>
      <c r="AB42" s="730"/>
      <c r="AC42" s="730"/>
      <c r="AD42" s="730"/>
      <c r="AE42" s="730"/>
      <c r="AF42" s="730"/>
      <c r="AG42" s="730"/>
      <c r="AH42" s="730"/>
      <c r="AI42" s="730"/>
      <c r="AJ42" s="730"/>
      <c r="AK42" s="730"/>
      <c r="AL42" s="730"/>
      <c r="AM42" s="730"/>
      <c r="AN42" s="730"/>
      <c r="AO42" s="909"/>
      <c r="AP42" s="900"/>
      <c r="AQ42" s="900"/>
      <c r="AR42" s="900"/>
      <c r="AS42" s="565"/>
      <c r="AT42" s="565"/>
      <c r="AU42" s="565"/>
      <c r="AV42" s="565"/>
      <c r="AW42" s="565"/>
      <c r="AX42" s="565"/>
      <c r="AY42" s="565"/>
      <c r="AZ42" s="565"/>
      <c r="BA42" s="900"/>
      <c r="BB42" s="900"/>
      <c r="BC42" s="900"/>
      <c r="BD42" s="900"/>
      <c r="BE42" s="903"/>
      <c r="BF42" s="935"/>
      <c r="BG42" s="916"/>
      <c r="BH42" s="917"/>
    </row>
    <row r="43" spans="1:60" s="20" customFormat="1" ht="15.6" customHeight="1" x14ac:dyDescent="0.3">
      <c r="A43" s="730"/>
      <c r="B43" s="963"/>
      <c r="C43" s="971"/>
      <c r="D43" s="528" t="s">
        <v>59</v>
      </c>
      <c r="E43" s="503"/>
      <c r="F43" s="503" t="s">
        <v>149</v>
      </c>
      <c r="G43" s="500">
        <v>0</v>
      </c>
      <c r="H43" s="503" t="s">
        <v>149</v>
      </c>
      <c r="I43" s="503" t="s">
        <v>150</v>
      </c>
      <c r="J43" s="528" t="s">
        <v>149</v>
      </c>
      <c r="K43" s="503" t="s">
        <v>149</v>
      </c>
      <c r="L43" s="503" t="s">
        <v>149</v>
      </c>
      <c r="M43" s="746" t="s">
        <v>270</v>
      </c>
      <c r="N43" s="746"/>
      <c r="O43" s="721"/>
      <c r="P43" s="588" t="s">
        <v>828</v>
      </c>
      <c r="Q43" s="721"/>
      <c r="R43" s="730"/>
      <c r="S43" s="730"/>
      <c r="T43" s="811"/>
      <c r="U43" s="811"/>
      <c r="V43" s="811"/>
      <c r="W43" s="730"/>
      <c r="X43" s="730"/>
      <c r="Y43" s="730"/>
      <c r="Z43" s="730"/>
      <c r="AA43" s="730"/>
      <c r="AB43" s="730"/>
      <c r="AC43" s="730"/>
      <c r="AD43" s="730"/>
      <c r="AE43" s="730"/>
      <c r="AF43" s="730"/>
      <c r="AG43" s="730"/>
      <c r="AH43" s="730"/>
      <c r="AI43" s="730"/>
      <c r="AJ43" s="730"/>
      <c r="AK43" s="730"/>
      <c r="AL43" s="730"/>
      <c r="AM43" s="730"/>
      <c r="AN43" s="730"/>
      <c r="AO43" s="909"/>
      <c r="AP43" s="900"/>
      <c r="AQ43" s="900"/>
      <c r="AR43" s="900"/>
      <c r="AS43" s="565"/>
      <c r="AT43" s="565"/>
      <c r="AU43" s="565"/>
      <c r="AV43" s="565"/>
      <c r="AW43" s="565"/>
      <c r="AX43" s="565"/>
      <c r="AY43" s="565"/>
      <c r="AZ43" s="565"/>
      <c r="BA43" s="900"/>
      <c r="BB43" s="900"/>
      <c r="BC43" s="900"/>
      <c r="BD43" s="900"/>
      <c r="BE43" s="903"/>
      <c r="BF43" s="935"/>
      <c r="BG43" s="916"/>
      <c r="BH43" s="917"/>
    </row>
    <row r="44" spans="1:60" s="20" customFormat="1" ht="15.6" customHeight="1" x14ac:dyDescent="0.3">
      <c r="A44" s="715"/>
      <c r="B44" s="851"/>
      <c r="C44" s="972"/>
      <c r="D44" s="528" t="s">
        <v>60</v>
      </c>
      <c r="E44" s="503"/>
      <c r="F44" s="503" t="s">
        <v>149</v>
      </c>
      <c r="G44" s="500">
        <v>0</v>
      </c>
      <c r="H44" s="503" t="s">
        <v>149</v>
      </c>
      <c r="I44" s="503" t="s">
        <v>150</v>
      </c>
      <c r="J44" s="528" t="s">
        <v>149</v>
      </c>
      <c r="K44" s="503" t="s">
        <v>149</v>
      </c>
      <c r="L44" s="503" t="s">
        <v>149</v>
      </c>
      <c r="M44" s="720"/>
      <c r="N44" s="720"/>
      <c r="O44" s="713"/>
      <c r="P44" s="588" t="s">
        <v>829</v>
      </c>
      <c r="Q44" s="713"/>
      <c r="R44" s="715"/>
      <c r="S44" s="715"/>
      <c r="T44" s="812"/>
      <c r="U44" s="812"/>
      <c r="V44" s="812"/>
      <c r="W44" s="715"/>
      <c r="X44" s="715"/>
      <c r="Y44" s="715"/>
      <c r="Z44" s="715"/>
      <c r="AA44" s="715"/>
      <c r="AB44" s="715"/>
      <c r="AC44" s="715"/>
      <c r="AD44" s="715"/>
      <c r="AE44" s="715"/>
      <c r="AF44" s="715"/>
      <c r="AG44" s="715"/>
      <c r="AH44" s="715"/>
      <c r="AI44" s="715"/>
      <c r="AJ44" s="715"/>
      <c r="AK44" s="715"/>
      <c r="AL44" s="715"/>
      <c r="AM44" s="715"/>
      <c r="AN44" s="715"/>
      <c r="AO44" s="756"/>
      <c r="AP44" s="755"/>
      <c r="AQ44" s="755"/>
      <c r="AR44" s="755"/>
      <c r="AS44" s="544"/>
      <c r="AT44" s="544"/>
      <c r="AU44" s="544"/>
      <c r="AV44" s="544"/>
      <c r="AW44" s="544"/>
      <c r="AX44" s="544"/>
      <c r="AY44" s="544"/>
      <c r="AZ44" s="544"/>
      <c r="BA44" s="755"/>
      <c r="BB44" s="755"/>
      <c r="BC44" s="755"/>
      <c r="BD44" s="755"/>
      <c r="BE44" s="904"/>
      <c r="BF44" s="935"/>
      <c r="BG44" s="916"/>
      <c r="BH44" s="917"/>
    </row>
    <row r="45" spans="1:60" s="20" customFormat="1" ht="43.2" customHeight="1" x14ac:dyDescent="0.3">
      <c r="A45" s="499"/>
      <c r="B45" s="499"/>
      <c r="C45" s="498" t="s">
        <v>9</v>
      </c>
      <c r="D45" s="368" t="s">
        <v>830</v>
      </c>
      <c r="E45" s="347" t="s">
        <v>193</v>
      </c>
      <c r="F45" s="347" t="s">
        <v>810</v>
      </c>
      <c r="G45" s="372" t="s">
        <v>811</v>
      </c>
      <c r="H45" s="473" t="s">
        <v>149</v>
      </c>
      <c r="I45" s="347" t="s">
        <v>240</v>
      </c>
      <c r="J45" s="347" t="s">
        <v>372</v>
      </c>
      <c r="K45" s="347" t="s">
        <v>372</v>
      </c>
      <c r="L45" s="347" t="s">
        <v>149</v>
      </c>
      <c r="M45" s="366"/>
      <c r="N45" s="366" t="s">
        <v>151</v>
      </c>
      <c r="O45" s="347" t="s">
        <v>831</v>
      </c>
      <c r="P45" s="588"/>
      <c r="Q45" s="503"/>
      <c r="R45" s="499"/>
      <c r="S45" s="499"/>
      <c r="T45" s="499"/>
      <c r="U45" s="499"/>
      <c r="V45" s="499"/>
      <c r="W45" s="499"/>
      <c r="X45" s="499"/>
      <c r="Y45" s="499"/>
      <c r="Z45" s="499"/>
      <c r="AA45" s="499"/>
      <c r="AB45" s="499"/>
      <c r="AC45" s="499"/>
      <c r="AD45" s="499"/>
      <c r="AE45" s="499"/>
      <c r="AF45" s="499"/>
      <c r="AG45" s="499"/>
      <c r="AH45" s="499"/>
      <c r="AI45" s="499"/>
      <c r="AJ45" s="499" t="s">
        <v>199</v>
      </c>
      <c r="AK45" s="499"/>
      <c r="AL45" s="499"/>
      <c r="AM45" s="499"/>
      <c r="AN45" s="499"/>
      <c r="AO45" s="506"/>
      <c r="AP45" s="507"/>
      <c r="AQ45" s="507"/>
      <c r="AR45" s="507"/>
      <c r="AS45" s="507"/>
      <c r="AT45" s="507"/>
      <c r="AU45" s="507"/>
      <c r="AV45" s="507"/>
      <c r="AW45" s="507"/>
      <c r="AX45" s="507"/>
      <c r="AY45" s="507"/>
      <c r="AZ45" s="507"/>
      <c r="BA45" s="507"/>
      <c r="BB45" s="507"/>
      <c r="BC45" s="507"/>
      <c r="BD45" s="507"/>
      <c r="BE45" s="472" t="s">
        <v>4291</v>
      </c>
      <c r="BF45" s="312" t="s">
        <v>4421</v>
      </c>
      <c r="BG45" s="246" t="s">
        <v>561</v>
      </c>
      <c r="BH45" s="472" t="s">
        <v>813</v>
      </c>
    </row>
    <row r="46" spans="1:60" s="20" customFormat="1" ht="43.2" customHeight="1" x14ac:dyDescent="0.3">
      <c r="A46" s="499"/>
      <c r="B46" s="499"/>
      <c r="C46" s="498" t="s">
        <v>9</v>
      </c>
      <c r="D46" s="368" t="s">
        <v>832</v>
      </c>
      <c r="E46" s="347" t="s">
        <v>193</v>
      </c>
      <c r="F46" s="347" t="s">
        <v>810</v>
      </c>
      <c r="G46" s="372" t="s">
        <v>811</v>
      </c>
      <c r="H46" s="473" t="s">
        <v>149</v>
      </c>
      <c r="I46" s="347" t="s">
        <v>240</v>
      </c>
      <c r="J46" s="347" t="s">
        <v>372</v>
      </c>
      <c r="K46" s="347" t="s">
        <v>372</v>
      </c>
      <c r="L46" s="347" t="s">
        <v>149</v>
      </c>
      <c r="M46" s="366"/>
      <c r="N46" s="366" t="s">
        <v>151</v>
      </c>
      <c r="O46" s="347" t="s">
        <v>833</v>
      </c>
      <c r="P46" s="588"/>
      <c r="Q46" s="503"/>
      <c r="R46" s="499"/>
      <c r="S46" s="499"/>
      <c r="T46" s="499"/>
      <c r="U46" s="499"/>
      <c r="V46" s="499"/>
      <c r="W46" s="499"/>
      <c r="X46" s="499"/>
      <c r="Y46" s="499"/>
      <c r="Z46" s="499"/>
      <c r="AA46" s="499"/>
      <c r="AB46" s="499"/>
      <c r="AC46" s="499"/>
      <c r="AD46" s="499"/>
      <c r="AE46" s="499"/>
      <c r="AF46" s="499"/>
      <c r="AG46" s="499"/>
      <c r="AH46" s="499"/>
      <c r="AI46" s="499"/>
      <c r="AJ46" s="499"/>
      <c r="AK46" s="499" t="s">
        <v>199</v>
      </c>
      <c r="AL46" s="499"/>
      <c r="AM46" s="499"/>
      <c r="AN46" s="499"/>
      <c r="AO46" s="506"/>
      <c r="AP46" s="507"/>
      <c r="AQ46" s="507"/>
      <c r="AR46" s="507"/>
      <c r="AS46" s="507"/>
      <c r="AT46" s="507"/>
      <c r="AU46" s="507"/>
      <c r="AV46" s="507"/>
      <c r="AW46" s="507"/>
      <c r="AX46" s="507"/>
      <c r="AY46" s="507"/>
      <c r="AZ46" s="507"/>
      <c r="BA46" s="507"/>
      <c r="BB46" s="507"/>
      <c r="BC46" s="507"/>
      <c r="BD46" s="507"/>
      <c r="BE46" s="472" t="s">
        <v>4292</v>
      </c>
      <c r="BF46" s="312" t="s">
        <v>4421</v>
      </c>
      <c r="BG46" s="246" t="s">
        <v>561</v>
      </c>
      <c r="BH46" s="472" t="s">
        <v>813</v>
      </c>
    </row>
    <row r="47" spans="1:60" s="27" customFormat="1" ht="14.7" customHeight="1" x14ac:dyDescent="0.3">
      <c r="A47" s="383" t="s">
        <v>834</v>
      </c>
      <c r="B47" s="452"/>
      <c r="C47" s="506"/>
      <c r="D47" s="506"/>
      <c r="E47" s="506"/>
      <c r="F47" s="497"/>
      <c r="G47" s="497"/>
      <c r="H47" s="497"/>
      <c r="I47" s="497"/>
      <c r="J47" s="497"/>
      <c r="K47" s="580"/>
      <c r="L47" s="580"/>
      <c r="M47" s="497"/>
      <c r="N47" s="497"/>
      <c r="O47" s="497"/>
      <c r="P47" s="497"/>
      <c r="Q47" s="506"/>
      <c r="R47" s="506"/>
      <c r="S47" s="506"/>
      <c r="T47" s="581"/>
      <c r="U47" s="581"/>
      <c r="V47" s="581"/>
      <c r="W47" s="581"/>
      <c r="X47" s="581"/>
      <c r="Y47" s="506"/>
      <c r="Z47" s="581"/>
      <c r="AA47" s="581"/>
      <c r="AB47" s="581"/>
      <c r="AC47" s="581"/>
      <c r="AD47" s="581"/>
      <c r="AE47" s="581"/>
      <c r="AF47" s="581"/>
      <c r="AG47" s="581"/>
      <c r="AH47" s="581"/>
      <c r="AI47" s="581"/>
      <c r="AJ47" s="581"/>
      <c r="AK47" s="581"/>
      <c r="AL47" s="581"/>
      <c r="AM47" s="581"/>
      <c r="AN47" s="581"/>
      <c r="AO47" s="581"/>
      <c r="AP47" s="506"/>
      <c r="AQ47" s="506"/>
      <c r="AR47" s="581"/>
      <c r="AS47" s="581"/>
      <c r="AT47" s="581"/>
      <c r="AU47" s="581"/>
      <c r="AV47" s="581"/>
      <c r="AW47" s="581"/>
      <c r="AX47" s="581"/>
      <c r="AY47" s="581"/>
      <c r="AZ47" s="581"/>
      <c r="BA47" s="581"/>
      <c r="BB47" s="581"/>
      <c r="BC47" s="581"/>
      <c r="BD47" s="581"/>
      <c r="BE47" s="581"/>
      <c r="BF47" s="335"/>
      <c r="BG47" s="72"/>
      <c r="BH47" s="281"/>
    </row>
    <row r="48" spans="1:60" s="6" customFormat="1" ht="14.7" customHeight="1" x14ac:dyDescent="0.3">
      <c r="A48" s="714"/>
      <c r="B48" s="850"/>
      <c r="C48" s="823" t="s">
        <v>835</v>
      </c>
      <c r="D48" s="503" t="s">
        <v>836</v>
      </c>
      <c r="E48" s="503" t="s">
        <v>193</v>
      </c>
      <c r="F48" s="817" t="s">
        <v>194</v>
      </c>
      <c r="G48" s="836" t="s">
        <v>837</v>
      </c>
      <c r="H48" s="836" t="s">
        <v>196</v>
      </c>
      <c r="I48" s="732" t="s">
        <v>197</v>
      </c>
      <c r="J48" s="732" t="s">
        <v>149</v>
      </c>
      <c r="K48" s="732" t="s">
        <v>149</v>
      </c>
      <c r="L48" s="732" t="s">
        <v>149</v>
      </c>
      <c r="M48" s="817"/>
      <c r="N48" s="817" t="s">
        <v>301</v>
      </c>
      <c r="O48" s="732" t="s">
        <v>838</v>
      </c>
      <c r="P48" s="732"/>
      <c r="Q48" s="712"/>
      <c r="R48" s="732"/>
      <c r="S48" s="732" t="s">
        <v>199</v>
      </c>
      <c r="T48" s="732"/>
      <c r="U48" s="732"/>
      <c r="V48" s="732"/>
      <c r="W48" s="732"/>
      <c r="X48" s="732"/>
      <c r="Y48" s="732"/>
      <c r="Z48" s="732"/>
      <c r="AA48" s="732"/>
      <c r="AB48" s="732" t="s">
        <v>14</v>
      </c>
      <c r="AC48" s="732"/>
      <c r="AD48" s="732"/>
      <c r="AE48" s="732"/>
      <c r="AF48" s="732"/>
      <c r="AG48" s="732"/>
      <c r="AH48" s="732"/>
      <c r="AI48" s="732"/>
      <c r="AJ48" s="732"/>
      <c r="AK48" s="732"/>
      <c r="AL48" s="732"/>
      <c r="AM48" s="732"/>
      <c r="AN48" s="732"/>
      <c r="AO48" s="995"/>
      <c r="AP48" s="891"/>
      <c r="AQ48" s="891" t="s">
        <v>199</v>
      </c>
      <c r="AR48" s="891"/>
      <c r="AS48" s="891"/>
      <c r="AT48" s="891"/>
      <c r="AU48" s="891"/>
      <c r="AV48" s="891"/>
      <c r="AW48" s="891"/>
      <c r="AX48" s="891"/>
      <c r="AY48" s="891"/>
      <c r="AZ48" s="891"/>
      <c r="BA48" s="891"/>
      <c r="BB48" s="891"/>
      <c r="BC48" s="891"/>
      <c r="BD48" s="891"/>
      <c r="BE48" s="896" t="s">
        <v>839</v>
      </c>
      <c r="BF48" s="1316" t="s">
        <v>4423</v>
      </c>
      <c r="BG48" s="1317" t="s">
        <v>561</v>
      </c>
      <c r="BH48" s="888" t="s">
        <v>840</v>
      </c>
    </row>
    <row r="49" spans="1:60" s="6" customFormat="1" ht="14.7" customHeight="1" x14ac:dyDescent="0.3">
      <c r="A49" s="715"/>
      <c r="B49" s="851"/>
      <c r="C49" s="824"/>
      <c r="D49" s="503" t="s">
        <v>841</v>
      </c>
      <c r="E49" s="503" t="s">
        <v>193</v>
      </c>
      <c r="F49" s="817"/>
      <c r="G49" s="836"/>
      <c r="H49" s="836"/>
      <c r="I49" s="732"/>
      <c r="J49" s="732" t="s">
        <v>149</v>
      </c>
      <c r="K49" s="732"/>
      <c r="L49" s="732"/>
      <c r="M49" s="817"/>
      <c r="N49" s="817"/>
      <c r="O49" s="732"/>
      <c r="P49" s="732"/>
      <c r="Q49" s="713"/>
      <c r="R49" s="732"/>
      <c r="S49" s="732"/>
      <c r="T49" s="732"/>
      <c r="U49" s="732"/>
      <c r="V49" s="732"/>
      <c r="W49" s="732"/>
      <c r="X49" s="732"/>
      <c r="Y49" s="732"/>
      <c r="Z49" s="732"/>
      <c r="AA49" s="732"/>
      <c r="AB49" s="732"/>
      <c r="AC49" s="732"/>
      <c r="AD49" s="732"/>
      <c r="AE49" s="732"/>
      <c r="AF49" s="732"/>
      <c r="AG49" s="732"/>
      <c r="AH49" s="732"/>
      <c r="AI49" s="732"/>
      <c r="AJ49" s="732"/>
      <c r="AK49" s="732"/>
      <c r="AL49" s="732"/>
      <c r="AM49" s="732"/>
      <c r="AN49" s="732"/>
      <c r="AO49" s="995"/>
      <c r="AP49" s="891"/>
      <c r="AQ49" s="891"/>
      <c r="AR49" s="891"/>
      <c r="AS49" s="891"/>
      <c r="AT49" s="891"/>
      <c r="AU49" s="891"/>
      <c r="AV49" s="891"/>
      <c r="AW49" s="891"/>
      <c r="AX49" s="891"/>
      <c r="AY49" s="891"/>
      <c r="AZ49" s="891"/>
      <c r="BA49" s="891"/>
      <c r="BB49" s="891"/>
      <c r="BC49" s="891"/>
      <c r="BD49" s="891"/>
      <c r="BE49" s="896"/>
      <c r="BF49" s="1318"/>
      <c r="BG49" s="1319"/>
      <c r="BH49" s="813"/>
    </row>
    <row r="50" spans="1:60" s="6" customFormat="1" ht="14.4" customHeight="1" x14ac:dyDescent="0.3">
      <c r="A50" s="872"/>
      <c r="B50" s="850"/>
      <c r="C50" s="827" t="s">
        <v>45</v>
      </c>
      <c r="D50" s="503" t="s">
        <v>836</v>
      </c>
      <c r="E50" s="503" t="s">
        <v>193</v>
      </c>
      <c r="F50" s="817" t="s">
        <v>842</v>
      </c>
      <c r="G50" s="836" t="s">
        <v>843</v>
      </c>
      <c r="H50" s="836" t="s">
        <v>196</v>
      </c>
      <c r="I50" s="732" t="s">
        <v>197</v>
      </c>
      <c r="J50" s="732" t="s">
        <v>149</v>
      </c>
      <c r="K50" s="732" t="s">
        <v>211</v>
      </c>
      <c r="L50" s="732" t="s">
        <v>149</v>
      </c>
      <c r="M50" s="817"/>
      <c r="N50" s="817" t="s">
        <v>301</v>
      </c>
      <c r="O50" s="732" t="s">
        <v>844</v>
      </c>
      <c r="P50" s="732"/>
      <c r="Q50" s="712"/>
      <c r="R50" s="732"/>
      <c r="S50" s="732" t="s">
        <v>199</v>
      </c>
      <c r="T50" s="732"/>
      <c r="U50" s="732"/>
      <c r="V50" s="732"/>
      <c r="W50" s="732"/>
      <c r="X50" s="732"/>
      <c r="Y50" s="732"/>
      <c r="Z50" s="732"/>
      <c r="AA50" s="732"/>
      <c r="AB50" s="732"/>
      <c r="AC50" s="732"/>
      <c r="AD50" s="732"/>
      <c r="AE50" s="732"/>
      <c r="AF50" s="732"/>
      <c r="AG50" s="732"/>
      <c r="AH50" s="732"/>
      <c r="AI50" s="732"/>
      <c r="AJ50" s="732"/>
      <c r="AK50" s="732"/>
      <c r="AL50" s="732"/>
      <c r="AM50" s="732"/>
      <c r="AN50" s="732"/>
      <c r="AO50" s="995"/>
      <c r="AP50" s="891"/>
      <c r="AQ50" s="891" t="s">
        <v>199</v>
      </c>
      <c r="AR50" s="891"/>
      <c r="AS50" s="891"/>
      <c r="AT50" s="891"/>
      <c r="AU50" s="891"/>
      <c r="AV50" s="891"/>
      <c r="AW50" s="891"/>
      <c r="AX50" s="891"/>
      <c r="AY50" s="891"/>
      <c r="AZ50" s="891"/>
      <c r="BA50" s="891"/>
      <c r="BB50" s="891"/>
      <c r="BC50" s="891"/>
      <c r="BD50" s="891"/>
      <c r="BE50" s="776" t="s">
        <v>845</v>
      </c>
      <c r="BF50" s="1316" t="s">
        <v>4423</v>
      </c>
      <c r="BG50" s="1317" t="s">
        <v>561</v>
      </c>
      <c r="BH50" s="774" t="s">
        <v>846</v>
      </c>
    </row>
    <row r="51" spans="1:60" s="6" customFormat="1" ht="14.4" customHeight="1" x14ac:dyDescent="0.3">
      <c r="A51" s="873"/>
      <c r="B51" s="851"/>
      <c r="C51" s="828"/>
      <c r="D51" s="503" t="s">
        <v>841</v>
      </c>
      <c r="E51" s="503" t="s">
        <v>193</v>
      </c>
      <c r="F51" s="817"/>
      <c r="G51" s="836"/>
      <c r="H51" s="836"/>
      <c r="I51" s="732"/>
      <c r="J51" s="732" t="s">
        <v>149</v>
      </c>
      <c r="K51" s="732"/>
      <c r="L51" s="732"/>
      <c r="M51" s="817"/>
      <c r="N51" s="817"/>
      <c r="O51" s="732"/>
      <c r="P51" s="732"/>
      <c r="Q51" s="713"/>
      <c r="R51" s="732"/>
      <c r="S51" s="732"/>
      <c r="T51" s="732"/>
      <c r="U51" s="732"/>
      <c r="V51" s="732"/>
      <c r="W51" s="732"/>
      <c r="X51" s="732"/>
      <c r="Y51" s="732"/>
      <c r="Z51" s="732"/>
      <c r="AA51" s="732"/>
      <c r="AB51" s="732"/>
      <c r="AC51" s="732"/>
      <c r="AD51" s="732"/>
      <c r="AE51" s="732"/>
      <c r="AF51" s="732"/>
      <c r="AG51" s="732"/>
      <c r="AH51" s="732"/>
      <c r="AI51" s="732"/>
      <c r="AJ51" s="732"/>
      <c r="AK51" s="732"/>
      <c r="AL51" s="732"/>
      <c r="AM51" s="732"/>
      <c r="AN51" s="732"/>
      <c r="AO51" s="995"/>
      <c r="AP51" s="891"/>
      <c r="AQ51" s="891"/>
      <c r="AR51" s="891"/>
      <c r="AS51" s="891"/>
      <c r="AT51" s="891"/>
      <c r="AU51" s="891"/>
      <c r="AV51" s="891"/>
      <c r="AW51" s="891"/>
      <c r="AX51" s="891"/>
      <c r="AY51" s="891"/>
      <c r="AZ51" s="891"/>
      <c r="BA51" s="891"/>
      <c r="BB51" s="891"/>
      <c r="BC51" s="891"/>
      <c r="BD51" s="891"/>
      <c r="BE51" s="793"/>
      <c r="BF51" s="1318"/>
      <c r="BG51" s="1319"/>
      <c r="BH51" s="813"/>
    </row>
    <row r="52" spans="1:60" s="27" customFormat="1" ht="14.7" customHeight="1" x14ac:dyDescent="0.3">
      <c r="A52" s="383" t="s">
        <v>847</v>
      </c>
      <c r="B52" s="452"/>
      <c r="C52" s="506"/>
      <c r="D52" s="506"/>
      <c r="E52" s="506"/>
      <c r="F52" s="497"/>
      <c r="G52" s="497"/>
      <c r="H52" s="497"/>
      <c r="I52" s="497"/>
      <c r="J52" s="497"/>
      <c r="K52" s="580"/>
      <c r="L52" s="580"/>
      <c r="M52" s="497"/>
      <c r="N52" s="497"/>
      <c r="O52" s="497"/>
      <c r="P52" s="497"/>
      <c r="Q52" s="506"/>
      <c r="R52" s="506"/>
      <c r="S52" s="506"/>
      <c r="T52" s="581"/>
      <c r="U52" s="581"/>
      <c r="V52" s="581"/>
      <c r="W52" s="581"/>
      <c r="X52" s="581"/>
      <c r="Y52" s="506"/>
      <c r="Z52" s="581"/>
      <c r="AA52" s="581"/>
      <c r="AB52" s="581"/>
      <c r="AC52" s="581"/>
      <c r="AD52" s="581"/>
      <c r="AE52" s="581"/>
      <c r="AF52" s="581"/>
      <c r="AG52" s="581"/>
      <c r="AH52" s="581"/>
      <c r="AI52" s="581"/>
      <c r="AJ52" s="581"/>
      <c r="AK52" s="581"/>
      <c r="AL52" s="581"/>
      <c r="AM52" s="581"/>
      <c r="AN52" s="581"/>
      <c r="AO52" s="581"/>
      <c r="AP52" s="506"/>
      <c r="AQ52" s="506"/>
      <c r="AR52" s="581"/>
      <c r="AS52" s="581"/>
      <c r="AT52" s="581"/>
      <c r="AU52" s="581"/>
      <c r="AV52" s="581"/>
      <c r="AW52" s="581"/>
      <c r="AX52" s="581"/>
      <c r="AY52" s="581"/>
      <c r="AZ52" s="581"/>
      <c r="BA52" s="581"/>
      <c r="BB52" s="581"/>
      <c r="BC52" s="581"/>
      <c r="BD52" s="581"/>
      <c r="BE52" s="581"/>
      <c r="BF52" s="335"/>
      <c r="BG52" s="72"/>
      <c r="BH52" s="281"/>
    </row>
    <row r="53" spans="1:60" s="6" customFormat="1" ht="33.75" customHeight="1" x14ac:dyDescent="0.3">
      <c r="A53" s="499"/>
      <c r="B53" s="599"/>
      <c r="C53" s="542" t="s">
        <v>45</v>
      </c>
      <c r="D53" s="503" t="s">
        <v>848</v>
      </c>
      <c r="E53" s="503" t="s">
        <v>193</v>
      </c>
      <c r="F53" s="539" t="s">
        <v>249</v>
      </c>
      <c r="G53" s="539" t="s">
        <v>849</v>
      </c>
      <c r="H53" s="539" t="s">
        <v>239</v>
      </c>
      <c r="I53" s="539" t="s">
        <v>240</v>
      </c>
      <c r="J53" s="539" t="s">
        <v>251</v>
      </c>
      <c r="K53" s="539" t="s">
        <v>850</v>
      </c>
      <c r="L53" s="539" t="s">
        <v>149</v>
      </c>
      <c r="M53" s="539"/>
      <c r="N53" s="539" t="s">
        <v>151</v>
      </c>
      <c r="O53" s="539" t="s">
        <v>851</v>
      </c>
      <c r="P53" s="539"/>
      <c r="Q53" s="503"/>
      <c r="R53" s="499"/>
      <c r="S53" s="499" t="s">
        <v>199</v>
      </c>
      <c r="T53" s="499"/>
      <c r="U53" s="499"/>
      <c r="V53" s="499"/>
      <c r="W53" s="499"/>
      <c r="X53" s="499"/>
      <c r="Y53" s="670" t="s">
        <v>199</v>
      </c>
      <c r="Z53" s="508" t="s">
        <v>199</v>
      </c>
      <c r="AA53" s="503" t="s">
        <v>199</v>
      </c>
      <c r="AB53" s="499"/>
      <c r="AC53" s="499"/>
      <c r="AD53" s="499"/>
      <c r="AE53" s="499"/>
      <c r="AF53" s="499"/>
      <c r="AG53" s="499"/>
      <c r="AH53" s="499"/>
      <c r="AI53" s="499"/>
      <c r="AJ53" s="499"/>
      <c r="AK53" s="499"/>
      <c r="AL53" s="499"/>
      <c r="AM53" s="499"/>
      <c r="AN53" s="499"/>
      <c r="AO53" s="506"/>
      <c r="AP53" s="507"/>
      <c r="AQ53" s="507" t="s">
        <v>199</v>
      </c>
      <c r="AR53" s="507"/>
      <c r="AS53" s="507"/>
      <c r="AT53" s="507"/>
      <c r="AU53" s="507"/>
      <c r="AV53" s="507"/>
      <c r="AW53" s="507"/>
      <c r="AX53" s="507"/>
      <c r="AY53" s="507"/>
      <c r="AZ53" s="507"/>
      <c r="BA53" s="507"/>
      <c r="BB53" s="507"/>
      <c r="BC53" s="507"/>
      <c r="BD53" s="507"/>
      <c r="BE53" s="547"/>
      <c r="BF53" s="1320" t="s">
        <v>4423</v>
      </c>
      <c r="BG53" s="1321" t="s">
        <v>561</v>
      </c>
      <c r="BH53" s="280" t="s">
        <v>852</v>
      </c>
    </row>
    <row r="54" spans="1:60" s="6" customFormat="1" ht="48" customHeight="1" x14ac:dyDescent="0.3">
      <c r="A54" s="499"/>
      <c r="B54" s="599"/>
      <c r="C54" s="542" t="s">
        <v>51</v>
      </c>
      <c r="D54" s="503" t="s">
        <v>848</v>
      </c>
      <c r="E54" s="503" t="s">
        <v>193</v>
      </c>
      <c r="F54" s="539" t="s">
        <v>149</v>
      </c>
      <c r="G54" s="539" t="s">
        <v>853</v>
      </c>
      <c r="H54" s="539" t="s">
        <v>239</v>
      </c>
      <c r="I54" s="539" t="s">
        <v>240</v>
      </c>
      <c r="J54" s="539" t="s">
        <v>149</v>
      </c>
      <c r="K54" s="539" t="s">
        <v>850</v>
      </c>
      <c r="L54" s="539" t="s">
        <v>149</v>
      </c>
      <c r="M54" s="539"/>
      <c r="N54" s="539" t="s">
        <v>151</v>
      </c>
      <c r="O54" s="539" t="s">
        <v>854</v>
      </c>
      <c r="P54" s="539" t="s">
        <v>855</v>
      </c>
      <c r="Q54" s="503"/>
      <c r="R54" s="499"/>
      <c r="S54" s="499"/>
      <c r="T54" s="499"/>
      <c r="U54" s="499"/>
      <c r="V54" s="499"/>
      <c r="W54" s="499"/>
      <c r="X54" s="499"/>
      <c r="Y54" s="499"/>
      <c r="Z54" s="499"/>
      <c r="AA54" s="499"/>
      <c r="AB54" s="499"/>
      <c r="AC54" s="499"/>
      <c r="AD54" s="499"/>
      <c r="AE54" s="499"/>
      <c r="AF54" s="499"/>
      <c r="AG54" s="507" t="s">
        <v>14</v>
      </c>
      <c r="AH54" s="499"/>
      <c r="AI54" s="499"/>
      <c r="AJ54" s="499"/>
      <c r="AK54" s="499"/>
      <c r="AL54" s="499"/>
      <c r="AM54" s="499"/>
      <c r="AN54" s="499"/>
      <c r="AO54" s="506"/>
      <c r="AP54" s="507"/>
      <c r="AQ54" s="507"/>
      <c r="AR54" s="507"/>
      <c r="AS54" s="507"/>
      <c r="AT54" s="507"/>
      <c r="AU54" s="507"/>
      <c r="AV54" s="507"/>
      <c r="AW54" s="507"/>
      <c r="AX54" s="507"/>
      <c r="AY54" s="507"/>
      <c r="AZ54" s="507"/>
      <c r="BA54" s="507"/>
      <c r="BB54" s="507"/>
      <c r="BC54" s="507"/>
      <c r="BD54" s="507"/>
      <c r="BE54" s="897" t="s">
        <v>856</v>
      </c>
      <c r="BF54" s="343"/>
      <c r="BG54" s="18"/>
      <c r="BH54" s="1017" t="s">
        <v>857</v>
      </c>
    </row>
    <row r="55" spans="1:60" s="6" customFormat="1" ht="48" customHeight="1" x14ac:dyDescent="0.3">
      <c r="A55" s="499"/>
      <c r="B55" s="599"/>
      <c r="C55" s="542" t="s">
        <v>51</v>
      </c>
      <c r="D55" s="503" t="s">
        <v>858</v>
      </c>
      <c r="E55" s="503" t="s">
        <v>193</v>
      </c>
      <c r="F55" s="539" t="s">
        <v>149</v>
      </c>
      <c r="G55" s="539" t="s">
        <v>859</v>
      </c>
      <c r="H55" s="539" t="s">
        <v>239</v>
      </c>
      <c r="I55" s="539" t="s">
        <v>240</v>
      </c>
      <c r="J55" s="539" t="s">
        <v>149</v>
      </c>
      <c r="K55" s="539" t="s">
        <v>850</v>
      </c>
      <c r="L55" s="539" t="s">
        <v>149</v>
      </c>
      <c r="M55" s="539"/>
      <c r="N55" s="539" t="s">
        <v>151</v>
      </c>
      <c r="O55" s="539" t="s">
        <v>860</v>
      </c>
      <c r="P55" s="539" t="s">
        <v>855</v>
      </c>
      <c r="Q55" s="503"/>
      <c r="R55" s="499"/>
      <c r="S55" s="499"/>
      <c r="T55" s="499"/>
      <c r="U55" s="499"/>
      <c r="V55" s="499"/>
      <c r="W55" s="499"/>
      <c r="X55" s="499"/>
      <c r="Y55" s="499"/>
      <c r="Z55" s="499"/>
      <c r="AA55" s="499"/>
      <c r="AB55" s="499"/>
      <c r="AC55" s="499"/>
      <c r="AD55" s="499"/>
      <c r="AE55" s="499"/>
      <c r="AF55" s="499"/>
      <c r="AG55" s="507" t="s">
        <v>14</v>
      </c>
      <c r="AH55" s="499"/>
      <c r="AI55" s="499"/>
      <c r="AJ55" s="499"/>
      <c r="AK55" s="499"/>
      <c r="AL55" s="499"/>
      <c r="AM55" s="499"/>
      <c r="AN55" s="499"/>
      <c r="AO55" s="506"/>
      <c r="AP55" s="507"/>
      <c r="AQ55" s="507"/>
      <c r="AR55" s="507"/>
      <c r="AS55" s="507"/>
      <c r="AT55" s="507"/>
      <c r="AU55" s="507"/>
      <c r="AV55" s="507"/>
      <c r="AW55" s="507"/>
      <c r="AX55" s="507"/>
      <c r="AY55" s="507"/>
      <c r="AZ55" s="507"/>
      <c r="BA55" s="507"/>
      <c r="BB55" s="507"/>
      <c r="BC55" s="507"/>
      <c r="BD55" s="507"/>
      <c r="BE55" s="898"/>
      <c r="BF55" s="343"/>
      <c r="BG55" s="18"/>
      <c r="BH55" s="1018"/>
    </row>
    <row r="56" spans="1:60" s="19" customFormat="1" ht="14.7" customHeight="1" x14ac:dyDescent="0.3">
      <c r="A56" s="1019"/>
      <c r="B56" s="1019"/>
      <c r="C56" s="823" t="s">
        <v>36</v>
      </c>
      <c r="D56" s="539" t="s">
        <v>798</v>
      </c>
      <c r="E56" s="539" t="s">
        <v>363</v>
      </c>
      <c r="F56" s="503">
        <v>0</v>
      </c>
      <c r="G56" s="503">
        <v>0</v>
      </c>
      <c r="H56" s="503"/>
      <c r="I56" s="503" t="s">
        <v>150</v>
      </c>
      <c r="J56" s="712" t="s">
        <v>149</v>
      </c>
      <c r="K56" s="712" t="s">
        <v>850</v>
      </c>
      <c r="L56" s="712"/>
      <c r="M56" s="719"/>
      <c r="N56" s="719" t="s">
        <v>478</v>
      </c>
      <c r="O56" s="712" t="s">
        <v>861</v>
      </c>
      <c r="P56" s="503" t="s">
        <v>862</v>
      </c>
      <c r="Q56" s="539"/>
      <c r="R56" s="712"/>
      <c r="S56" s="712" t="s">
        <v>199</v>
      </c>
      <c r="T56" s="712"/>
      <c r="U56" s="712"/>
      <c r="V56" s="712"/>
      <c r="W56" s="712"/>
      <c r="X56" s="712"/>
      <c r="Y56" s="1024" t="s">
        <v>199</v>
      </c>
      <c r="Z56" s="712"/>
      <c r="AA56" s="712"/>
      <c r="AB56" s="712"/>
      <c r="AC56" s="712"/>
      <c r="AD56" s="712"/>
      <c r="AE56" s="712"/>
      <c r="AF56" s="712"/>
      <c r="AG56" s="712"/>
      <c r="AH56" s="712"/>
      <c r="AI56" s="712"/>
      <c r="AJ56" s="712"/>
      <c r="AK56" s="712"/>
      <c r="AL56" s="712"/>
      <c r="AM56" s="712"/>
      <c r="AN56" s="712"/>
      <c r="AO56" s="788"/>
      <c r="AP56" s="781"/>
      <c r="AQ56" s="781" t="s">
        <v>199</v>
      </c>
      <c r="AR56" s="781"/>
      <c r="AS56" s="586"/>
      <c r="AT56" s="586"/>
      <c r="AU56" s="586"/>
      <c r="AV56" s="586"/>
      <c r="AW56" s="586"/>
      <c r="AX56" s="586"/>
      <c r="AY56" s="586"/>
      <c r="AZ56" s="586"/>
      <c r="BA56" s="781"/>
      <c r="BB56" s="781"/>
      <c r="BC56" s="781"/>
      <c r="BD56" s="781"/>
      <c r="BE56" s="712"/>
      <c r="BF56" s="894"/>
      <c r="BG56" s="889"/>
      <c r="BH56" s="892" t="s">
        <v>863</v>
      </c>
    </row>
    <row r="57" spans="1:60" s="19" customFormat="1" ht="14.7" customHeight="1" x14ac:dyDescent="0.3">
      <c r="A57" s="1020"/>
      <c r="B57" s="1020"/>
      <c r="C57" s="824"/>
      <c r="D57" s="539" t="s">
        <v>864</v>
      </c>
      <c r="E57" s="539" t="s">
        <v>363</v>
      </c>
      <c r="F57" s="503">
        <v>0</v>
      </c>
      <c r="G57" s="503">
        <v>0</v>
      </c>
      <c r="H57" s="503"/>
      <c r="I57" s="503" t="s">
        <v>150</v>
      </c>
      <c r="J57" s="713" t="s">
        <v>149</v>
      </c>
      <c r="K57" s="713"/>
      <c r="L57" s="713"/>
      <c r="M57" s="720"/>
      <c r="N57" s="720"/>
      <c r="O57" s="713"/>
      <c r="P57" s="503" t="s">
        <v>862</v>
      </c>
      <c r="Q57" s="539"/>
      <c r="R57" s="713"/>
      <c r="S57" s="713"/>
      <c r="T57" s="713"/>
      <c r="U57" s="713"/>
      <c r="V57" s="713"/>
      <c r="W57" s="713"/>
      <c r="X57" s="713"/>
      <c r="Y57" s="713"/>
      <c r="Z57" s="713"/>
      <c r="AA57" s="713"/>
      <c r="AB57" s="713"/>
      <c r="AC57" s="713"/>
      <c r="AD57" s="713"/>
      <c r="AE57" s="713"/>
      <c r="AF57" s="713"/>
      <c r="AG57" s="713"/>
      <c r="AH57" s="713"/>
      <c r="AI57" s="713"/>
      <c r="AJ57" s="713"/>
      <c r="AK57" s="713"/>
      <c r="AL57" s="713"/>
      <c r="AM57" s="713"/>
      <c r="AN57" s="713"/>
      <c r="AO57" s="790"/>
      <c r="AP57" s="783"/>
      <c r="AQ57" s="783"/>
      <c r="AR57" s="783"/>
      <c r="AS57" s="600"/>
      <c r="AT57" s="600"/>
      <c r="AU57" s="600"/>
      <c r="AV57" s="600"/>
      <c r="AW57" s="600"/>
      <c r="AX57" s="600"/>
      <c r="AY57" s="600"/>
      <c r="AZ57" s="600"/>
      <c r="BA57" s="783"/>
      <c r="BB57" s="783"/>
      <c r="BC57" s="783"/>
      <c r="BD57" s="783"/>
      <c r="BE57" s="713"/>
      <c r="BF57" s="895"/>
      <c r="BG57" s="890"/>
      <c r="BH57" s="893"/>
    </row>
    <row r="58" spans="1:60" s="27" customFormat="1" ht="29.4" customHeight="1" x14ac:dyDescent="0.3">
      <c r="A58" s="532"/>
      <c r="B58" s="599"/>
      <c r="C58" s="664" t="s">
        <v>9</v>
      </c>
      <c r="D58" s="347" t="s">
        <v>4325</v>
      </c>
      <c r="E58" s="347" t="s">
        <v>790</v>
      </c>
      <c r="F58" s="368" t="s">
        <v>149</v>
      </c>
      <c r="G58" s="366">
        <v>1</v>
      </c>
      <c r="H58" s="368" t="s">
        <v>149</v>
      </c>
      <c r="I58" s="347" t="s">
        <v>150</v>
      </c>
      <c r="J58" s="666" t="s">
        <v>149</v>
      </c>
      <c r="K58" s="666" t="s">
        <v>149</v>
      </c>
      <c r="L58" s="666" t="s">
        <v>149</v>
      </c>
      <c r="M58" s="366"/>
      <c r="N58" s="366" t="s">
        <v>151</v>
      </c>
      <c r="O58" s="347" t="s">
        <v>4326</v>
      </c>
      <c r="P58" s="492" t="s">
        <v>4322</v>
      </c>
      <c r="Q58" s="347"/>
      <c r="R58" s="369"/>
      <c r="S58" s="499"/>
      <c r="T58" s="499"/>
      <c r="U58" s="499"/>
      <c r="V58" s="499"/>
      <c r="W58" s="499"/>
      <c r="X58" s="499"/>
      <c r="Y58" s="670" t="s">
        <v>14</v>
      </c>
      <c r="Z58" s="499"/>
      <c r="AA58" s="499"/>
      <c r="AB58" s="499"/>
      <c r="AC58" s="499"/>
      <c r="AD58" s="499"/>
      <c r="AE58" s="499"/>
      <c r="AF58" s="499"/>
      <c r="AG58" s="499"/>
      <c r="AH58" s="499"/>
      <c r="AI58" s="499"/>
      <c r="AJ58" s="499"/>
      <c r="AK58" s="499"/>
      <c r="AL58" s="499"/>
      <c r="AM58" s="499"/>
      <c r="AN58" s="499"/>
      <c r="AO58" s="506"/>
      <c r="AP58" s="507"/>
      <c r="AQ58" s="507" t="s">
        <v>199</v>
      </c>
      <c r="AR58" s="507"/>
      <c r="AS58" s="507"/>
      <c r="AT58" s="507"/>
      <c r="AU58" s="507"/>
      <c r="AV58" s="507"/>
      <c r="AW58" s="507"/>
      <c r="AX58" s="507"/>
      <c r="AY58" s="507"/>
      <c r="AZ58" s="507"/>
      <c r="BA58" s="507"/>
      <c r="BB58" s="507"/>
      <c r="BC58" s="507"/>
      <c r="BD58" s="507"/>
      <c r="BE58" s="492" t="s">
        <v>4331</v>
      </c>
      <c r="BF58" s="213"/>
      <c r="BG58" s="97"/>
      <c r="BH58" s="281" t="s">
        <v>4333</v>
      </c>
    </row>
    <row r="59" spans="1:60" s="27" customFormat="1" ht="29.4" customHeight="1" x14ac:dyDescent="0.3">
      <c r="A59" s="532"/>
      <c r="B59" s="599"/>
      <c r="C59" s="664" t="s">
        <v>9</v>
      </c>
      <c r="D59" s="347" t="s">
        <v>4323</v>
      </c>
      <c r="E59" s="347" t="s">
        <v>790</v>
      </c>
      <c r="F59" s="368" t="s">
        <v>149</v>
      </c>
      <c r="G59" s="366">
        <v>1</v>
      </c>
      <c r="H59" s="368" t="s">
        <v>149</v>
      </c>
      <c r="I59" s="347" t="s">
        <v>150</v>
      </c>
      <c r="J59" s="666" t="s">
        <v>149</v>
      </c>
      <c r="K59" s="666" t="s">
        <v>149</v>
      </c>
      <c r="L59" s="666" t="s">
        <v>149</v>
      </c>
      <c r="M59" s="366"/>
      <c r="N59" s="366" t="s">
        <v>151</v>
      </c>
      <c r="O59" s="347" t="s">
        <v>4324</v>
      </c>
      <c r="P59" s="492" t="s">
        <v>4322</v>
      </c>
      <c r="Q59" s="347"/>
      <c r="R59" s="369"/>
      <c r="S59" s="369" t="s">
        <v>14</v>
      </c>
      <c r="T59" s="499"/>
      <c r="U59" s="670" t="s">
        <v>14</v>
      </c>
      <c r="V59" s="499"/>
      <c r="W59" s="499"/>
      <c r="X59" s="499"/>
      <c r="Y59" s="499"/>
      <c r="Z59" s="499"/>
      <c r="AA59" s="499"/>
      <c r="AB59" s="499"/>
      <c r="AC59" s="499"/>
      <c r="AD59" s="499"/>
      <c r="AE59" s="499"/>
      <c r="AF59" s="499"/>
      <c r="AG59" s="499"/>
      <c r="AH59" s="499"/>
      <c r="AI59" s="499"/>
      <c r="AJ59" s="499"/>
      <c r="AK59" s="499"/>
      <c r="AL59" s="499"/>
      <c r="AM59" s="499"/>
      <c r="AN59" s="499"/>
      <c r="AO59" s="506"/>
      <c r="AP59" s="507"/>
      <c r="AQ59" s="507" t="s">
        <v>199</v>
      </c>
      <c r="AR59" s="507"/>
      <c r="AS59" s="507"/>
      <c r="AT59" s="507"/>
      <c r="AU59" s="507"/>
      <c r="AV59" s="507"/>
      <c r="AW59" s="507"/>
      <c r="AX59" s="507"/>
      <c r="AY59" s="507"/>
      <c r="AZ59" s="507"/>
      <c r="BA59" s="507"/>
      <c r="BB59" s="507"/>
      <c r="BC59" s="507"/>
      <c r="BD59" s="507"/>
      <c r="BE59" s="492" t="s">
        <v>4330</v>
      </c>
      <c r="BF59" s="213"/>
      <c r="BG59" s="97"/>
      <c r="BH59" s="281" t="s">
        <v>4333</v>
      </c>
    </row>
    <row r="60" spans="1:60" s="27" customFormat="1" ht="14.7" customHeight="1" x14ac:dyDescent="0.3">
      <c r="A60" s="434" t="s">
        <v>865</v>
      </c>
      <c r="B60" s="459"/>
      <c r="C60" s="540"/>
      <c r="D60" s="540"/>
      <c r="E60" s="540"/>
      <c r="F60" s="577"/>
      <c r="G60" s="577"/>
      <c r="H60" s="577"/>
      <c r="I60" s="577"/>
      <c r="J60" s="577"/>
      <c r="K60" s="585"/>
      <c r="L60" s="585"/>
      <c r="M60" s="577"/>
      <c r="N60" s="577"/>
      <c r="O60" s="577"/>
      <c r="P60" s="577"/>
      <c r="Q60" s="540"/>
      <c r="R60" s="540"/>
      <c r="S60" s="540"/>
      <c r="T60" s="601"/>
      <c r="U60" s="601"/>
      <c r="V60" s="601"/>
      <c r="W60" s="601"/>
      <c r="X60" s="601"/>
      <c r="Y60" s="540"/>
      <c r="Z60" s="601"/>
      <c r="AA60" s="601"/>
      <c r="AB60" s="601"/>
      <c r="AC60" s="601"/>
      <c r="AD60" s="601"/>
      <c r="AE60" s="601"/>
      <c r="AF60" s="601"/>
      <c r="AG60" s="601"/>
      <c r="AH60" s="601"/>
      <c r="AI60" s="601"/>
      <c r="AJ60" s="601"/>
      <c r="AK60" s="601"/>
      <c r="AL60" s="601"/>
      <c r="AM60" s="601"/>
      <c r="AN60" s="601"/>
      <c r="AO60" s="601"/>
      <c r="AP60" s="540"/>
      <c r="AQ60" s="540"/>
      <c r="AR60" s="601"/>
      <c r="AS60" s="601"/>
      <c r="AT60" s="601"/>
      <c r="AU60" s="601"/>
      <c r="AV60" s="601"/>
      <c r="AW60" s="601"/>
      <c r="AX60" s="601"/>
      <c r="AY60" s="601"/>
      <c r="AZ60" s="601"/>
      <c r="BA60" s="601"/>
      <c r="BB60" s="601"/>
      <c r="BC60" s="601"/>
      <c r="BD60" s="601"/>
      <c r="BE60" s="601"/>
      <c r="BF60" s="335"/>
      <c r="BG60" s="72"/>
      <c r="BH60" s="281"/>
    </row>
    <row r="61" spans="1:60" s="6" customFormat="1" ht="14.7" customHeight="1" x14ac:dyDescent="0.3">
      <c r="A61" s="588"/>
      <c r="B61" s="839"/>
      <c r="C61" s="886" t="s">
        <v>51</v>
      </c>
      <c r="D61" s="503" t="s">
        <v>866</v>
      </c>
      <c r="E61" s="503" t="s">
        <v>193</v>
      </c>
      <c r="F61" s="943" t="s">
        <v>867</v>
      </c>
      <c r="G61" s="885" t="s">
        <v>868</v>
      </c>
      <c r="H61" s="836" t="s">
        <v>196</v>
      </c>
      <c r="I61" s="732" t="s">
        <v>300</v>
      </c>
      <c r="J61" s="855" t="s">
        <v>149</v>
      </c>
      <c r="K61" s="942" t="s">
        <v>675</v>
      </c>
      <c r="L61" s="826" t="s">
        <v>149</v>
      </c>
      <c r="M61" s="817"/>
      <c r="N61" s="817" t="s">
        <v>301</v>
      </c>
      <c r="O61" s="732" t="s">
        <v>869</v>
      </c>
      <c r="P61" s="732"/>
      <c r="Q61" s="712"/>
      <c r="R61" s="733"/>
      <c r="S61" s="733" t="s">
        <v>199</v>
      </c>
      <c r="T61" s="733"/>
      <c r="U61" s="733"/>
      <c r="V61" s="733"/>
      <c r="W61" s="733"/>
      <c r="X61" s="733"/>
      <c r="Y61" s="733"/>
      <c r="Z61" s="733"/>
      <c r="AA61" s="733"/>
      <c r="AB61" s="733"/>
      <c r="AC61" s="733"/>
      <c r="AD61" s="733"/>
      <c r="AE61" s="733"/>
      <c r="AF61" s="733"/>
      <c r="AG61" s="733"/>
      <c r="AH61" s="733"/>
      <c r="AI61" s="733"/>
      <c r="AJ61" s="733"/>
      <c r="AK61" s="733"/>
      <c r="AL61" s="733"/>
      <c r="AM61" s="733"/>
      <c r="AN61" s="714"/>
      <c r="AO61" s="753"/>
      <c r="AP61" s="743"/>
      <c r="AQ61" s="743" t="s">
        <v>199</v>
      </c>
      <c r="AR61" s="743"/>
      <c r="AS61" s="743"/>
      <c r="AT61" s="743"/>
      <c r="AU61" s="743"/>
      <c r="AV61" s="743"/>
      <c r="AW61" s="743"/>
      <c r="AX61" s="743"/>
      <c r="AY61" s="743"/>
      <c r="AZ61" s="743"/>
      <c r="BA61" s="743"/>
      <c r="BB61" s="743"/>
      <c r="BC61" s="743"/>
      <c r="BD61" s="743"/>
      <c r="BE61" s="776" t="s">
        <v>870</v>
      </c>
      <c r="BF61" s="1006"/>
      <c r="BG61" s="889"/>
      <c r="BH61" s="1011" t="s">
        <v>871</v>
      </c>
    </row>
    <row r="62" spans="1:60" s="6" customFormat="1" ht="14.7" customHeight="1" x14ac:dyDescent="0.3">
      <c r="A62" s="588"/>
      <c r="B62" s="838"/>
      <c r="C62" s="887"/>
      <c r="D62" s="503" t="s">
        <v>872</v>
      </c>
      <c r="E62" s="503" t="s">
        <v>193</v>
      </c>
      <c r="F62" s="732"/>
      <c r="G62" s="732"/>
      <c r="H62" s="732"/>
      <c r="I62" s="732"/>
      <c r="J62" s="732"/>
      <c r="K62" s="732"/>
      <c r="L62" s="826"/>
      <c r="M62" s="732"/>
      <c r="N62" s="732"/>
      <c r="O62" s="732"/>
      <c r="P62" s="732"/>
      <c r="Q62" s="713"/>
      <c r="R62" s="733"/>
      <c r="S62" s="733" t="s">
        <v>199</v>
      </c>
      <c r="T62" s="733"/>
      <c r="U62" s="733"/>
      <c r="V62" s="733"/>
      <c r="W62" s="733"/>
      <c r="X62" s="733"/>
      <c r="Y62" s="733"/>
      <c r="Z62" s="733"/>
      <c r="AA62" s="733"/>
      <c r="AB62" s="733"/>
      <c r="AC62" s="733"/>
      <c r="AD62" s="733"/>
      <c r="AE62" s="733"/>
      <c r="AF62" s="733"/>
      <c r="AG62" s="733"/>
      <c r="AH62" s="733"/>
      <c r="AI62" s="733"/>
      <c r="AJ62" s="733"/>
      <c r="AK62" s="733"/>
      <c r="AL62" s="733"/>
      <c r="AM62" s="733"/>
      <c r="AN62" s="715"/>
      <c r="AO62" s="753"/>
      <c r="AP62" s="743"/>
      <c r="AQ62" s="743" t="s">
        <v>199</v>
      </c>
      <c r="AR62" s="743"/>
      <c r="AS62" s="743"/>
      <c r="AT62" s="743"/>
      <c r="AU62" s="743"/>
      <c r="AV62" s="743"/>
      <c r="AW62" s="743"/>
      <c r="AX62" s="743"/>
      <c r="AY62" s="743"/>
      <c r="AZ62" s="743"/>
      <c r="BA62" s="743"/>
      <c r="BB62" s="743"/>
      <c r="BC62" s="743"/>
      <c r="BD62" s="743"/>
      <c r="BE62" s="777"/>
      <c r="BF62" s="1007"/>
      <c r="BG62" s="890"/>
      <c r="BH62" s="1021"/>
    </row>
    <row r="63" spans="1:60" s="6" customFormat="1" ht="14.7" customHeight="1" x14ac:dyDescent="0.3">
      <c r="A63" s="588"/>
      <c r="B63" s="839"/>
      <c r="C63" s="886" t="s">
        <v>51</v>
      </c>
      <c r="D63" s="503" t="s">
        <v>873</v>
      </c>
      <c r="E63" s="503" t="s">
        <v>193</v>
      </c>
      <c r="F63" s="817" t="s">
        <v>867</v>
      </c>
      <c r="G63" s="836" t="s">
        <v>868</v>
      </c>
      <c r="H63" s="836" t="s">
        <v>196</v>
      </c>
      <c r="I63" s="732" t="s">
        <v>300</v>
      </c>
      <c r="J63" s="855" t="s">
        <v>149</v>
      </c>
      <c r="K63" s="732" t="s">
        <v>675</v>
      </c>
      <c r="L63" s="826" t="s">
        <v>149</v>
      </c>
      <c r="M63" s="817"/>
      <c r="N63" s="817" t="s">
        <v>301</v>
      </c>
      <c r="O63" s="732" t="s">
        <v>874</v>
      </c>
      <c r="P63" s="732"/>
      <c r="Q63" s="712"/>
      <c r="R63" s="733"/>
      <c r="S63" s="733" t="s">
        <v>199</v>
      </c>
      <c r="T63" s="733"/>
      <c r="U63" s="733"/>
      <c r="V63" s="733"/>
      <c r="W63" s="733"/>
      <c r="X63" s="733"/>
      <c r="Y63" s="733"/>
      <c r="Z63" s="733"/>
      <c r="AA63" s="733"/>
      <c r="AB63" s="733"/>
      <c r="AC63" s="733"/>
      <c r="AD63" s="733"/>
      <c r="AE63" s="733"/>
      <c r="AF63" s="733"/>
      <c r="AG63" s="733"/>
      <c r="AH63" s="733"/>
      <c r="AI63" s="733"/>
      <c r="AJ63" s="733"/>
      <c r="AK63" s="733"/>
      <c r="AL63" s="733"/>
      <c r="AM63" s="733"/>
      <c r="AN63" s="714"/>
      <c r="AO63" s="753"/>
      <c r="AP63" s="743"/>
      <c r="AQ63" s="743" t="s">
        <v>199</v>
      </c>
      <c r="AR63" s="743"/>
      <c r="AS63" s="743"/>
      <c r="AT63" s="743"/>
      <c r="AU63" s="743"/>
      <c r="AV63" s="743"/>
      <c r="AW63" s="743"/>
      <c r="AX63" s="743"/>
      <c r="AY63" s="743"/>
      <c r="AZ63" s="743"/>
      <c r="BA63" s="743"/>
      <c r="BB63" s="743"/>
      <c r="BC63" s="743"/>
      <c r="BD63" s="743"/>
      <c r="BE63" s="777"/>
      <c r="BF63" s="1006"/>
      <c r="BG63" s="889"/>
      <c r="BH63" s="1021"/>
    </row>
    <row r="64" spans="1:60" s="6" customFormat="1" ht="14.7" customHeight="1" x14ac:dyDescent="0.3">
      <c r="A64" s="588"/>
      <c r="B64" s="838"/>
      <c r="C64" s="887"/>
      <c r="D64" s="503" t="s">
        <v>875</v>
      </c>
      <c r="E64" s="503" t="s">
        <v>193</v>
      </c>
      <c r="F64" s="732"/>
      <c r="G64" s="732"/>
      <c r="H64" s="732"/>
      <c r="I64" s="732"/>
      <c r="J64" s="732"/>
      <c r="K64" s="732"/>
      <c r="L64" s="826"/>
      <c r="M64" s="732"/>
      <c r="N64" s="732"/>
      <c r="O64" s="732"/>
      <c r="P64" s="732"/>
      <c r="Q64" s="713"/>
      <c r="R64" s="733"/>
      <c r="S64" s="733" t="s">
        <v>199</v>
      </c>
      <c r="T64" s="733"/>
      <c r="U64" s="733"/>
      <c r="V64" s="733"/>
      <c r="W64" s="733"/>
      <c r="X64" s="733"/>
      <c r="Y64" s="733"/>
      <c r="Z64" s="733"/>
      <c r="AA64" s="733"/>
      <c r="AB64" s="733"/>
      <c r="AC64" s="733"/>
      <c r="AD64" s="733"/>
      <c r="AE64" s="733"/>
      <c r="AF64" s="733"/>
      <c r="AG64" s="733"/>
      <c r="AH64" s="733"/>
      <c r="AI64" s="733"/>
      <c r="AJ64" s="733"/>
      <c r="AK64" s="733"/>
      <c r="AL64" s="733"/>
      <c r="AM64" s="733"/>
      <c r="AN64" s="715"/>
      <c r="AO64" s="753"/>
      <c r="AP64" s="743"/>
      <c r="AQ64" s="743" t="s">
        <v>199</v>
      </c>
      <c r="AR64" s="743"/>
      <c r="AS64" s="743"/>
      <c r="AT64" s="743"/>
      <c r="AU64" s="743"/>
      <c r="AV64" s="743"/>
      <c r="AW64" s="743"/>
      <c r="AX64" s="743"/>
      <c r="AY64" s="743"/>
      <c r="AZ64" s="743"/>
      <c r="BA64" s="743"/>
      <c r="BB64" s="743"/>
      <c r="BC64" s="743"/>
      <c r="BD64" s="743"/>
      <c r="BE64" s="777"/>
      <c r="BF64" s="1007"/>
      <c r="BG64" s="890"/>
      <c r="BH64" s="1021"/>
    </row>
    <row r="65" spans="1:60" s="6" customFormat="1" ht="14.7" customHeight="1" x14ac:dyDescent="0.3">
      <c r="A65" s="588"/>
      <c r="B65" s="839"/>
      <c r="C65" s="886" t="s">
        <v>51</v>
      </c>
      <c r="D65" s="503" t="s">
        <v>876</v>
      </c>
      <c r="E65" s="503" t="s">
        <v>193</v>
      </c>
      <c r="F65" s="817" t="s">
        <v>867</v>
      </c>
      <c r="G65" s="836" t="s">
        <v>868</v>
      </c>
      <c r="H65" s="836" t="s">
        <v>196</v>
      </c>
      <c r="I65" s="732" t="s">
        <v>300</v>
      </c>
      <c r="J65" s="855" t="s">
        <v>149</v>
      </c>
      <c r="K65" s="732" t="s">
        <v>675</v>
      </c>
      <c r="L65" s="826" t="s">
        <v>149</v>
      </c>
      <c r="M65" s="817"/>
      <c r="N65" s="817" t="s">
        <v>301</v>
      </c>
      <c r="O65" s="732" t="s">
        <v>877</v>
      </c>
      <c r="P65" s="732"/>
      <c r="Q65" s="712"/>
      <c r="R65" s="733"/>
      <c r="S65" s="733" t="s">
        <v>199</v>
      </c>
      <c r="T65" s="733"/>
      <c r="U65" s="733"/>
      <c r="V65" s="733"/>
      <c r="W65" s="733"/>
      <c r="X65" s="733"/>
      <c r="Y65" s="733"/>
      <c r="Z65" s="733"/>
      <c r="AA65" s="733"/>
      <c r="AB65" s="733"/>
      <c r="AC65" s="733"/>
      <c r="AD65" s="733"/>
      <c r="AE65" s="733"/>
      <c r="AF65" s="733"/>
      <c r="AG65" s="733"/>
      <c r="AH65" s="733"/>
      <c r="AI65" s="733"/>
      <c r="AJ65" s="733"/>
      <c r="AK65" s="733"/>
      <c r="AL65" s="733"/>
      <c r="AM65" s="733"/>
      <c r="AN65" s="714"/>
      <c r="AO65" s="753"/>
      <c r="AP65" s="743"/>
      <c r="AQ65" s="743" t="s">
        <v>199</v>
      </c>
      <c r="AR65" s="743"/>
      <c r="AS65" s="743"/>
      <c r="AT65" s="743"/>
      <c r="AU65" s="743"/>
      <c r="AV65" s="743"/>
      <c r="AW65" s="743"/>
      <c r="AX65" s="743"/>
      <c r="AY65" s="743"/>
      <c r="AZ65" s="743"/>
      <c r="BA65" s="743"/>
      <c r="BB65" s="743"/>
      <c r="BC65" s="743"/>
      <c r="BD65" s="743"/>
      <c r="BE65" s="777"/>
      <c r="BF65" s="1006"/>
      <c r="BG65" s="889"/>
      <c r="BH65" s="1021"/>
    </row>
    <row r="66" spans="1:60" s="6" customFormat="1" ht="14.7" customHeight="1" x14ac:dyDescent="0.3">
      <c r="A66" s="588"/>
      <c r="B66" s="838"/>
      <c r="C66" s="887"/>
      <c r="D66" s="503" t="s">
        <v>878</v>
      </c>
      <c r="E66" s="503" t="s">
        <v>193</v>
      </c>
      <c r="F66" s="732"/>
      <c r="G66" s="732"/>
      <c r="H66" s="732"/>
      <c r="I66" s="732"/>
      <c r="J66" s="732"/>
      <c r="K66" s="732"/>
      <c r="L66" s="826"/>
      <c r="M66" s="732"/>
      <c r="N66" s="732"/>
      <c r="O66" s="732"/>
      <c r="P66" s="732"/>
      <c r="Q66" s="713"/>
      <c r="R66" s="733"/>
      <c r="S66" s="733" t="s">
        <v>199</v>
      </c>
      <c r="T66" s="733"/>
      <c r="U66" s="733"/>
      <c r="V66" s="733"/>
      <c r="W66" s="733"/>
      <c r="X66" s="733"/>
      <c r="Y66" s="733"/>
      <c r="Z66" s="733"/>
      <c r="AA66" s="733"/>
      <c r="AB66" s="733"/>
      <c r="AC66" s="733"/>
      <c r="AD66" s="733"/>
      <c r="AE66" s="733"/>
      <c r="AF66" s="733"/>
      <c r="AG66" s="733"/>
      <c r="AH66" s="733"/>
      <c r="AI66" s="733"/>
      <c r="AJ66" s="733"/>
      <c r="AK66" s="733"/>
      <c r="AL66" s="733"/>
      <c r="AM66" s="733"/>
      <c r="AN66" s="715"/>
      <c r="AO66" s="753"/>
      <c r="AP66" s="743"/>
      <c r="AQ66" s="743" t="s">
        <v>199</v>
      </c>
      <c r="AR66" s="743"/>
      <c r="AS66" s="743"/>
      <c r="AT66" s="743"/>
      <c r="AU66" s="743"/>
      <c r="AV66" s="743"/>
      <c r="AW66" s="743"/>
      <c r="AX66" s="743"/>
      <c r="AY66" s="743"/>
      <c r="AZ66" s="743"/>
      <c r="BA66" s="743"/>
      <c r="BB66" s="743"/>
      <c r="BC66" s="743"/>
      <c r="BD66" s="743"/>
      <c r="BE66" s="777"/>
      <c r="BF66" s="1007"/>
      <c r="BG66" s="890"/>
      <c r="BH66" s="1021"/>
    </row>
    <row r="67" spans="1:60" s="6" customFormat="1" ht="14.7" customHeight="1" x14ac:dyDescent="0.3">
      <c r="A67" s="588"/>
      <c r="B67" s="839"/>
      <c r="C67" s="886" t="s">
        <v>51</v>
      </c>
      <c r="D67" s="503" t="s">
        <v>879</v>
      </c>
      <c r="E67" s="503" t="s">
        <v>193</v>
      </c>
      <c r="F67" s="817" t="s">
        <v>867</v>
      </c>
      <c r="G67" s="836" t="s">
        <v>868</v>
      </c>
      <c r="H67" s="836" t="s">
        <v>196</v>
      </c>
      <c r="I67" s="732" t="s">
        <v>300</v>
      </c>
      <c r="J67" s="855" t="s">
        <v>149</v>
      </c>
      <c r="K67" s="732" t="s">
        <v>675</v>
      </c>
      <c r="L67" s="826" t="s">
        <v>149</v>
      </c>
      <c r="M67" s="817"/>
      <c r="N67" s="817" t="s">
        <v>301</v>
      </c>
      <c r="O67" s="732" t="s">
        <v>880</v>
      </c>
      <c r="P67" s="732"/>
      <c r="Q67" s="712"/>
      <c r="R67" s="733"/>
      <c r="S67" s="733" t="s">
        <v>199</v>
      </c>
      <c r="T67" s="733"/>
      <c r="U67" s="733"/>
      <c r="V67" s="733"/>
      <c r="W67" s="733"/>
      <c r="X67" s="733"/>
      <c r="Y67" s="733"/>
      <c r="Z67" s="733"/>
      <c r="AA67" s="733"/>
      <c r="AB67" s="733"/>
      <c r="AC67" s="733"/>
      <c r="AD67" s="733"/>
      <c r="AE67" s="733"/>
      <c r="AF67" s="733"/>
      <c r="AG67" s="733"/>
      <c r="AH67" s="733"/>
      <c r="AI67" s="733"/>
      <c r="AJ67" s="733"/>
      <c r="AK67" s="733"/>
      <c r="AL67" s="733"/>
      <c r="AM67" s="733"/>
      <c r="AN67" s="714"/>
      <c r="AO67" s="753"/>
      <c r="AP67" s="743"/>
      <c r="AQ67" s="743" t="s">
        <v>199</v>
      </c>
      <c r="AR67" s="743"/>
      <c r="AS67" s="743"/>
      <c r="AT67" s="743"/>
      <c r="AU67" s="743"/>
      <c r="AV67" s="743"/>
      <c r="AW67" s="743"/>
      <c r="AX67" s="743"/>
      <c r="AY67" s="743"/>
      <c r="AZ67" s="743"/>
      <c r="BA67" s="743"/>
      <c r="BB67" s="743"/>
      <c r="BC67" s="743"/>
      <c r="BD67" s="743"/>
      <c r="BE67" s="777"/>
      <c r="BF67" s="1006"/>
      <c r="BG67" s="889"/>
      <c r="BH67" s="1021"/>
    </row>
    <row r="68" spans="1:60" s="6" customFormat="1" ht="14.7" customHeight="1" x14ac:dyDescent="0.3">
      <c r="A68" s="588"/>
      <c r="B68" s="838"/>
      <c r="C68" s="887"/>
      <c r="D68" s="503" t="s">
        <v>881</v>
      </c>
      <c r="E68" s="503" t="s">
        <v>193</v>
      </c>
      <c r="F68" s="732"/>
      <c r="G68" s="732"/>
      <c r="H68" s="732"/>
      <c r="I68" s="732"/>
      <c r="J68" s="732"/>
      <c r="K68" s="732"/>
      <c r="L68" s="826"/>
      <c r="M68" s="732"/>
      <c r="N68" s="732"/>
      <c r="O68" s="732"/>
      <c r="P68" s="732"/>
      <c r="Q68" s="713"/>
      <c r="R68" s="733"/>
      <c r="S68" s="733" t="s">
        <v>199</v>
      </c>
      <c r="T68" s="733"/>
      <c r="U68" s="733"/>
      <c r="V68" s="733"/>
      <c r="W68" s="733"/>
      <c r="X68" s="733"/>
      <c r="Y68" s="733"/>
      <c r="Z68" s="733"/>
      <c r="AA68" s="733"/>
      <c r="AB68" s="733"/>
      <c r="AC68" s="733"/>
      <c r="AD68" s="733"/>
      <c r="AE68" s="733"/>
      <c r="AF68" s="733"/>
      <c r="AG68" s="733"/>
      <c r="AH68" s="733"/>
      <c r="AI68" s="733"/>
      <c r="AJ68" s="733"/>
      <c r="AK68" s="733"/>
      <c r="AL68" s="733"/>
      <c r="AM68" s="733"/>
      <c r="AN68" s="715"/>
      <c r="AO68" s="753"/>
      <c r="AP68" s="743"/>
      <c r="AQ68" s="743" t="s">
        <v>199</v>
      </c>
      <c r="AR68" s="743"/>
      <c r="AS68" s="743"/>
      <c r="AT68" s="743"/>
      <c r="AU68" s="743"/>
      <c r="AV68" s="743"/>
      <c r="AW68" s="743"/>
      <c r="AX68" s="743"/>
      <c r="AY68" s="743"/>
      <c r="AZ68" s="743"/>
      <c r="BA68" s="743"/>
      <c r="BB68" s="743"/>
      <c r="BC68" s="743"/>
      <c r="BD68" s="743"/>
      <c r="BE68" s="777"/>
      <c r="BF68" s="1007"/>
      <c r="BG68" s="890"/>
      <c r="BH68" s="1012"/>
    </row>
    <row r="69" spans="1:60" s="6" customFormat="1" ht="43.2" customHeight="1" x14ac:dyDescent="0.3">
      <c r="A69" s="588"/>
      <c r="B69" s="604"/>
      <c r="C69" s="605" t="s">
        <v>51</v>
      </c>
      <c r="D69" s="503" t="s">
        <v>882</v>
      </c>
      <c r="E69" s="503" t="s">
        <v>193</v>
      </c>
      <c r="F69" s="539" t="s">
        <v>883</v>
      </c>
      <c r="G69" s="539" t="s">
        <v>884</v>
      </c>
      <c r="H69" s="500" t="s">
        <v>196</v>
      </c>
      <c r="I69" s="503" t="s">
        <v>300</v>
      </c>
      <c r="J69" s="503" t="s">
        <v>850</v>
      </c>
      <c r="K69" s="602" t="s">
        <v>850</v>
      </c>
      <c r="L69" s="602" t="s">
        <v>149</v>
      </c>
      <c r="M69" s="539"/>
      <c r="N69" s="539" t="s">
        <v>151</v>
      </c>
      <c r="O69" s="503" t="s">
        <v>885</v>
      </c>
      <c r="P69" s="539" t="s">
        <v>886</v>
      </c>
      <c r="Q69" s="503"/>
      <c r="R69" s="499"/>
      <c r="S69" s="499" t="s">
        <v>199</v>
      </c>
      <c r="T69" s="499"/>
      <c r="U69" s="499"/>
      <c r="V69" s="499"/>
      <c r="W69" s="499"/>
      <c r="X69" s="499"/>
      <c r="Y69" s="499"/>
      <c r="Z69" s="499"/>
      <c r="AA69" s="499"/>
      <c r="AB69" s="499"/>
      <c r="AC69" s="499"/>
      <c r="AD69" s="499"/>
      <c r="AE69" s="499"/>
      <c r="AF69" s="499"/>
      <c r="AG69" s="499"/>
      <c r="AH69" s="499"/>
      <c r="AI69" s="499"/>
      <c r="AJ69" s="499"/>
      <c r="AK69" s="499"/>
      <c r="AL69" s="499"/>
      <c r="AM69" s="499"/>
      <c r="AN69" s="499"/>
      <c r="AO69" s="506"/>
      <c r="AP69" s="507"/>
      <c r="AQ69" s="507" t="s">
        <v>199</v>
      </c>
      <c r="AR69" s="507"/>
      <c r="AS69" s="507"/>
      <c r="AT69" s="507"/>
      <c r="AU69" s="507"/>
      <c r="AV69" s="507"/>
      <c r="AW69" s="507"/>
      <c r="AX69" s="507"/>
      <c r="AY69" s="507"/>
      <c r="AZ69" s="507"/>
      <c r="BA69" s="507"/>
      <c r="BB69" s="507"/>
      <c r="BC69" s="507"/>
      <c r="BD69" s="507"/>
      <c r="BE69" s="776" t="s">
        <v>887</v>
      </c>
      <c r="BF69" s="367"/>
      <c r="BG69" s="97"/>
      <c r="BH69" s="1008" t="s">
        <v>888</v>
      </c>
    </row>
    <row r="70" spans="1:60" s="6" customFormat="1" ht="43.2" customHeight="1" x14ac:dyDescent="0.3">
      <c r="A70" s="588"/>
      <c r="B70" s="604"/>
      <c r="C70" s="605" t="s">
        <v>51</v>
      </c>
      <c r="D70" s="503" t="s">
        <v>889</v>
      </c>
      <c r="E70" s="503" t="s">
        <v>193</v>
      </c>
      <c r="F70" s="539" t="s">
        <v>883</v>
      </c>
      <c r="G70" s="539" t="s">
        <v>884</v>
      </c>
      <c r="H70" s="500" t="s">
        <v>196</v>
      </c>
      <c r="I70" s="503" t="s">
        <v>300</v>
      </c>
      <c r="J70" s="503" t="s">
        <v>850</v>
      </c>
      <c r="K70" s="602" t="s">
        <v>850</v>
      </c>
      <c r="L70" s="602" t="s">
        <v>149</v>
      </c>
      <c r="M70" s="539"/>
      <c r="N70" s="539" t="s">
        <v>151</v>
      </c>
      <c r="O70" s="503" t="s">
        <v>890</v>
      </c>
      <c r="P70" s="539" t="s">
        <v>891</v>
      </c>
      <c r="Q70" s="503"/>
      <c r="R70" s="499"/>
      <c r="S70" s="499" t="s">
        <v>199</v>
      </c>
      <c r="T70" s="499"/>
      <c r="U70" s="499"/>
      <c r="V70" s="499"/>
      <c r="W70" s="499"/>
      <c r="X70" s="499"/>
      <c r="Y70" s="499"/>
      <c r="Z70" s="499"/>
      <c r="AA70" s="499"/>
      <c r="AB70" s="499"/>
      <c r="AC70" s="499"/>
      <c r="AD70" s="499"/>
      <c r="AE70" s="499"/>
      <c r="AF70" s="499"/>
      <c r="AG70" s="499"/>
      <c r="AH70" s="499"/>
      <c r="AI70" s="499"/>
      <c r="AJ70" s="499"/>
      <c r="AK70" s="499"/>
      <c r="AL70" s="499"/>
      <c r="AM70" s="499"/>
      <c r="AN70" s="499"/>
      <c r="AO70" s="506"/>
      <c r="AP70" s="507"/>
      <c r="AQ70" s="507" t="s">
        <v>199</v>
      </c>
      <c r="AR70" s="507"/>
      <c r="AS70" s="507"/>
      <c r="AT70" s="507"/>
      <c r="AU70" s="507"/>
      <c r="AV70" s="507"/>
      <c r="AW70" s="507"/>
      <c r="AX70" s="507"/>
      <c r="AY70" s="507"/>
      <c r="AZ70" s="507"/>
      <c r="BA70" s="507"/>
      <c r="BB70" s="507"/>
      <c r="BC70" s="507"/>
      <c r="BD70" s="507"/>
      <c r="BE70" s="777"/>
      <c r="BF70" s="367"/>
      <c r="BG70" s="97"/>
      <c r="BH70" s="1009"/>
    </row>
    <row r="71" spans="1:60" s="6" customFormat="1" ht="43.2" customHeight="1" x14ac:dyDescent="0.3">
      <c r="A71" s="588"/>
      <c r="B71" s="604"/>
      <c r="C71" s="605" t="s">
        <v>51</v>
      </c>
      <c r="D71" s="503" t="s">
        <v>892</v>
      </c>
      <c r="E71" s="503" t="s">
        <v>193</v>
      </c>
      <c r="F71" s="539" t="s">
        <v>883</v>
      </c>
      <c r="G71" s="539" t="s">
        <v>884</v>
      </c>
      <c r="H71" s="500" t="s">
        <v>196</v>
      </c>
      <c r="I71" s="503" t="s">
        <v>300</v>
      </c>
      <c r="J71" s="503" t="s">
        <v>850</v>
      </c>
      <c r="K71" s="602" t="s">
        <v>850</v>
      </c>
      <c r="L71" s="602" t="s">
        <v>149</v>
      </c>
      <c r="M71" s="539"/>
      <c r="N71" s="539" t="s">
        <v>151</v>
      </c>
      <c r="O71" s="503" t="s">
        <v>893</v>
      </c>
      <c r="P71" s="539" t="s">
        <v>894</v>
      </c>
      <c r="Q71" s="503"/>
      <c r="R71" s="499"/>
      <c r="S71" s="499" t="s">
        <v>199</v>
      </c>
      <c r="T71" s="499"/>
      <c r="U71" s="499"/>
      <c r="V71" s="499"/>
      <c r="W71" s="499"/>
      <c r="X71" s="499"/>
      <c r="Y71" s="499"/>
      <c r="Z71" s="499"/>
      <c r="AA71" s="499"/>
      <c r="AB71" s="499"/>
      <c r="AC71" s="499"/>
      <c r="AD71" s="499"/>
      <c r="AE71" s="499"/>
      <c r="AF71" s="499"/>
      <c r="AG71" s="499"/>
      <c r="AH71" s="499"/>
      <c r="AI71" s="499"/>
      <c r="AJ71" s="499"/>
      <c r="AK71" s="499"/>
      <c r="AL71" s="499"/>
      <c r="AM71" s="499"/>
      <c r="AN71" s="499"/>
      <c r="AO71" s="506"/>
      <c r="AP71" s="507"/>
      <c r="AQ71" s="507" t="s">
        <v>199</v>
      </c>
      <c r="AR71" s="507"/>
      <c r="AS71" s="507"/>
      <c r="AT71" s="507"/>
      <c r="AU71" s="507"/>
      <c r="AV71" s="507"/>
      <c r="AW71" s="507"/>
      <c r="AX71" s="507"/>
      <c r="AY71" s="507"/>
      <c r="AZ71" s="507"/>
      <c r="BA71" s="507"/>
      <c r="BB71" s="507"/>
      <c r="BC71" s="507"/>
      <c r="BD71" s="507"/>
      <c r="BE71" s="777"/>
      <c r="BF71" s="367"/>
      <c r="BG71" s="97"/>
      <c r="BH71" s="1009"/>
    </row>
    <row r="72" spans="1:60" s="6" customFormat="1" ht="43.2" customHeight="1" x14ac:dyDescent="0.3">
      <c r="A72" s="588"/>
      <c r="B72" s="604"/>
      <c r="C72" s="605" t="s">
        <v>51</v>
      </c>
      <c r="D72" s="503" t="s">
        <v>895</v>
      </c>
      <c r="E72" s="503" t="s">
        <v>193</v>
      </c>
      <c r="F72" s="539" t="s">
        <v>883</v>
      </c>
      <c r="G72" s="539" t="s">
        <v>884</v>
      </c>
      <c r="H72" s="500" t="s">
        <v>196</v>
      </c>
      <c r="I72" s="503" t="s">
        <v>300</v>
      </c>
      <c r="J72" s="503" t="s">
        <v>850</v>
      </c>
      <c r="K72" s="602" t="s">
        <v>850</v>
      </c>
      <c r="L72" s="602" t="s">
        <v>149</v>
      </c>
      <c r="M72" s="539"/>
      <c r="N72" s="539" t="s">
        <v>151</v>
      </c>
      <c r="O72" s="503" t="s">
        <v>896</v>
      </c>
      <c r="P72" s="539" t="s">
        <v>897</v>
      </c>
      <c r="Q72" s="503"/>
      <c r="R72" s="499"/>
      <c r="S72" s="499" t="s">
        <v>199</v>
      </c>
      <c r="T72" s="499"/>
      <c r="U72" s="499"/>
      <c r="V72" s="499"/>
      <c r="W72" s="499"/>
      <c r="X72" s="499"/>
      <c r="Y72" s="499"/>
      <c r="Z72" s="499"/>
      <c r="AA72" s="499"/>
      <c r="AB72" s="499"/>
      <c r="AC72" s="499"/>
      <c r="AD72" s="499"/>
      <c r="AE72" s="499"/>
      <c r="AF72" s="499"/>
      <c r="AG72" s="499"/>
      <c r="AH72" s="499"/>
      <c r="AI72" s="499"/>
      <c r="AJ72" s="499"/>
      <c r="AK72" s="499"/>
      <c r="AL72" s="499"/>
      <c r="AM72" s="499"/>
      <c r="AN72" s="499"/>
      <c r="AO72" s="506"/>
      <c r="AP72" s="507"/>
      <c r="AQ72" s="507" t="s">
        <v>199</v>
      </c>
      <c r="AR72" s="507"/>
      <c r="AS72" s="507"/>
      <c r="AT72" s="507"/>
      <c r="AU72" s="507"/>
      <c r="AV72" s="507"/>
      <c r="AW72" s="507"/>
      <c r="AX72" s="507"/>
      <c r="AY72" s="507"/>
      <c r="AZ72" s="507"/>
      <c r="BA72" s="507"/>
      <c r="BB72" s="507"/>
      <c r="BC72" s="507"/>
      <c r="BD72" s="507"/>
      <c r="BE72" s="777"/>
      <c r="BF72" s="367"/>
      <c r="BG72" s="97"/>
      <c r="BH72" s="1009"/>
    </row>
    <row r="73" spans="1:60" s="6" customFormat="1" ht="28.95" customHeight="1" x14ac:dyDescent="0.3">
      <c r="A73" s="606"/>
      <c r="B73" s="607"/>
      <c r="C73" s="542" t="s">
        <v>51</v>
      </c>
      <c r="D73" s="608" t="s">
        <v>898</v>
      </c>
      <c r="E73" s="608" t="s">
        <v>193</v>
      </c>
      <c r="F73" s="608" t="s">
        <v>338</v>
      </c>
      <c r="G73" s="608" t="s">
        <v>899</v>
      </c>
      <c r="H73" s="608" t="s">
        <v>196</v>
      </c>
      <c r="I73" s="608" t="s">
        <v>300</v>
      </c>
      <c r="J73" s="608" t="s">
        <v>149</v>
      </c>
      <c r="K73" s="608" t="s">
        <v>900</v>
      </c>
      <c r="L73" s="602" t="s">
        <v>149</v>
      </c>
      <c r="M73" s="608"/>
      <c r="N73" s="608" t="s">
        <v>151</v>
      </c>
      <c r="O73" s="608" t="s">
        <v>901</v>
      </c>
      <c r="P73" s="608"/>
      <c r="Q73" s="608"/>
      <c r="R73" s="566"/>
      <c r="S73" s="566" t="s">
        <v>199</v>
      </c>
      <c r="T73" s="566"/>
      <c r="U73" s="566"/>
      <c r="V73" s="566"/>
      <c r="W73" s="566"/>
      <c r="X73" s="566"/>
      <c r="Y73" s="566"/>
      <c r="Z73" s="566"/>
      <c r="AA73" s="566"/>
      <c r="AB73" s="566"/>
      <c r="AC73" s="566"/>
      <c r="AD73" s="566"/>
      <c r="AE73" s="566"/>
      <c r="AF73" s="566"/>
      <c r="AG73" s="566"/>
      <c r="AH73" s="566"/>
      <c r="AI73" s="566"/>
      <c r="AJ73" s="566"/>
      <c r="AK73" s="566"/>
      <c r="AL73" s="566"/>
      <c r="AM73" s="566"/>
      <c r="AN73" s="566"/>
      <c r="AO73" s="567"/>
      <c r="AP73" s="568"/>
      <c r="AQ73" s="568" t="s">
        <v>199</v>
      </c>
      <c r="AR73" s="568"/>
      <c r="AS73" s="568"/>
      <c r="AT73" s="568"/>
      <c r="AU73" s="568"/>
      <c r="AV73" s="568"/>
      <c r="AW73" s="568"/>
      <c r="AX73" s="568"/>
      <c r="AY73" s="568"/>
      <c r="AZ73" s="568"/>
      <c r="BA73" s="568"/>
      <c r="BB73" s="568"/>
      <c r="BC73" s="568"/>
      <c r="BD73" s="568"/>
      <c r="BE73" s="609" t="s">
        <v>902</v>
      </c>
      <c r="BF73" s="359"/>
      <c r="BG73" s="360"/>
      <c r="BH73" s="309" t="s">
        <v>903</v>
      </c>
    </row>
    <row r="74" spans="1:60" s="6" customFormat="1" ht="14.7" customHeight="1" x14ac:dyDescent="0.3">
      <c r="A74" s="610"/>
      <c r="B74" s="837"/>
      <c r="C74" s="827" t="s">
        <v>51</v>
      </c>
      <c r="D74" s="511" t="s">
        <v>904</v>
      </c>
      <c r="E74" s="511" t="s">
        <v>905</v>
      </c>
      <c r="F74" s="720" t="s">
        <v>338</v>
      </c>
      <c r="G74" s="720" t="s">
        <v>906</v>
      </c>
      <c r="H74" s="720" t="s">
        <v>196</v>
      </c>
      <c r="I74" s="720" t="s">
        <v>300</v>
      </c>
      <c r="J74" s="828" t="s">
        <v>149</v>
      </c>
      <c r="K74" s="720" t="s">
        <v>900</v>
      </c>
      <c r="L74" s="825" t="s">
        <v>149</v>
      </c>
      <c r="M74" s="720"/>
      <c r="N74" s="720" t="s">
        <v>478</v>
      </c>
      <c r="O74" s="720" t="s">
        <v>907</v>
      </c>
      <c r="P74" s="720"/>
      <c r="Q74" s="721"/>
      <c r="R74" s="715"/>
      <c r="S74" s="715" t="s">
        <v>199</v>
      </c>
      <c r="T74" s="715"/>
      <c r="U74" s="715"/>
      <c r="V74" s="715"/>
      <c r="W74" s="715"/>
      <c r="X74" s="715"/>
      <c r="Y74" s="715"/>
      <c r="Z74" s="715"/>
      <c r="AA74" s="715"/>
      <c r="AB74" s="715"/>
      <c r="AC74" s="715"/>
      <c r="AD74" s="715"/>
      <c r="AE74" s="715"/>
      <c r="AF74" s="715"/>
      <c r="AG74" s="715"/>
      <c r="AH74" s="715"/>
      <c r="AI74" s="715"/>
      <c r="AJ74" s="715"/>
      <c r="AK74" s="715"/>
      <c r="AL74" s="715"/>
      <c r="AM74" s="715"/>
      <c r="AN74" s="715"/>
      <c r="AO74" s="756"/>
      <c r="AP74" s="755"/>
      <c r="AQ74" s="755" t="s">
        <v>199</v>
      </c>
      <c r="AR74" s="755"/>
      <c r="AS74" s="755"/>
      <c r="AT74" s="755"/>
      <c r="AU74" s="755"/>
      <c r="AV74" s="755"/>
      <c r="AW74" s="755"/>
      <c r="AX74" s="755"/>
      <c r="AY74" s="755"/>
      <c r="AZ74" s="755"/>
      <c r="BA74" s="755"/>
      <c r="BB74" s="755"/>
      <c r="BC74" s="755"/>
      <c r="BD74" s="755"/>
      <c r="BE74" s="721"/>
      <c r="BF74" s="894"/>
      <c r="BG74" s="786"/>
      <c r="BH74" s="1011" t="s">
        <v>908</v>
      </c>
    </row>
    <row r="75" spans="1:60" s="6" customFormat="1" ht="14.7" customHeight="1" x14ac:dyDescent="0.3">
      <c r="A75" s="588"/>
      <c r="B75" s="838"/>
      <c r="C75" s="828"/>
      <c r="D75" s="503" t="s">
        <v>909</v>
      </c>
      <c r="E75" s="503" t="s">
        <v>905</v>
      </c>
      <c r="F75" s="817"/>
      <c r="G75" s="817" t="s">
        <v>910</v>
      </c>
      <c r="H75" s="817" t="s">
        <v>196</v>
      </c>
      <c r="I75" s="817" t="s">
        <v>300</v>
      </c>
      <c r="J75" s="732"/>
      <c r="K75" s="817" t="s">
        <v>900</v>
      </c>
      <c r="L75" s="826" t="s">
        <v>149</v>
      </c>
      <c r="M75" s="817"/>
      <c r="N75" s="817"/>
      <c r="O75" s="817" t="s">
        <v>911</v>
      </c>
      <c r="P75" s="817"/>
      <c r="Q75" s="713"/>
      <c r="R75" s="733"/>
      <c r="S75" s="733"/>
      <c r="T75" s="733"/>
      <c r="U75" s="733"/>
      <c r="V75" s="733"/>
      <c r="W75" s="733"/>
      <c r="X75" s="733"/>
      <c r="Y75" s="733"/>
      <c r="Z75" s="733"/>
      <c r="AA75" s="733"/>
      <c r="AB75" s="733"/>
      <c r="AC75" s="733"/>
      <c r="AD75" s="733"/>
      <c r="AE75" s="733"/>
      <c r="AF75" s="733"/>
      <c r="AG75" s="733"/>
      <c r="AH75" s="733"/>
      <c r="AI75" s="733"/>
      <c r="AJ75" s="733"/>
      <c r="AK75" s="733"/>
      <c r="AL75" s="733"/>
      <c r="AM75" s="733"/>
      <c r="AN75" s="733"/>
      <c r="AO75" s="753"/>
      <c r="AP75" s="743"/>
      <c r="AQ75" s="743"/>
      <c r="AR75" s="743"/>
      <c r="AS75" s="743"/>
      <c r="AT75" s="743"/>
      <c r="AU75" s="743"/>
      <c r="AV75" s="743"/>
      <c r="AW75" s="743"/>
      <c r="AX75" s="743"/>
      <c r="AY75" s="743"/>
      <c r="AZ75" s="743"/>
      <c r="BA75" s="743"/>
      <c r="BB75" s="743"/>
      <c r="BC75" s="743"/>
      <c r="BD75" s="743"/>
      <c r="BE75" s="713"/>
      <c r="BF75" s="895"/>
      <c r="BG75" s="787"/>
      <c r="BH75" s="1012"/>
    </row>
    <row r="76" spans="1:60" s="27" customFormat="1" ht="14.7" customHeight="1" x14ac:dyDescent="0.3">
      <c r="A76" s="383" t="s">
        <v>912</v>
      </c>
      <c r="B76" s="452"/>
      <c r="C76" s="506"/>
      <c r="D76" s="506"/>
      <c r="E76" s="506"/>
      <c r="F76" s="497"/>
      <c r="G76" s="497"/>
      <c r="H76" s="497"/>
      <c r="I76" s="497"/>
      <c r="J76" s="497"/>
      <c r="K76" s="580"/>
      <c r="L76" s="580"/>
      <c r="M76" s="497"/>
      <c r="N76" s="497"/>
      <c r="O76" s="497"/>
      <c r="P76" s="497"/>
      <c r="Q76" s="506"/>
      <c r="R76" s="506"/>
      <c r="S76" s="506"/>
      <c r="T76" s="581"/>
      <c r="U76" s="581"/>
      <c r="V76" s="581"/>
      <c r="W76" s="581"/>
      <c r="X76" s="581"/>
      <c r="Y76" s="506"/>
      <c r="Z76" s="581"/>
      <c r="AA76" s="581"/>
      <c r="AB76" s="581"/>
      <c r="AC76" s="581"/>
      <c r="AD76" s="581"/>
      <c r="AE76" s="581"/>
      <c r="AF76" s="581"/>
      <c r="AG76" s="581"/>
      <c r="AH76" s="581"/>
      <c r="AI76" s="581"/>
      <c r="AJ76" s="581"/>
      <c r="AK76" s="581"/>
      <c r="AL76" s="581"/>
      <c r="AM76" s="581"/>
      <c r="AN76" s="581"/>
      <c r="AO76" s="581"/>
      <c r="AP76" s="506"/>
      <c r="AQ76" s="506"/>
      <c r="AR76" s="581"/>
      <c r="AS76" s="581"/>
      <c r="AT76" s="581"/>
      <c r="AU76" s="581"/>
      <c r="AV76" s="581"/>
      <c r="AW76" s="581"/>
      <c r="AX76" s="581"/>
      <c r="AY76" s="581"/>
      <c r="AZ76" s="581"/>
      <c r="BA76" s="581"/>
      <c r="BB76" s="581"/>
      <c r="BC76" s="581"/>
      <c r="BD76" s="581"/>
      <c r="BE76" s="581"/>
      <c r="BF76" s="335"/>
      <c r="BG76" s="72"/>
      <c r="BH76" s="281"/>
    </row>
    <row r="77" spans="1:60" s="27" customFormat="1" ht="14.4" customHeight="1" x14ac:dyDescent="0.3">
      <c r="A77" s="532"/>
      <c r="B77" s="599"/>
      <c r="C77" s="605" t="s">
        <v>51</v>
      </c>
      <c r="D77" s="602" t="s">
        <v>913</v>
      </c>
      <c r="E77" s="503" t="s">
        <v>193</v>
      </c>
      <c r="F77" s="611" t="s">
        <v>914</v>
      </c>
      <c r="G77" s="460" t="s">
        <v>915</v>
      </c>
      <c r="H77" s="539">
        <v>0.1</v>
      </c>
      <c r="I77" s="503" t="s">
        <v>916</v>
      </c>
      <c r="J77" s="528" t="s">
        <v>917</v>
      </c>
      <c r="K77" s="503" t="s">
        <v>251</v>
      </c>
      <c r="L77" s="602" t="s">
        <v>149</v>
      </c>
      <c r="M77" s="539"/>
      <c r="N77" s="539" t="s">
        <v>151</v>
      </c>
      <c r="O77" s="503" t="s">
        <v>918</v>
      </c>
      <c r="P77" s="503"/>
      <c r="Q77" s="503"/>
      <c r="R77" s="499"/>
      <c r="S77" s="499" t="s">
        <v>199</v>
      </c>
      <c r="T77" s="499"/>
      <c r="U77" s="499"/>
      <c r="V77" s="499"/>
      <c r="W77" s="499"/>
      <c r="X77" s="499"/>
      <c r="Y77" s="499"/>
      <c r="Z77" s="499"/>
      <c r="AA77" s="499"/>
      <c r="AB77" s="499"/>
      <c r="AC77" s="499"/>
      <c r="AD77" s="499"/>
      <c r="AE77" s="499"/>
      <c r="AF77" s="499"/>
      <c r="AG77" s="499"/>
      <c r="AH77" s="499"/>
      <c r="AI77" s="499"/>
      <c r="AJ77" s="499"/>
      <c r="AK77" s="499"/>
      <c r="AL77" s="499"/>
      <c r="AM77" s="499"/>
      <c r="AN77" s="499"/>
      <c r="AO77" s="506"/>
      <c r="AP77" s="507"/>
      <c r="AQ77" s="507" t="s">
        <v>199</v>
      </c>
      <c r="AR77" s="507"/>
      <c r="AS77" s="507"/>
      <c r="AT77" s="507"/>
      <c r="AU77" s="507"/>
      <c r="AV77" s="507"/>
      <c r="AW77" s="507"/>
      <c r="AX77" s="507"/>
      <c r="AY77" s="507"/>
      <c r="AZ77" s="507"/>
      <c r="BA77" s="507"/>
      <c r="BB77" s="507"/>
      <c r="BC77" s="507"/>
      <c r="BD77" s="507"/>
      <c r="BE77" s="776" t="s">
        <v>919</v>
      </c>
      <c r="BF77" s="213"/>
      <c r="BG77" s="97"/>
      <c r="BH77" s="766" t="s">
        <v>920</v>
      </c>
    </row>
    <row r="78" spans="1:60" s="27" customFormat="1" ht="14.4" customHeight="1" x14ac:dyDescent="0.3">
      <c r="A78" s="532"/>
      <c r="B78" s="599"/>
      <c r="C78" s="605" t="s">
        <v>51</v>
      </c>
      <c r="D78" s="503" t="s">
        <v>913</v>
      </c>
      <c r="E78" s="503" t="s">
        <v>193</v>
      </c>
      <c r="F78" s="612" t="s">
        <v>921</v>
      </c>
      <c r="G78" s="460" t="s">
        <v>922</v>
      </c>
      <c r="H78" s="539">
        <v>0.1</v>
      </c>
      <c r="I78" s="503" t="s">
        <v>916</v>
      </c>
      <c r="J78" s="528" t="s">
        <v>917</v>
      </c>
      <c r="K78" s="503" t="s">
        <v>251</v>
      </c>
      <c r="L78" s="602" t="s">
        <v>149</v>
      </c>
      <c r="M78" s="539"/>
      <c r="N78" s="539" t="s">
        <v>151</v>
      </c>
      <c r="O78" s="503" t="s">
        <v>923</v>
      </c>
      <c r="P78" s="503"/>
      <c r="Q78" s="503"/>
      <c r="R78" s="499"/>
      <c r="S78" s="499" t="s">
        <v>199</v>
      </c>
      <c r="T78" s="499"/>
      <c r="U78" s="499"/>
      <c r="V78" s="499"/>
      <c r="W78" s="499"/>
      <c r="X78" s="499"/>
      <c r="Y78" s="499"/>
      <c r="Z78" s="499"/>
      <c r="AA78" s="499"/>
      <c r="AB78" s="499"/>
      <c r="AC78" s="499"/>
      <c r="AD78" s="499"/>
      <c r="AE78" s="499"/>
      <c r="AF78" s="499"/>
      <c r="AG78" s="499"/>
      <c r="AH78" s="499"/>
      <c r="AI78" s="499"/>
      <c r="AJ78" s="499"/>
      <c r="AK78" s="499"/>
      <c r="AL78" s="499"/>
      <c r="AM78" s="499"/>
      <c r="AN78" s="499"/>
      <c r="AO78" s="506"/>
      <c r="AP78" s="507"/>
      <c r="AQ78" s="507" t="s">
        <v>199</v>
      </c>
      <c r="AR78" s="507"/>
      <c r="AS78" s="507"/>
      <c r="AT78" s="507"/>
      <c r="AU78" s="507"/>
      <c r="AV78" s="507"/>
      <c r="AW78" s="507"/>
      <c r="AX78" s="507"/>
      <c r="AY78" s="507"/>
      <c r="AZ78" s="507"/>
      <c r="BA78" s="507"/>
      <c r="BB78" s="507"/>
      <c r="BC78" s="507"/>
      <c r="BD78" s="507"/>
      <c r="BE78" s="777"/>
      <c r="BF78" s="213"/>
      <c r="BG78" s="97"/>
      <c r="BH78" s="1013"/>
    </row>
    <row r="79" spans="1:60" s="27" customFormat="1" ht="14.4" customHeight="1" x14ac:dyDescent="0.3">
      <c r="A79" s="532"/>
      <c r="B79" s="599"/>
      <c r="C79" s="605" t="s">
        <v>51</v>
      </c>
      <c r="D79" s="602" t="s">
        <v>924</v>
      </c>
      <c r="E79" s="503" t="s">
        <v>193</v>
      </c>
      <c r="F79" s="611" t="s">
        <v>914</v>
      </c>
      <c r="G79" s="460" t="s">
        <v>915</v>
      </c>
      <c r="H79" s="539">
        <v>0.1</v>
      </c>
      <c r="I79" s="503" t="s">
        <v>916</v>
      </c>
      <c r="J79" s="528" t="s">
        <v>917</v>
      </c>
      <c r="K79" s="503" t="s">
        <v>251</v>
      </c>
      <c r="L79" s="602" t="s">
        <v>149</v>
      </c>
      <c r="M79" s="539"/>
      <c r="N79" s="539" t="s">
        <v>151</v>
      </c>
      <c r="O79" s="503" t="s">
        <v>925</v>
      </c>
      <c r="P79" s="503"/>
      <c r="Q79" s="503"/>
      <c r="R79" s="499"/>
      <c r="S79" s="499" t="s">
        <v>199</v>
      </c>
      <c r="T79" s="499"/>
      <c r="U79" s="499"/>
      <c r="V79" s="499"/>
      <c r="W79" s="499"/>
      <c r="X79" s="499"/>
      <c r="Y79" s="499"/>
      <c r="Z79" s="499"/>
      <c r="AA79" s="499"/>
      <c r="AB79" s="499"/>
      <c r="AC79" s="499"/>
      <c r="AD79" s="499"/>
      <c r="AE79" s="499"/>
      <c r="AF79" s="499"/>
      <c r="AG79" s="499"/>
      <c r="AH79" s="499"/>
      <c r="AI79" s="499"/>
      <c r="AJ79" s="499"/>
      <c r="AK79" s="499"/>
      <c r="AL79" s="499"/>
      <c r="AM79" s="499"/>
      <c r="AN79" s="499"/>
      <c r="AO79" s="506"/>
      <c r="AP79" s="507"/>
      <c r="AQ79" s="507" t="s">
        <v>199</v>
      </c>
      <c r="AR79" s="507"/>
      <c r="AS79" s="507"/>
      <c r="AT79" s="507"/>
      <c r="AU79" s="507"/>
      <c r="AV79" s="507"/>
      <c r="AW79" s="507"/>
      <c r="AX79" s="507"/>
      <c r="AY79" s="507"/>
      <c r="AZ79" s="507"/>
      <c r="BA79" s="507"/>
      <c r="BB79" s="507"/>
      <c r="BC79" s="507"/>
      <c r="BD79" s="507"/>
      <c r="BE79" s="777"/>
      <c r="BF79" s="213"/>
      <c r="BG79" s="97"/>
      <c r="BH79" s="1013"/>
    </row>
    <row r="80" spans="1:60" s="27" customFormat="1" ht="14.4" customHeight="1" x14ac:dyDescent="0.3">
      <c r="A80" s="532"/>
      <c r="B80" s="599"/>
      <c r="C80" s="605" t="s">
        <v>51</v>
      </c>
      <c r="D80" s="503" t="s">
        <v>924</v>
      </c>
      <c r="E80" s="503" t="s">
        <v>193</v>
      </c>
      <c r="F80" s="612" t="s">
        <v>921</v>
      </c>
      <c r="G80" s="460" t="s">
        <v>922</v>
      </c>
      <c r="H80" s="539">
        <v>0.1</v>
      </c>
      <c r="I80" s="503" t="s">
        <v>916</v>
      </c>
      <c r="J80" s="528" t="s">
        <v>917</v>
      </c>
      <c r="K80" s="503" t="s">
        <v>251</v>
      </c>
      <c r="L80" s="602" t="s">
        <v>149</v>
      </c>
      <c r="M80" s="539"/>
      <c r="N80" s="539" t="s">
        <v>151</v>
      </c>
      <c r="O80" s="503" t="s">
        <v>926</v>
      </c>
      <c r="P80" s="503"/>
      <c r="Q80" s="503"/>
      <c r="R80" s="499"/>
      <c r="S80" s="499" t="s">
        <v>199</v>
      </c>
      <c r="T80" s="499"/>
      <c r="U80" s="499"/>
      <c r="V80" s="499"/>
      <c r="W80" s="499"/>
      <c r="X80" s="499"/>
      <c r="Y80" s="499"/>
      <c r="Z80" s="499"/>
      <c r="AA80" s="499"/>
      <c r="AB80" s="499"/>
      <c r="AC80" s="499"/>
      <c r="AD80" s="499"/>
      <c r="AE80" s="499"/>
      <c r="AF80" s="499"/>
      <c r="AG80" s="499"/>
      <c r="AH80" s="499"/>
      <c r="AI80" s="499"/>
      <c r="AJ80" s="499"/>
      <c r="AK80" s="499"/>
      <c r="AL80" s="499"/>
      <c r="AM80" s="499"/>
      <c r="AN80" s="499"/>
      <c r="AO80" s="506"/>
      <c r="AP80" s="507"/>
      <c r="AQ80" s="507" t="s">
        <v>199</v>
      </c>
      <c r="AR80" s="507"/>
      <c r="AS80" s="507"/>
      <c r="AT80" s="507"/>
      <c r="AU80" s="507"/>
      <c r="AV80" s="507"/>
      <c r="AW80" s="507"/>
      <c r="AX80" s="507"/>
      <c r="AY80" s="507"/>
      <c r="AZ80" s="507"/>
      <c r="BA80" s="507"/>
      <c r="BB80" s="507"/>
      <c r="BC80" s="507"/>
      <c r="BD80" s="507"/>
      <c r="BE80" s="777"/>
      <c r="BF80" s="213"/>
      <c r="BG80" s="97"/>
      <c r="BH80" s="1013"/>
    </row>
    <row r="81" spans="1:93" s="27" customFormat="1" ht="14.4" customHeight="1" x14ac:dyDescent="0.3">
      <c r="A81" s="532"/>
      <c r="B81" s="599"/>
      <c r="C81" s="605" t="s">
        <v>51</v>
      </c>
      <c r="D81" s="602" t="s">
        <v>927</v>
      </c>
      <c r="E81" s="503" t="s">
        <v>193</v>
      </c>
      <c r="F81" s="611" t="s">
        <v>914</v>
      </c>
      <c r="G81" s="460" t="s">
        <v>915</v>
      </c>
      <c r="H81" s="539">
        <v>0.1</v>
      </c>
      <c r="I81" s="503" t="s">
        <v>916</v>
      </c>
      <c r="J81" s="528" t="s">
        <v>917</v>
      </c>
      <c r="K81" s="503" t="s">
        <v>251</v>
      </c>
      <c r="L81" s="602" t="s">
        <v>149</v>
      </c>
      <c r="M81" s="539"/>
      <c r="N81" s="539" t="s">
        <v>151</v>
      </c>
      <c r="O81" s="503" t="s">
        <v>928</v>
      </c>
      <c r="P81" s="503"/>
      <c r="Q81" s="503"/>
      <c r="R81" s="499"/>
      <c r="S81" s="499" t="s">
        <v>199</v>
      </c>
      <c r="T81" s="499"/>
      <c r="U81" s="499"/>
      <c r="V81" s="499"/>
      <c r="W81" s="499"/>
      <c r="X81" s="499"/>
      <c r="Y81" s="499"/>
      <c r="Z81" s="499"/>
      <c r="AA81" s="499"/>
      <c r="AB81" s="499"/>
      <c r="AC81" s="499"/>
      <c r="AD81" s="499"/>
      <c r="AE81" s="499"/>
      <c r="AF81" s="499"/>
      <c r="AG81" s="499"/>
      <c r="AH81" s="499"/>
      <c r="AI81" s="499"/>
      <c r="AJ81" s="499"/>
      <c r="AK81" s="499"/>
      <c r="AL81" s="499"/>
      <c r="AM81" s="499"/>
      <c r="AN81" s="499"/>
      <c r="AO81" s="506"/>
      <c r="AP81" s="507"/>
      <c r="AQ81" s="507" t="s">
        <v>199</v>
      </c>
      <c r="AR81" s="507"/>
      <c r="AS81" s="507"/>
      <c r="AT81" s="507"/>
      <c r="AU81" s="507"/>
      <c r="AV81" s="507"/>
      <c r="AW81" s="507"/>
      <c r="AX81" s="507"/>
      <c r="AY81" s="507"/>
      <c r="AZ81" s="507"/>
      <c r="BA81" s="507"/>
      <c r="BB81" s="507"/>
      <c r="BC81" s="507"/>
      <c r="BD81" s="507"/>
      <c r="BE81" s="777"/>
      <c r="BF81" s="213"/>
      <c r="BG81" s="97"/>
      <c r="BH81" s="1013"/>
    </row>
    <row r="82" spans="1:93" s="27" customFormat="1" ht="14.4" customHeight="1" x14ac:dyDescent="0.3">
      <c r="A82" s="532"/>
      <c r="B82" s="599"/>
      <c r="C82" s="605" t="s">
        <v>51</v>
      </c>
      <c r="D82" s="503" t="s">
        <v>927</v>
      </c>
      <c r="E82" s="503" t="s">
        <v>193</v>
      </c>
      <c r="F82" s="612" t="s">
        <v>921</v>
      </c>
      <c r="G82" s="460" t="s">
        <v>922</v>
      </c>
      <c r="H82" s="539">
        <v>0.1</v>
      </c>
      <c r="I82" s="503" t="s">
        <v>916</v>
      </c>
      <c r="J82" s="528" t="s">
        <v>917</v>
      </c>
      <c r="K82" s="503" t="s">
        <v>251</v>
      </c>
      <c r="L82" s="602" t="s">
        <v>149</v>
      </c>
      <c r="M82" s="539"/>
      <c r="N82" s="539" t="s">
        <v>151</v>
      </c>
      <c r="O82" s="503" t="s">
        <v>929</v>
      </c>
      <c r="P82" s="503"/>
      <c r="Q82" s="503"/>
      <c r="R82" s="499"/>
      <c r="S82" s="499" t="s">
        <v>199</v>
      </c>
      <c r="T82" s="499"/>
      <c r="U82" s="499"/>
      <c r="V82" s="499"/>
      <c r="W82" s="499"/>
      <c r="X82" s="499"/>
      <c r="Y82" s="499"/>
      <c r="Z82" s="499"/>
      <c r="AA82" s="499"/>
      <c r="AB82" s="499"/>
      <c r="AC82" s="499"/>
      <c r="AD82" s="499"/>
      <c r="AE82" s="499"/>
      <c r="AF82" s="499"/>
      <c r="AG82" s="499"/>
      <c r="AH82" s="499"/>
      <c r="AI82" s="499"/>
      <c r="AJ82" s="499"/>
      <c r="AK82" s="499"/>
      <c r="AL82" s="499"/>
      <c r="AM82" s="499"/>
      <c r="AN82" s="499"/>
      <c r="AO82" s="506"/>
      <c r="AP82" s="507"/>
      <c r="AQ82" s="507" t="s">
        <v>199</v>
      </c>
      <c r="AR82" s="507"/>
      <c r="AS82" s="507"/>
      <c r="AT82" s="507"/>
      <c r="AU82" s="507"/>
      <c r="AV82" s="507"/>
      <c r="AW82" s="507"/>
      <c r="AX82" s="507"/>
      <c r="AY82" s="507"/>
      <c r="AZ82" s="507"/>
      <c r="BA82" s="507"/>
      <c r="BB82" s="507"/>
      <c r="BC82" s="507"/>
      <c r="BD82" s="507"/>
      <c r="BE82" s="777"/>
      <c r="BF82" s="213"/>
      <c r="BG82" s="97"/>
      <c r="BH82" s="1013"/>
    </row>
    <row r="83" spans="1:93" s="27" customFormat="1" ht="14.4" customHeight="1" x14ac:dyDescent="0.3">
      <c r="A83" s="532"/>
      <c r="B83" s="599"/>
      <c r="C83" s="605" t="s">
        <v>51</v>
      </c>
      <c r="D83" s="602" t="s">
        <v>930</v>
      </c>
      <c r="E83" s="503" t="s">
        <v>193</v>
      </c>
      <c r="F83" s="611" t="s">
        <v>914</v>
      </c>
      <c r="G83" s="460" t="s">
        <v>915</v>
      </c>
      <c r="H83" s="539">
        <v>0.1</v>
      </c>
      <c r="I83" s="503" t="s">
        <v>916</v>
      </c>
      <c r="J83" s="528" t="s">
        <v>917</v>
      </c>
      <c r="K83" s="503" t="s">
        <v>251</v>
      </c>
      <c r="L83" s="602" t="s">
        <v>149</v>
      </c>
      <c r="M83" s="539"/>
      <c r="N83" s="539" t="s">
        <v>151</v>
      </c>
      <c r="O83" s="503" t="s">
        <v>931</v>
      </c>
      <c r="P83" s="503"/>
      <c r="Q83" s="503"/>
      <c r="R83" s="499"/>
      <c r="S83" s="499" t="s">
        <v>199</v>
      </c>
      <c r="T83" s="499"/>
      <c r="U83" s="499"/>
      <c r="V83" s="499"/>
      <c r="W83" s="499"/>
      <c r="X83" s="499"/>
      <c r="Y83" s="499"/>
      <c r="Z83" s="499"/>
      <c r="AA83" s="499"/>
      <c r="AB83" s="499"/>
      <c r="AC83" s="499"/>
      <c r="AD83" s="499"/>
      <c r="AE83" s="499"/>
      <c r="AF83" s="499"/>
      <c r="AG83" s="499"/>
      <c r="AH83" s="499"/>
      <c r="AI83" s="499"/>
      <c r="AJ83" s="499"/>
      <c r="AK83" s="499"/>
      <c r="AL83" s="499"/>
      <c r="AM83" s="499"/>
      <c r="AN83" s="499"/>
      <c r="AO83" s="506"/>
      <c r="AP83" s="507"/>
      <c r="AQ83" s="507" t="s">
        <v>199</v>
      </c>
      <c r="AR83" s="507"/>
      <c r="AS83" s="507"/>
      <c r="AT83" s="507"/>
      <c r="AU83" s="507"/>
      <c r="AV83" s="507"/>
      <c r="AW83" s="507"/>
      <c r="AX83" s="507"/>
      <c r="AY83" s="507"/>
      <c r="AZ83" s="507"/>
      <c r="BA83" s="507"/>
      <c r="BB83" s="507"/>
      <c r="BC83" s="507"/>
      <c r="BD83" s="507"/>
      <c r="BE83" s="777"/>
      <c r="BF83" s="213"/>
      <c r="BG83" s="97"/>
      <c r="BH83" s="1013"/>
    </row>
    <row r="84" spans="1:93" s="27" customFormat="1" ht="14.4" customHeight="1" x14ac:dyDescent="0.3">
      <c r="A84" s="532"/>
      <c r="B84" s="599"/>
      <c r="C84" s="605" t="s">
        <v>51</v>
      </c>
      <c r="D84" s="503" t="s">
        <v>930</v>
      </c>
      <c r="E84" s="503" t="s">
        <v>193</v>
      </c>
      <c r="F84" s="612" t="s">
        <v>921</v>
      </c>
      <c r="G84" s="460" t="s">
        <v>922</v>
      </c>
      <c r="H84" s="539">
        <v>0.1</v>
      </c>
      <c r="I84" s="503" t="s">
        <v>916</v>
      </c>
      <c r="J84" s="528" t="s">
        <v>917</v>
      </c>
      <c r="K84" s="503" t="s">
        <v>251</v>
      </c>
      <c r="L84" s="602" t="s">
        <v>149</v>
      </c>
      <c r="M84" s="539"/>
      <c r="N84" s="539" t="s">
        <v>151</v>
      </c>
      <c r="O84" s="503" t="s">
        <v>932</v>
      </c>
      <c r="P84" s="503"/>
      <c r="Q84" s="503"/>
      <c r="R84" s="499"/>
      <c r="S84" s="499" t="s">
        <v>199</v>
      </c>
      <c r="T84" s="499"/>
      <c r="U84" s="499"/>
      <c r="V84" s="499"/>
      <c r="W84" s="499"/>
      <c r="X84" s="499"/>
      <c r="Y84" s="499"/>
      <c r="Z84" s="499"/>
      <c r="AA84" s="499"/>
      <c r="AB84" s="499"/>
      <c r="AC84" s="499"/>
      <c r="AD84" s="499"/>
      <c r="AE84" s="499"/>
      <c r="AF84" s="499"/>
      <c r="AG84" s="499"/>
      <c r="AH84" s="499"/>
      <c r="AI84" s="499"/>
      <c r="AJ84" s="499"/>
      <c r="AK84" s="499"/>
      <c r="AL84" s="499"/>
      <c r="AM84" s="499"/>
      <c r="AN84" s="499"/>
      <c r="AO84" s="506"/>
      <c r="AP84" s="507"/>
      <c r="AQ84" s="507" t="s">
        <v>199</v>
      </c>
      <c r="AR84" s="507"/>
      <c r="AS84" s="507"/>
      <c r="AT84" s="507"/>
      <c r="AU84" s="507"/>
      <c r="AV84" s="507"/>
      <c r="AW84" s="507"/>
      <c r="AX84" s="507"/>
      <c r="AY84" s="507"/>
      <c r="AZ84" s="507"/>
      <c r="BA84" s="507"/>
      <c r="BB84" s="507"/>
      <c r="BC84" s="507"/>
      <c r="BD84" s="507"/>
      <c r="BE84" s="777"/>
      <c r="BF84" s="213"/>
      <c r="BG84" s="97"/>
      <c r="BH84" s="1013"/>
    </row>
    <row r="85" spans="1:93" s="27" customFormat="1" ht="14.7" customHeight="1" x14ac:dyDescent="0.3">
      <c r="A85" s="383" t="s">
        <v>4314</v>
      </c>
      <c r="B85" s="452"/>
      <c r="C85" s="506"/>
      <c r="D85" s="506"/>
      <c r="E85" s="506"/>
      <c r="F85" s="497"/>
      <c r="G85" s="497"/>
      <c r="H85" s="497"/>
      <c r="I85" s="497"/>
      <c r="J85" s="497"/>
      <c r="K85" s="580"/>
      <c r="L85" s="580"/>
      <c r="M85" s="497"/>
      <c r="N85" s="497"/>
      <c r="O85" s="497"/>
      <c r="P85" s="497"/>
      <c r="Q85" s="506"/>
      <c r="R85" s="506"/>
      <c r="S85" s="506"/>
      <c r="T85" s="581"/>
      <c r="U85" s="581"/>
      <c r="V85" s="581"/>
      <c r="W85" s="581"/>
      <c r="X85" s="581"/>
      <c r="Y85" s="506"/>
      <c r="Z85" s="581"/>
      <c r="AA85" s="581"/>
      <c r="AB85" s="581"/>
      <c r="AC85" s="581"/>
      <c r="AD85" s="581"/>
      <c r="AE85" s="581"/>
      <c r="AF85" s="581"/>
      <c r="AG85" s="581"/>
      <c r="AH85" s="581"/>
      <c r="AI85" s="581"/>
      <c r="AJ85" s="581"/>
      <c r="AK85" s="581"/>
      <c r="AL85" s="581"/>
      <c r="AM85" s="581"/>
      <c r="AN85" s="581"/>
      <c r="AO85" s="581"/>
      <c r="AP85" s="506"/>
      <c r="AQ85" s="506"/>
      <c r="AR85" s="581"/>
      <c r="AS85" s="581"/>
      <c r="AT85" s="581"/>
      <c r="AU85" s="581"/>
      <c r="AV85" s="581"/>
      <c r="AW85" s="581"/>
      <c r="AX85" s="581"/>
      <c r="AY85" s="581"/>
      <c r="AZ85" s="581"/>
      <c r="BA85" s="581"/>
      <c r="BB85" s="581"/>
      <c r="BC85" s="581"/>
      <c r="BD85" s="581"/>
      <c r="BE85" s="581"/>
      <c r="BF85" s="335"/>
      <c r="BG85" s="72"/>
      <c r="BH85" s="281"/>
    </row>
    <row r="86" spans="1:93" s="27" customFormat="1" ht="14.4" customHeight="1" x14ac:dyDescent="0.3">
      <c r="A86" s="532"/>
      <c r="B86" s="599"/>
      <c r="C86" s="664" t="s">
        <v>9</v>
      </c>
      <c r="D86" s="347" t="s">
        <v>4315</v>
      </c>
      <c r="E86" s="347" t="s">
        <v>790</v>
      </c>
      <c r="F86" s="368" t="s">
        <v>149</v>
      </c>
      <c r="G86" s="665">
        <v>0</v>
      </c>
      <c r="H86" s="368" t="s">
        <v>149</v>
      </c>
      <c r="I86" s="347" t="s">
        <v>150</v>
      </c>
      <c r="J86" s="666" t="s">
        <v>149</v>
      </c>
      <c r="K86" s="666" t="s">
        <v>149</v>
      </c>
      <c r="L86" s="666" t="s">
        <v>149</v>
      </c>
      <c r="M86" s="366"/>
      <c r="N86" s="366" t="s">
        <v>151</v>
      </c>
      <c r="O86" s="347" t="s">
        <v>4316</v>
      </c>
      <c r="P86" s="347"/>
      <c r="Q86" s="347"/>
      <c r="R86" s="369"/>
      <c r="S86" s="369" t="s">
        <v>14</v>
      </c>
      <c r="T86" s="499"/>
      <c r="U86" s="499"/>
      <c r="V86" s="499"/>
      <c r="W86" s="499"/>
      <c r="X86" s="499"/>
      <c r="Y86" s="499"/>
      <c r="Z86" s="499"/>
      <c r="AA86" s="499"/>
      <c r="AB86" s="499"/>
      <c r="AC86" s="499"/>
      <c r="AD86" s="499"/>
      <c r="AE86" s="499"/>
      <c r="AF86" s="499"/>
      <c r="AG86" s="499"/>
      <c r="AH86" s="499"/>
      <c r="AI86" s="499"/>
      <c r="AJ86" s="499"/>
      <c r="AK86" s="499"/>
      <c r="AL86" s="499"/>
      <c r="AM86" s="499"/>
      <c r="AN86" s="499"/>
      <c r="AO86" s="506"/>
      <c r="AP86" s="507"/>
      <c r="AQ86" s="507" t="s">
        <v>199</v>
      </c>
      <c r="AR86" s="507"/>
      <c r="AS86" s="507"/>
      <c r="AT86" s="507"/>
      <c r="AU86" s="507"/>
      <c r="AV86" s="507"/>
      <c r="AW86" s="507"/>
      <c r="AX86" s="507"/>
      <c r="AY86" s="507"/>
      <c r="AZ86" s="507"/>
      <c r="BA86" s="507"/>
      <c r="BB86" s="507"/>
      <c r="BC86" s="507"/>
      <c r="BD86" s="507"/>
      <c r="BE86" s="492" t="s">
        <v>4317</v>
      </c>
      <c r="BF86" s="213"/>
      <c r="BG86" s="97"/>
      <c r="BH86" s="281" t="s">
        <v>4332</v>
      </c>
    </row>
    <row r="87" spans="1:93" s="27" customFormat="1" ht="14.7" customHeight="1" x14ac:dyDescent="0.3">
      <c r="A87" s="383" t="s">
        <v>933</v>
      </c>
      <c r="B87" s="452"/>
      <c r="C87" s="506"/>
      <c r="D87" s="506"/>
      <c r="E87" s="506"/>
      <c r="F87" s="497"/>
      <c r="G87" s="497"/>
      <c r="H87" s="497"/>
      <c r="I87" s="497"/>
      <c r="J87" s="497"/>
      <c r="K87" s="580"/>
      <c r="L87" s="580"/>
      <c r="M87" s="497"/>
      <c r="N87" s="497"/>
      <c r="O87" s="497"/>
      <c r="P87" s="580"/>
      <c r="Q87" s="506"/>
      <c r="R87" s="506"/>
      <c r="S87" s="506"/>
      <c r="T87" s="581"/>
      <c r="U87" s="581"/>
      <c r="V87" s="581"/>
      <c r="W87" s="581"/>
      <c r="X87" s="581"/>
      <c r="Y87" s="506"/>
      <c r="Z87" s="581"/>
      <c r="AA87" s="581"/>
      <c r="AB87" s="581"/>
      <c r="AC87" s="581"/>
      <c r="AD87" s="581"/>
      <c r="AE87" s="581"/>
      <c r="AF87" s="581"/>
      <c r="AG87" s="581"/>
      <c r="AH87" s="581"/>
      <c r="AI87" s="581"/>
      <c r="AJ87" s="581"/>
      <c r="AK87" s="581"/>
      <c r="AL87" s="581"/>
      <c r="AM87" s="581"/>
      <c r="AN87" s="581"/>
      <c r="AO87" s="581"/>
      <c r="AP87" s="506"/>
      <c r="AQ87" s="506"/>
      <c r="AR87" s="581"/>
      <c r="AS87" s="581"/>
      <c r="AT87" s="581"/>
      <c r="AU87" s="581"/>
      <c r="AV87" s="581"/>
      <c r="AW87" s="581"/>
      <c r="AX87" s="581"/>
      <c r="AY87" s="581"/>
      <c r="AZ87" s="581"/>
      <c r="BA87" s="581"/>
      <c r="BB87" s="581"/>
      <c r="BC87" s="581"/>
      <c r="BD87" s="581"/>
      <c r="BE87" s="581"/>
      <c r="BF87" s="335"/>
      <c r="BG87" s="72"/>
      <c r="BH87" s="281"/>
    </row>
    <row r="88" spans="1:93" s="6" customFormat="1" ht="60.75" customHeight="1" x14ac:dyDescent="0.3">
      <c r="A88" s="532"/>
      <c r="B88" s="599"/>
      <c r="C88" s="605" t="s">
        <v>45</v>
      </c>
      <c r="D88" s="503" t="s">
        <v>934</v>
      </c>
      <c r="E88" s="503" t="s">
        <v>193</v>
      </c>
      <c r="F88" s="539" t="s">
        <v>935</v>
      </c>
      <c r="G88" s="539" t="s">
        <v>936</v>
      </c>
      <c r="H88" s="539" t="s">
        <v>196</v>
      </c>
      <c r="I88" s="503" t="s">
        <v>937</v>
      </c>
      <c r="J88" s="528" t="s">
        <v>149</v>
      </c>
      <c r="K88" s="503" t="s">
        <v>251</v>
      </c>
      <c r="L88" s="602" t="s">
        <v>149</v>
      </c>
      <c r="M88" s="539"/>
      <c r="N88" s="539" t="s">
        <v>151</v>
      </c>
      <c r="O88" s="503" t="s">
        <v>938</v>
      </c>
      <c r="P88" s="503" t="s">
        <v>939</v>
      </c>
      <c r="Q88" s="503"/>
      <c r="R88" s="499"/>
      <c r="S88" s="499"/>
      <c r="T88" s="499"/>
      <c r="U88" s="499"/>
      <c r="V88" s="499"/>
      <c r="W88" s="499"/>
      <c r="X88" s="499"/>
      <c r="Y88" s="499"/>
      <c r="Z88" s="499"/>
      <c r="AA88" s="499"/>
      <c r="AB88" s="499"/>
      <c r="AC88" s="499"/>
      <c r="AD88" s="499" t="s">
        <v>199</v>
      </c>
      <c r="AE88" s="499"/>
      <c r="AF88" s="499"/>
      <c r="AG88" s="499"/>
      <c r="AH88" s="499"/>
      <c r="AI88" s="499"/>
      <c r="AJ88" s="499"/>
      <c r="AK88" s="499"/>
      <c r="AL88" s="499"/>
      <c r="AM88" s="499"/>
      <c r="AN88" s="499"/>
      <c r="AO88" s="506"/>
      <c r="AP88" s="507"/>
      <c r="AQ88" s="507"/>
      <c r="AR88" s="507"/>
      <c r="AS88" s="507"/>
      <c r="AT88" s="507"/>
      <c r="AU88" s="507"/>
      <c r="AV88" s="507"/>
      <c r="AW88" s="507"/>
      <c r="AX88" s="507"/>
      <c r="AY88" s="507"/>
      <c r="AZ88" s="507"/>
      <c r="BA88" s="507"/>
      <c r="BB88" s="507"/>
      <c r="BC88" s="507"/>
      <c r="BD88" s="507"/>
      <c r="BE88" s="547" t="s">
        <v>940</v>
      </c>
      <c r="BF88" s="213"/>
      <c r="BG88" s="97"/>
      <c r="BH88" s="299" t="s">
        <v>941</v>
      </c>
    </row>
    <row r="89" spans="1:93" s="6" customFormat="1" ht="35.25" customHeight="1" x14ac:dyDescent="0.3">
      <c r="A89" s="532"/>
      <c r="B89" s="599"/>
      <c r="C89" s="605" t="s">
        <v>45</v>
      </c>
      <c r="D89" s="613" t="s">
        <v>942</v>
      </c>
      <c r="E89" s="503" t="s">
        <v>943</v>
      </c>
      <c r="F89" s="539" t="s">
        <v>149</v>
      </c>
      <c r="G89" s="539">
        <v>1</v>
      </c>
      <c r="H89" s="539" t="s">
        <v>149</v>
      </c>
      <c r="I89" s="663" t="s">
        <v>150</v>
      </c>
      <c r="J89" s="528" t="s">
        <v>149</v>
      </c>
      <c r="K89" s="503" t="s">
        <v>251</v>
      </c>
      <c r="L89" s="602" t="s">
        <v>149</v>
      </c>
      <c r="M89" s="539"/>
      <c r="N89" s="539" t="s">
        <v>151</v>
      </c>
      <c r="O89" s="503" t="s">
        <v>944</v>
      </c>
      <c r="P89" s="503" t="s">
        <v>945</v>
      </c>
      <c r="Q89" s="503"/>
      <c r="R89" s="499"/>
      <c r="S89" s="499"/>
      <c r="T89" s="499"/>
      <c r="U89" s="499"/>
      <c r="V89" s="499"/>
      <c r="W89" s="499"/>
      <c r="X89" s="499"/>
      <c r="Y89" s="499"/>
      <c r="Z89" s="499"/>
      <c r="AA89" s="499"/>
      <c r="AB89" s="499"/>
      <c r="AC89" s="499"/>
      <c r="AD89" s="499" t="s">
        <v>199</v>
      </c>
      <c r="AE89" s="499"/>
      <c r="AF89" s="499"/>
      <c r="AG89" s="499"/>
      <c r="AH89" s="499"/>
      <c r="AI89" s="499"/>
      <c r="AJ89" s="499"/>
      <c r="AK89" s="499"/>
      <c r="AL89" s="499"/>
      <c r="AM89" s="499"/>
      <c r="AN89" s="499"/>
      <c r="AO89" s="506"/>
      <c r="AP89" s="507"/>
      <c r="AQ89" s="507"/>
      <c r="AR89" s="507"/>
      <c r="AS89" s="507"/>
      <c r="AT89" s="507"/>
      <c r="AU89" s="507"/>
      <c r="AV89" s="507"/>
      <c r="AW89" s="507"/>
      <c r="AX89" s="507"/>
      <c r="AY89" s="507"/>
      <c r="AZ89" s="507"/>
      <c r="BA89" s="507"/>
      <c r="BB89" s="507"/>
      <c r="BC89" s="507"/>
      <c r="BD89" s="507"/>
      <c r="BE89" s="547"/>
      <c r="BF89" s="213"/>
      <c r="BG89" s="97"/>
      <c r="BH89" s="299" t="s">
        <v>946</v>
      </c>
    </row>
    <row r="90" spans="1:93" s="6" customFormat="1" ht="14.7" customHeight="1" x14ac:dyDescent="0.3">
      <c r="A90" s="714"/>
      <c r="B90" s="850"/>
      <c r="C90" s="823" t="s">
        <v>40</v>
      </c>
      <c r="D90" s="614" t="s">
        <v>789</v>
      </c>
      <c r="E90" s="503" t="s">
        <v>790</v>
      </c>
      <c r="F90" s="539" t="s">
        <v>149</v>
      </c>
      <c r="G90" s="539">
        <v>1</v>
      </c>
      <c r="H90" s="539" t="s">
        <v>149</v>
      </c>
      <c r="I90" s="663" t="s">
        <v>150</v>
      </c>
      <c r="J90" s="827" t="s">
        <v>149</v>
      </c>
      <c r="K90" s="712" t="s">
        <v>900</v>
      </c>
      <c r="L90" s="602" t="s">
        <v>149</v>
      </c>
      <c r="M90" s="719" t="s">
        <v>270</v>
      </c>
      <c r="N90" s="719" t="s">
        <v>151</v>
      </c>
      <c r="O90" s="503" t="s">
        <v>947</v>
      </c>
      <c r="P90" s="712"/>
      <c r="Q90" s="712"/>
      <c r="R90" s="712"/>
      <c r="S90" s="733" t="s">
        <v>199</v>
      </c>
      <c r="T90" s="712"/>
      <c r="U90" s="712"/>
      <c r="V90" s="712"/>
      <c r="W90" s="712"/>
      <c r="X90" s="712"/>
      <c r="Y90" s="712"/>
      <c r="Z90" s="712"/>
      <c r="AA90" s="712"/>
      <c r="AB90" s="712"/>
      <c r="AC90" s="712"/>
      <c r="AD90" s="712"/>
      <c r="AE90" s="712"/>
      <c r="AF90" s="712"/>
      <c r="AG90" s="712"/>
      <c r="AH90" s="712"/>
      <c r="AI90" s="712"/>
      <c r="AJ90" s="712"/>
      <c r="AK90" s="712"/>
      <c r="AL90" s="712"/>
      <c r="AM90" s="712"/>
      <c r="AN90" s="712"/>
      <c r="AO90" s="788"/>
      <c r="AP90" s="781"/>
      <c r="AQ90" s="733" t="s">
        <v>199</v>
      </c>
      <c r="AR90" s="781"/>
      <c r="AS90" s="586"/>
      <c r="AT90" s="586"/>
      <c r="AU90" s="586"/>
      <c r="AV90" s="586"/>
      <c r="AW90" s="586"/>
      <c r="AX90" s="586"/>
      <c r="AY90" s="586"/>
      <c r="AZ90" s="586"/>
      <c r="BA90" s="781"/>
      <c r="BB90" s="781"/>
      <c r="BC90" s="781"/>
      <c r="BD90" s="781"/>
      <c r="BE90" s="712" t="s">
        <v>948</v>
      </c>
      <c r="BF90" s="739"/>
      <c r="BG90" s="786"/>
      <c r="BH90" s="774" t="s">
        <v>949</v>
      </c>
      <c r="BI90" s="786"/>
      <c r="BJ90" s="786"/>
      <c r="BK90" s="786"/>
      <c r="BL90" s="786"/>
      <c r="BM90" s="786"/>
      <c r="BN90" s="786"/>
      <c r="BO90" s="786"/>
      <c r="BP90" s="786"/>
      <c r="BQ90" s="786"/>
      <c r="BR90" s="786"/>
      <c r="BS90" s="786"/>
      <c r="BT90" s="786"/>
      <c r="BU90" s="786"/>
      <c r="BV90" s="786"/>
      <c r="BW90" s="786"/>
      <c r="BX90" s="786"/>
      <c r="BY90" s="786"/>
      <c r="BZ90" s="786"/>
      <c r="CA90" s="786"/>
      <c r="CB90" s="786"/>
      <c r="CC90" s="786"/>
      <c r="CD90" s="786"/>
      <c r="CE90" s="786"/>
      <c r="CF90" s="786"/>
      <c r="CG90" s="786"/>
      <c r="CH90" s="786"/>
      <c r="CI90" s="786"/>
      <c r="CJ90" s="786"/>
      <c r="CK90" s="786"/>
      <c r="CL90" s="786"/>
      <c r="CM90" s="786"/>
      <c r="CN90" s="786"/>
      <c r="CO90" s="786"/>
    </row>
    <row r="91" spans="1:93" s="6" customFormat="1" ht="14.7" customHeight="1" x14ac:dyDescent="0.3">
      <c r="A91" s="715"/>
      <c r="B91" s="851"/>
      <c r="C91" s="824"/>
      <c r="D91" s="613" t="s">
        <v>950</v>
      </c>
      <c r="E91" s="503" t="s">
        <v>573</v>
      </c>
      <c r="F91" s="539" t="s">
        <v>149</v>
      </c>
      <c r="G91" s="503">
        <v>0</v>
      </c>
      <c r="H91" s="539" t="s">
        <v>149</v>
      </c>
      <c r="I91" s="663" t="s">
        <v>150</v>
      </c>
      <c r="J91" s="713"/>
      <c r="K91" s="713"/>
      <c r="L91" s="602" t="s">
        <v>149</v>
      </c>
      <c r="M91" s="720"/>
      <c r="N91" s="720"/>
      <c r="O91" s="503" t="s">
        <v>951</v>
      </c>
      <c r="P91" s="713"/>
      <c r="Q91" s="713"/>
      <c r="R91" s="713"/>
      <c r="S91" s="733"/>
      <c r="T91" s="713"/>
      <c r="U91" s="713"/>
      <c r="V91" s="713"/>
      <c r="W91" s="713"/>
      <c r="X91" s="713"/>
      <c r="Y91" s="713"/>
      <c r="Z91" s="713"/>
      <c r="AA91" s="713"/>
      <c r="AB91" s="713"/>
      <c r="AC91" s="713"/>
      <c r="AD91" s="713" t="s">
        <v>14</v>
      </c>
      <c r="AE91" s="713"/>
      <c r="AF91" s="713"/>
      <c r="AG91" s="713"/>
      <c r="AH91" s="713"/>
      <c r="AI91" s="713"/>
      <c r="AJ91" s="713"/>
      <c r="AK91" s="713"/>
      <c r="AL91" s="713"/>
      <c r="AM91" s="713"/>
      <c r="AN91" s="713"/>
      <c r="AO91" s="790"/>
      <c r="AP91" s="783"/>
      <c r="AQ91" s="733"/>
      <c r="AR91" s="783"/>
      <c r="AS91" s="600"/>
      <c r="AT91" s="600"/>
      <c r="AU91" s="600"/>
      <c r="AV91" s="600"/>
      <c r="AW91" s="600"/>
      <c r="AX91" s="600"/>
      <c r="AY91" s="600"/>
      <c r="AZ91" s="600"/>
      <c r="BA91" s="783"/>
      <c r="BB91" s="783"/>
      <c r="BC91" s="783"/>
      <c r="BD91" s="783"/>
      <c r="BE91" s="713" t="s">
        <v>952</v>
      </c>
      <c r="BF91" s="740"/>
      <c r="BG91" s="787"/>
      <c r="BH91" s="813" t="s">
        <v>953</v>
      </c>
      <c r="BI91" s="787"/>
      <c r="BJ91" s="787"/>
      <c r="BK91" s="787"/>
      <c r="BL91" s="787"/>
      <c r="BM91" s="787"/>
      <c r="BN91" s="787"/>
      <c r="BO91" s="787"/>
      <c r="BP91" s="787"/>
      <c r="BQ91" s="787"/>
      <c r="BR91" s="787"/>
      <c r="BS91" s="787"/>
      <c r="BT91" s="787"/>
      <c r="BU91" s="787"/>
      <c r="BV91" s="787"/>
      <c r="BW91" s="787"/>
      <c r="BX91" s="787"/>
      <c r="BY91" s="787"/>
      <c r="BZ91" s="787"/>
      <c r="CA91" s="787"/>
      <c r="CB91" s="787"/>
      <c r="CC91" s="787"/>
      <c r="CD91" s="787"/>
      <c r="CE91" s="787"/>
      <c r="CF91" s="787"/>
      <c r="CG91" s="787"/>
      <c r="CH91" s="787"/>
      <c r="CI91" s="787"/>
      <c r="CJ91" s="787"/>
      <c r="CK91" s="787"/>
      <c r="CL91" s="787"/>
      <c r="CM91" s="787"/>
      <c r="CN91" s="787"/>
      <c r="CO91" s="787"/>
    </row>
    <row r="92" spans="1:93" s="27" customFormat="1" ht="14.7" customHeight="1" x14ac:dyDescent="0.3">
      <c r="A92" s="383" t="s">
        <v>954</v>
      </c>
      <c r="B92" s="452"/>
      <c r="C92" s="506"/>
      <c r="D92" s="506"/>
      <c r="E92" s="506"/>
      <c r="F92" s="497"/>
      <c r="G92" s="497"/>
      <c r="H92" s="497"/>
      <c r="I92" s="497"/>
      <c r="J92" s="497"/>
      <c r="K92" s="580"/>
      <c r="L92" s="580"/>
      <c r="M92" s="497"/>
      <c r="N92" s="497"/>
      <c r="O92" s="497"/>
      <c r="P92" s="497"/>
      <c r="Q92" s="506"/>
      <c r="R92" s="506"/>
      <c r="S92" s="506"/>
      <c r="T92" s="581"/>
      <c r="U92" s="581"/>
      <c r="V92" s="581"/>
      <c r="W92" s="581"/>
      <c r="X92" s="581"/>
      <c r="Y92" s="506"/>
      <c r="Z92" s="581"/>
      <c r="AA92" s="581"/>
      <c r="AB92" s="581"/>
      <c r="AC92" s="581"/>
      <c r="AD92" s="581"/>
      <c r="AE92" s="581"/>
      <c r="AF92" s="581"/>
      <c r="AG92" s="581"/>
      <c r="AH92" s="581"/>
      <c r="AI92" s="581"/>
      <c r="AJ92" s="581"/>
      <c r="AK92" s="581"/>
      <c r="AL92" s="581"/>
      <c r="AM92" s="581"/>
      <c r="AN92" s="581"/>
      <c r="AO92" s="581"/>
      <c r="AP92" s="506"/>
      <c r="AQ92" s="506"/>
      <c r="AR92" s="581"/>
      <c r="AS92" s="581"/>
      <c r="AT92" s="581"/>
      <c r="AU92" s="581"/>
      <c r="AV92" s="581"/>
      <c r="AW92" s="581"/>
      <c r="AX92" s="581"/>
      <c r="AY92" s="581"/>
      <c r="AZ92" s="581"/>
      <c r="BA92" s="581"/>
      <c r="BB92" s="581"/>
      <c r="BC92" s="581"/>
      <c r="BD92" s="581"/>
      <c r="BE92" s="581"/>
      <c r="BF92" s="335"/>
      <c r="BG92" s="72"/>
      <c r="BH92" s="281"/>
    </row>
    <row r="93" spans="1:93" s="6" customFormat="1" ht="31.5" customHeight="1" x14ac:dyDescent="0.3">
      <c r="A93" s="872"/>
      <c r="B93" s="850"/>
      <c r="C93" s="827" t="s">
        <v>222</v>
      </c>
      <c r="D93" s="503" t="s">
        <v>283</v>
      </c>
      <c r="E93" s="503" t="s">
        <v>193</v>
      </c>
      <c r="F93" s="817" t="s">
        <v>284</v>
      </c>
      <c r="G93" s="817" t="s">
        <v>955</v>
      </c>
      <c r="H93" s="817" t="s">
        <v>286</v>
      </c>
      <c r="I93" s="817" t="s">
        <v>287</v>
      </c>
      <c r="J93" s="983" t="s">
        <v>149</v>
      </c>
      <c r="K93" s="817" t="s">
        <v>149</v>
      </c>
      <c r="L93" s="817" t="s">
        <v>956</v>
      </c>
      <c r="M93" s="817"/>
      <c r="N93" s="817" t="s">
        <v>478</v>
      </c>
      <c r="O93" s="817" t="s">
        <v>957</v>
      </c>
      <c r="P93" s="817"/>
      <c r="Q93" s="712"/>
      <c r="R93" s="733"/>
      <c r="S93" s="733" t="s">
        <v>199</v>
      </c>
      <c r="T93" s="733"/>
      <c r="U93" s="733"/>
      <c r="V93" s="733"/>
      <c r="W93" s="733"/>
      <c r="X93" s="733"/>
      <c r="Y93" s="733"/>
      <c r="Z93" s="733"/>
      <c r="AA93" s="733"/>
      <c r="AB93" s="733"/>
      <c r="AC93" s="733"/>
      <c r="AD93" s="733"/>
      <c r="AE93" s="733"/>
      <c r="AF93" s="733"/>
      <c r="AG93" s="733"/>
      <c r="AH93" s="733"/>
      <c r="AI93" s="733"/>
      <c r="AJ93" s="733"/>
      <c r="AK93" s="733"/>
      <c r="AL93" s="733"/>
      <c r="AM93" s="733"/>
      <c r="AN93" s="733"/>
      <c r="AO93" s="753"/>
      <c r="AP93" s="743"/>
      <c r="AQ93" s="743" t="s">
        <v>199</v>
      </c>
      <c r="AR93" s="743"/>
      <c r="AS93" s="743"/>
      <c r="AT93" s="743"/>
      <c r="AU93" s="743"/>
      <c r="AV93" s="743"/>
      <c r="AW93" s="743"/>
      <c r="AX93" s="743"/>
      <c r="AY93" s="743"/>
      <c r="AZ93" s="743"/>
      <c r="BA93" s="743"/>
      <c r="BB93" s="743"/>
      <c r="BC93" s="743"/>
      <c r="BD93" s="743"/>
      <c r="BE93" s="1010" t="s">
        <v>958</v>
      </c>
      <c r="BF93" s="764"/>
      <c r="BG93" s="737"/>
      <c r="BH93" s="1015"/>
    </row>
    <row r="94" spans="1:93" s="6" customFormat="1" ht="31.5" customHeight="1" x14ac:dyDescent="0.3">
      <c r="A94" s="873"/>
      <c r="B94" s="851"/>
      <c r="C94" s="828"/>
      <c r="D94" s="503" t="s">
        <v>293</v>
      </c>
      <c r="E94" s="503" t="s">
        <v>193</v>
      </c>
      <c r="F94" s="817" t="s">
        <v>959</v>
      </c>
      <c r="G94" s="817" t="s">
        <v>960</v>
      </c>
      <c r="H94" s="817" t="s">
        <v>286</v>
      </c>
      <c r="I94" s="817" t="s">
        <v>287</v>
      </c>
      <c r="J94" s="817"/>
      <c r="K94" s="817" t="s">
        <v>149</v>
      </c>
      <c r="L94" s="817" t="s">
        <v>956</v>
      </c>
      <c r="M94" s="817"/>
      <c r="N94" s="817"/>
      <c r="O94" s="817" t="s">
        <v>961</v>
      </c>
      <c r="P94" s="817"/>
      <c r="Q94" s="713"/>
      <c r="R94" s="733"/>
      <c r="S94" s="733"/>
      <c r="T94" s="733"/>
      <c r="U94" s="733"/>
      <c r="V94" s="733"/>
      <c r="W94" s="733"/>
      <c r="X94" s="733"/>
      <c r="Y94" s="733"/>
      <c r="Z94" s="733"/>
      <c r="AA94" s="733"/>
      <c r="AB94" s="733"/>
      <c r="AC94" s="733"/>
      <c r="AD94" s="733"/>
      <c r="AE94" s="733"/>
      <c r="AF94" s="733"/>
      <c r="AG94" s="733"/>
      <c r="AH94" s="733"/>
      <c r="AI94" s="733"/>
      <c r="AJ94" s="733"/>
      <c r="AK94" s="733"/>
      <c r="AL94" s="733"/>
      <c r="AM94" s="733"/>
      <c r="AN94" s="733"/>
      <c r="AO94" s="753"/>
      <c r="AP94" s="743"/>
      <c r="AQ94" s="743"/>
      <c r="AR94" s="743"/>
      <c r="AS94" s="743"/>
      <c r="AT94" s="743"/>
      <c r="AU94" s="743"/>
      <c r="AV94" s="743"/>
      <c r="AW94" s="743"/>
      <c r="AX94" s="743"/>
      <c r="AY94" s="743"/>
      <c r="AZ94" s="743"/>
      <c r="BA94" s="743"/>
      <c r="BB94" s="743"/>
      <c r="BC94" s="743"/>
      <c r="BD94" s="743"/>
      <c r="BE94" s="1010" t="s">
        <v>642</v>
      </c>
      <c r="BF94" s="765"/>
      <c r="BG94" s="738"/>
      <c r="BH94" s="1016"/>
    </row>
    <row r="95" spans="1:93" s="6" customFormat="1" ht="14.7" customHeight="1" x14ac:dyDescent="0.3">
      <c r="A95" s="734"/>
      <c r="B95" s="844"/>
      <c r="C95" s="869" t="s">
        <v>42</v>
      </c>
      <c r="D95" s="613" t="s">
        <v>962</v>
      </c>
      <c r="E95" s="613" t="s">
        <v>363</v>
      </c>
      <c r="F95" s="615" t="s">
        <v>149</v>
      </c>
      <c r="G95" s="602">
        <v>0</v>
      </c>
      <c r="H95" s="602" t="s">
        <v>149</v>
      </c>
      <c r="I95" s="602" t="s">
        <v>150</v>
      </c>
      <c r="J95" s="615" t="s">
        <v>149</v>
      </c>
      <c r="K95" s="503" t="s">
        <v>381</v>
      </c>
      <c r="L95" s="503" t="s">
        <v>149</v>
      </c>
      <c r="M95" s="719" t="s">
        <v>270</v>
      </c>
      <c r="N95" s="817" t="s">
        <v>301</v>
      </c>
      <c r="O95" s="712" t="s">
        <v>963</v>
      </c>
      <c r="P95" s="712" t="s">
        <v>964</v>
      </c>
      <c r="Q95" s="714"/>
      <c r="R95" s="714"/>
      <c r="S95" s="810"/>
      <c r="T95" s="734"/>
      <c r="U95" s="734"/>
      <c r="V95" s="734"/>
      <c r="W95" s="734"/>
      <c r="X95" s="734"/>
      <c r="Y95" s="734"/>
      <c r="Z95" s="734"/>
      <c r="AA95" s="734" t="s">
        <v>199</v>
      </c>
      <c r="AB95" s="734"/>
      <c r="AC95" s="734"/>
      <c r="AD95" s="734"/>
      <c r="AE95" s="734"/>
      <c r="AF95" s="734"/>
      <c r="AG95" s="734"/>
      <c r="AH95" s="734"/>
      <c r="AI95" s="734"/>
      <c r="AJ95" s="734"/>
      <c r="AK95" s="734"/>
      <c r="AL95" s="734"/>
      <c r="AM95" s="734"/>
      <c r="AN95" s="734"/>
      <c r="AO95" s="751"/>
      <c r="AP95" s="747"/>
      <c r="AQ95" s="747"/>
      <c r="AR95" s="747"/>
      <c r="AS95" s="747"/>
      <c r="AT95" s="747"/>
      <c r="AU95" s="747"/>
      <c r="AV95" s="747"/>
      <c r="AW95" s="747"/>
      <c r="AX95" s="747"/>
      <c r="AY95" s="747"/>
      <c r="AZ95" s="747"/>
      <c r="BA95" s="747"/>
      <c r="BB95" s="747"/>
      <c r="BC95" s="747"/>
      <c r="BD95" s="747"/>
      <c r="BE95" s="734"/>
      <c r="BF95" s="999"/>
      <c r="BG95" s="761"/>
      <c r="BH95" s="757" t="s">
        <v>965</v>
      </c>
      <c r="BI95" s="757"/>
      <c r="BJ95" s="150"/>
      <c r="BK95" s="150"/>
      <c r="BL95" s="150"/>
      <c r="BM95" s="150"/>
      <c r="BN95" s="150"/>
      <c r="BO95" s="150"/>
      <c r="BP95" s="150"/>
    </row>
    <row r="96" spans="1:93" s="6" customFormat="1" ht="14.7" customHeight="1" x14ac:dyDescent="0.3">
      <c r="A96" s="735"/>
      <c r="B96" s="845"/>
      <c r="C96" s="870"/>
      <c r="D96" s="613" t="s">
        <v>966</v>
      </c>
      <c r="E96" s="613" t="s">
        <v>363</v>
      </c>
      <c r="F96" s="615" t="s">
        <v>149</v>
      </c>
      <c r="G96" s="602">
        <v>0</v>
      </c>
      <c r="H96" s="602" t="s">
        <v>149</v>
      </c>
      <c r="I96" s="602" t="s">
        <v>150</v>
      </c>
      <c r="J96" s="615" t="s">
        <v>149</v>
      </c>
      <c r="K96" s="503" t="s">
        <v>381</v>
      </c>
      <c r="L96" s="503" t="s">
        <v>149</v>
      </c>
      <c r="M96" s="720"/>
      <c r="N96" s="817"/>
      <c r="O96" s="721"/>
      <c r="P96" s="721"/>
      <c r="Q96" s="730"/>
      <c r="R96" s="730"/>
      <c r="S96" s="811"/>
      <c r="T96" s="735"/>
      <c r="U96" s="735"/>
      <c r="V96" s="735"/>
      <c r="W96" s="735"/>
      <c r="X96" s="735"/>
      <c r="Y96" s="735"/>
      <c r="Z96" s="735"/>
      <c r="AA96" s="735"/>
      <c r="AB96" s="735"/>
      <c r="AC96" s="735"/>
      <c r="AD96" s="735"/>
      <c r="AE96" s="735"/>
      <c r="AF96" s="735"/>
      <c r="AG96" s="735"/>
      <c r="AH96" s="735"/>
      <c r="AI96" s="735"/>
      <c r="AJ96" s="735"/>
      <c r="AK96" s="735"/>
      <c r="AL96" s="735"/>
      <c r="AM96" s="735"/>
      <c r="AN96" s="735"/>
      <c r="AO96" s="752"/>
      <c r="AP96" s="748"/>
      <c r="AQ96" s="748"/>
      <c r="AR96" s="748"/>
      <c r="AS96" s="748"/>
      <c r="AT96" s="748"/>
      <c r="AU96" s="748"/>
      <c r="AV96" s="748"/>
      <c r="AW96" s="748"/>
      <c r="AX96" s="748"/>
      <c r="AY96" s="748"/>
      <c r="AZ96" s="748"/>
      <c r="BA96" s="748"/>
      <c r="BB96" s="748"/>
      <c r="BC96" s="748"/>
      <c r="BD96" s="748"/>
      <c r="BE96" s="735"/>
      <c r="BF96" s="1000"/>
      <c r="BG96" s="762"/>
      <c r="BH96" s="758"/>
      <c r="BI96" s="758"/>
      <c r="BJ96" s="150"/>
      <c r="BK96" s="150"/>
      <c r="BL96" s="150"/>
      <c r="BM96" s="150"/>
      <c r="BN96" s="150"/>
      <c r="BO96" s="150"/>
      <c r="BP96" s="150"/>
    </row>
    <row r="97" spans="1:68" s="6" customFormat="1" ht="14.7" customHeight="1" x14ac:dyDescent="0.3">
      <c r="A97" s="735"/>
      <c r="B97" s="845"/>
      <c r="C97" s="870"/>
      <c r="D97" s="613" t="s">
        <v>967</v>
      </c>
      <c r="E97" s="613" t="s">
        <v>363</v>
      </c>
      <c r="F97" s="615" t="s">
        <v>149</v>
      </c>
      <c r="G97" s="602">
        <v>0</v>
      </c>
      <c r="H97" s="602" t="s">
        <v>149</v>
      </c>
      <c r="I97" s="602" t="s">
        <v>150</v>
      </c>
      <c r="J97" s="615" t="s">
        <v>149</v>
      </c>
      <c r="K97" s="503" t="s">
        <v>381</v>
      </c>
      <c r="L97" s="503" t="s">
        <v>149</v>
      </c>
      <c r="M97" s="719" t="s">
        <v>270</v>
      </c>
      <c r="N97" s="817"/>
      <c r="O97" s="721"/>
      <c r="P97" s="721"/>
      <c r="Q97" s="730"/>
      <c r="R97" s="730"/>
      <c r="S97" s="811"/>
      <c r="T97" s="735"/>
      <c r="U97" s="735"/>
      <c r="V97" s="735"/>
      <c r="W97" s="735"/>
      <c r="X97" s="735"/>
      <c r="Y97" s="735"/>
      <c r="Z97" s="735"/>
      <c r="AA97" s="735"/>
      <c r="AB97" s="735"/>
      <c r="AC97" s="735"/>
      <c r="AD97" s="735"/>
      <c r="AE97" s="735"/>
      <c r="AF97" s="735"/>
      <c r="AG97" s="735"/>
      <c r="AH97" s="735"/>
      <c r="AI97" s="735"/>
      <c r="AJ97" s="735"/>
      <c r="AK97" s="735"/>
      <c r="AL97" s="735"/>
      <c r="AM97" s="735"/>
      <c r="AN97" s="735"/>
      <c r="AO97" s="752"/>
      <c r="AP97" s="748"/>
      <c r="AQ97" s="748"/>
      <c r="AR97" s="748"/>
      <c r="AS97" s="748"/>
      <c r="AT97" s="748"/>
      <c r="AU97" s="748"/>
      <c r="AV97" s="748"/>
      <c r="AW97" s="748"/>
      <c r="AX97" s="748"/>
      <c r="AY97" s="748"/>
      <c r="AZ97" s="748"/>
      <c r="BA97" s="748"/>
      <c r="BB97" s="748"/>
      <c r="BC97" s="748"/>
      <c r="BD97" s="748"/>
      <c r="BE97" s="735"/>
      <c r="BF97" s="1000"/>
      <c r="BG97" s="762"/>
      <c r="BH97" s="758"/>
      <c r="BI97" s="758"/>
      <c r="BJ97" s="150"/>
      <c r="BK97" s="150"/>
      <c r="BL97" s="150"/>
      <c r="BM97" s="150"/>
      <c r="BN97" s="150"/>
      <c r="BO97" s="150"/>
      <c r="BP97" s="150"/>
    </row>
    <row r="98" spans="1:68" s="6" customFormat="1" ht="14.7" customHeight="1" x14ac:dyDescent="0.3">
      <c r="A98" s="736"/>
      <c r="B98" s="846"/>
      <c r="C98" s="871" t="s">
        <v>968</v>
      </c>
      <c r="D98" s="613" t="s">
        <v>966</v>
      </c>
      <c r="E98" s="613" t="s">
        <v>363</v>
      </c>
      <c r="F98" s="615" t="s">
        <v>149</v>
      </c>
      <c r="G98" s="602">
        <v>0</v>
      </c>
      <c r="H98" s="602" t="s">
        <v>149</v>
      </c>
      <c r="I98" s="602" t="s">
        <v>150</v>
      </c>
      <c r="J98" s="615" t="s">
        <v>149</v>
      </c>
      <c r="K98" s="503" t="s">
        <v>381</v>
      </c>
      <c r="L98" s="528" t="s">
        <v>149</v>
      </c>
      <c r="M98" s="720"/>
      <c r="N98" s="817"/>
      <c r="O98" s="713"/>
      <c r="P98" s="713"/>
      <c r="Q98" s="715"/>
      <c r="R98" s="715"/>
      <c r="S98" s="812"/>
      <c r="T98" s="736"/>
      <c r="U98" s="736"/>
      <c r="V98" s="736"/>
      <c r="W98" s="736"/>
      <c r="X98" s="736"/>
      <c r="Y98" s="736"/>
      <c r="Z98" s="736"/>
      <c r="AA98" s="736"/>
      <c r="AB98" s="736"/>
      <c r="AC98" s="736"/>
      <c r="AD98" s="736"/>
      <c r="AE98" s="736"/>
      <c r="AF98" s="736"/>
      <c r="AG98" s="736"/>
      <c r="AH98" s="736"/>
      <c r="AI98" s="736"/>
      <c r="AJ98" s="736"/>
      <c r="AK98" s="736"/>
      <c r="AL98" s="736"/>
      <c r="AM98" s="736"/>
      <c r="AN98" s="736"/>
      <c r="AO98" s="760"/>
      <c r="AP98" s="749"/>
      <c r="AQ98" s="749"/>
      <c r="AR98" s="749"/>
      <c r="AS98" s="749"/>
      <c r="AT98" s="749"/>
      <c r="AU98" s="749"/>
      <c r="AV98" s="749"/>
      <c r="AW98" s="749"/>
      <c r="AX98" s="749"/>
      <c r="AY98" s="749"/>
      <c r="AZ98" s="749"/>
      <c r="BA98" s="749"/>
      <c r="BB98" s="749"/>
      <c r="BC98" s="749"/>
      <c r="BD98" s="749"/>
      <c r="BE98" s="736"/>
      <c r="BF98" s="1001"/>
      <c r="BG98" s="763"/>
      <c r="BH98" s="759"/>
      <c r="BI98" s="759"/>
      <c r="BJ98" s="150"/>
      <c r="BK98" s="150"/>
      <c r="BL98" s="150"/>
      <c r="BM98" s="150"/>
      <c r="BN98" s="150"/>
      <c r="BO98" s="150"/>
      <c r="BP98" s="150"/>
    </row>
    <row r="99" spans="1:68" s="6" customFormat="1" ht="14.7" customHeight="1" x14ac:dyDescent="0.3">
      <c r="A99" s="876"/>
      <c r="B99" s="881"/>
      <c r="C99" s="865" t="s">
        <v>45</v>
      </c>
      <c r="D99" s="613" t="s">
        <v>969</v>
      </c>
      <c r="E99" s="613" t="s">
        <v>790</v>
      </c>
      <c r="F99" s="615" t="s">
        <v>149</v>
      </c>
      <c r="G99" s="602">
        <v>1</v>
      </c>
      <c r="H99" s="602" t="s">
        <v>149</v>
      </c>
      <c r="I99" s="602" t="s">
        <v>150</v>
      </c>
      <c r="J99" s="874" t="s">
        <v>149</v>
      </c>
      <c r="K99" s="878" t="s">
        <v>970</v>
      </c>
      <c r="L99" s="878" t="s">
        <v>149</v>
      </c>
      <c r="M99" s="719" t="s">
        <v>270</v>
      </c>
      <c r="N99" s="719" t="s">
        <v>151</v>
      </c>
      <c r="O99" s="719" t="s">
        <v>971</v>
      </c>
      <c r="P99" s="550" t="s">
        <v>972</v>
      </c>
      <c r="Q99" s="719"/>
      <c r="R99" s="719"/>
      <c r="S99" s="733" t="s">
        <v>199</v>
      </c>
      <c r="T99" s="719"/>
      <c r="U99" s="719"/>
      <c r="V99" s="719"/>
      <c r="W99" s="719"/>
      <c r="X99" s="719"/>
      <c r="Y99" s="719"/>
      <c r="Z99" s="719"/>
      <c r="AA99" s="719"/>
      <c r="AB99" s="719"/>
      <c r="AC99" s="719"/>
      <c r="AD99" s="719"/>
      <c r="AE99" s="719"/>
      <c r="AF99" s="719"/>
      <c r="AG99" s="734"/>
      <c r="AH99" s="734"/>
      <c r="AI99" s="734"/>
      <c r="AJ99" s="734"/>
      <c r="AK99" s="734"/>
      <c r="AL99" s="734"/>
      <c r="AM99" s="719"/>
      <c r="AN99" s="734"/>
      <c r="AO99" s="751"/>
      <c r="AP99" s="747"/>
      <c r="AQ99" s="747" t="s">
        <v>199</v>
      </c>
      <c r="AR99" s="747"/>
      <c r="AS99" s="747"/>
      <c r="AT99" s="747"/>
      <c r="AU99" s="747"/>
      <c r="AV99" s="747"/>
      <c r="AW99" s="747"/>
      <c r="AX99" s="747"/>
      <c r="AY99" s="747"/>
      <c r="AZ99" s="747"/>
      <c r="BA99" s="741"/>
      <c r="BB99" s="741"/>
      <c r="BC99" s="741"/>
      <c r="BD99" s="741"/>
      <c r="BE99" s="719" t="s">
        <v>973</v>
      </c>
      <c r="BF99" s="764"/>
      <c r="BG99" s="737"/>
      <c r="BH99" s="979" t="s">
        <v>974</v>
      </c>
      <c r="BI99" s="979"/>
      <c r="BJ99" s="150"/>
      <c r="BK99" s="150"/>
      <c r="BL99" s="150"/>
      <c r="BM99" s="150"/>
      <c r="BN99" s="150"/>
      <c r="BO99" s="150"/>
      <c r="BP99" s="150"/>
    </row>
    <row r="100" spans="1:68" s="6" customFormat="1" ht="14.7" customHeight="1" x14ac:dyDescent="0.3">
      <c r="A100" s="877"/>
      <c r="B100" s="882"/>
      <c r="C100" s="866"/>
      <c r="D100" s="509" t="s">
        <v>789</v>
      </c>
      <c r="E100" s="616" t="s">
        <v>790</v>
      </c>
      <c r="F100" s="617" t="s">
        <v>149</v>
      </c>
      <c r="G100" s="618">
        <v>1</v>
      </c>
      <c r="H100" s="618" t="s">
        <v>149</v>
      </c>
      <c r="I100" s="618" t="s">
        <v>150</v>
      </c>
      <c r="J100" s="875"/>
      <c r="K100" s="875"/>
      <c r="L100" s="875"/>
      <c r="M100" s="746"/>
      <c r="N100" s="746"/>
      <c r="O100" s="746"/>
      <c r="P100" s="557" t="s">
        <v>975</v>
      </c>
      <c r="Q100" s="746"/>
      <c r="R100" s="746"/>
      <c r="S100" s="714"/>
      <c r="T100" s="746"/>
      <c r="U100" s="746"/>
      <c r="V100" s="746"/>
      <c r="W100" s="746"/>
      <c r="X100" s="746"/>
      <c r="Y100" s="746"/>
      <c r="Z100" s="746"/>
      <c r="AA100" s="746"/>
      <c r="AB100" s="746"/>
      <c r="AC100" s="746"/>
      <c r="AD100" s="746"/>
      <c r="AE100" s="746"/>
      <c r="AF100" s="746"/>
      <c r="AG100" s="735"/>
      <c r="AH100" s="735"/>
      <c r="AI100" s="735"/>
      <c r="AJ100" s="735"/>
      <c r="AK100" s="735"/>
      <c r="AL100" s="735"/>
      <c r="AM100" s="746"/>
      <c r="AN100" s="735"/>
      <c r="AO100" s="752"/>
      <c r="AP100" s="748"/>
      <c r="AQ100" s="748"/>
      <c r="AR100" s="748"/>
      <c r="AS100" s="748"/>
      <c r="AT100" s="748"/>
      <c r="AU100" s="748"/>
      <c r="AV100" s="748"/>
      <c r="AW100" s="748"/>
      <c r="AX100" s="748"/>
      <c r="AY100" s="748"/>
      <c r="AZ100" s="748"/>
      <c r="BA100" s="742"/>
      <c r="BB100" s="742"/>
      <c r="BC100" s="742"/>
      <c r="BD100" s="742"/>
      <c r="BE100" s="746"/>
      <c r="BF100" s="765"/>
      <c r="BG100" s="738"/>
      <c r="BH100" s="980"/>
      <c r="BI100" s="980"/>
      <c r="BJ100" s="150"/>
      <c r="BK100" s="150"/>
      <c r="BL100" s="150"/>
      <c r="BM100" s="150"/>
      <c r="BN100" s="150"/>
      <c r="BO100" s="150"/>
      <c r="BP100" s="150"/>
    </row>
    <row r="101" spans="1:68" s="6" customFormat="1" ht="14.7" customHeight="1" x14ac:dyDescent="0.3">
      <c r="A101" s="879"/>
      <c r="B101" s="856"/>
      <c r="C101" s="867" t="s">
        <v>9</v>
      </c>
      <c r="D101" s="613" t="s">
        <v>969</v>
      </c>
      <c r="E101" s="613" t="s">
        <v>790</v>
      </c>
      <c r="F101" s="528" t="s">
        <v>149</v>
      </c>
      <c r="G101" s="503">
        <v>1</v>
      </c>
      <c r="H101" s="503" t="s">
        <v>149</v>
      </c>
      <c r="I101" s="503" t="s">
        <v>150</v>
      </c>
      <c r="J101" s="528" t="s">
        <v>149</v>
      </c>
      <c r="K101" s="503" t="s">
        <v>970</v>
      </c>
      <c r="L101" s="503" t="s">
        <v>149</v>
      </c>
      <c r="M101" s="719" t="s">
        <v>270</v>
      </c>
      <c r="N101" s="719" t="s">
        <v>151</v>
      </c>
      <c r="O101" s="719" t="s">
        <v>976</v>
      </c>
      <c r="P101" s="551" t="s">
        <v>972</v>
      </c>
      <c r="Q101" s="719"/>
      <c r="R101" s="719"/>
      <c r="S101" s="719"/>
      <c r="T101" s="719"/>
      <c r="U101" s="719"/>
      <c r="V101" s="719"/>
      <c r="W101" s="719"/>
      <c r="X101" s="719"/>
      <c r="Y101" s="719"/>
      <c r="Z101" s="719"/>
      <c r="AA101" s="719"/>
      <c r="AB101" s="719"/>
      <c r="AC101" s="719"/>
      <c r="AD101" s="719"/>
      <c r="AE101" s="719"/>
      <c r="AF101" s="822" t="s">
        <v>14</v>
      </c>
      <c r="AG101" s="719"/>
      <c r="AH101" s="719"/>
      <c r="AI101" s="719"/>
      <c r="AJ101" s="719"/>
      <c r="AK101" s="719"/>
      <c r="AL101" s="719"/>
      <c r="AM101" s="719"/>
      <c r="AN101" s="719"/>
      <c r="AO101" s="1002"/>
      <c r="AP101" s="741"/>
      <c r="AQ101" s="741"/>
      <c r="AR101" s="741"/>
      <c r="AS101" s="741"/>
      <c r="AT101" s="741"/>
      <c r="AU101" s="741"/>
      <c r="AV101" s="741"/>
      <c r="AW101" s="741"/>
      <c r="AX101" s="741"/>
      <c r="AY101" s="741"/>
      <c r="AZ101" s="741"/>
      <c r="BA101" s="741"/>
      <c r="BB101" s="741"/>
      <c r="BC101" s="741"/>
      <c r="BD101" s="741"/>
      <c r="BE101" s="712" t="s">
        <v>977</v>
      </c>
      <c r="BF101" s="764"/>
      <c r="BG101" s="737"/>
      <c r="BH101" s="984" t="s">
        <v>4415</v>
      </c>
    </row>
    <row r="102" spans="1:68" s="6" customFormat="1" ht="14.7" customHeight="1" x14ac:dyDescent="0.3">
      <c r="A102" s="880"/>
      <c r="B102" s="857"/>
      <c r="C102" s="868"/>
      <c r="D102" s="620" t="s">
        <v>798</v>
      </c>
      <c r="E102" s="620" t="s">
        <v>363</v>
      </c>
      <c r="F102" s="528" t="s">
        <v>149</v>
      </c>
      <c r="G102" s="503">
        <v>0</v>
      </c>
      <c r="H102" s="503" t="s">
        <v>149</v>
      </c>
      <c r="I102" s="503" t="s">
        <v>150</v>
      </c>
      <c r="J102" s="528" t="s">
        <v>149</v>
      </c>
      <c r="K102" s="503" t="s">
        <v>149</v>
      </c>
      <c r="L102" s="503" t="s">
        <v>149</v>
      </c>
      <c r="M102" s="720"/>
      <c r="N102" s="720"/>
      <c r="O102" s="720"/>
      <c r="P102" s="710" t="s">
        <v>978</v>
      </c>
      <c r="Q102" s="720"/>
      <c r="R102" s="720"/>
      <c r="S102" s="720"/>
      <c r="T102" s="720"/>
      <c r="U102" s="720"/>
      <c r="V102" s="720"/>
      <c r="W102" s="720"/>
      <c r="X102" s="720"/>
      <c r="Y102" s="720"/>
      <c r="Z102" s="720"/>
      <c r="AA102" s="720"/>
      <c r="AB102" s="720"/>
      <c r="AC102" s="720"/>
      <c r="AD102" s="720"/>
      <c r="AE102" s="720"/>
      <c r="AF102" s="715"/>
      <c r="AG102" s="720"/>
      <c r="AH102" s="720"/>
      <c r="AI102" s="720"/>
      <c r="AJ102" s="720"/>
      <c r="AK102" s="720"/>
      <c r="AL102" s="720"/>
      <c r="AM102" s="720"/>
      <c r="AN102" s="720"/>
      <c r="AO102" s="1003"/>
      <c r="AP102" s="750"/>
      <c r="AQ102" s="750"/>
      <c r="AR102" s="750"/>
      <c r="AS102" s="750"/>
      <c r="AT102" s="750"/>
      <c r="AU102" s="750"/>
      <c r="AV102" s="750"/>
      <c r="AW102" s="750"/>
      <c r="AX102" s="750"/>
      <c r="AY102" s="750"/>
      <c r="AZ102" s="750"/>
      <c r="BA102" s="750"/>
      <c r="BB102" s="750"/>
      <c r="BC102" s="750"/>
      <c r="BD102" s="750"/>
      <c r="BE102" s="713"/>
      <c r="BF102" s="765"/>
      <c r="BG102" s="738"/>
      <c r="BH102" s="985"/>
    </row>
    <row r="103" spans="1:68" s="27" customFormat="1" ht="29.4" customHeight="1" x14ac:dyDescent="0.3">
      <c r="A103" s="532"/>
      <c r="B103" s="599"/>
      <c r="C103" s="664" t="s">
        <v>9</v>
      </c>
      <c r="D103" s="347" t="s">
        <v>4320</v>
      </c>
      <c r="E103" s="347" t="s">
        <v>790</v>
      </c>
      <c r="F103" s="368" t="s">
        <v>149</v>
      </c>
      <c r="G103" s="366">
        <v>1</v>
      </c>
      <c r="H103" s="368" t="s">
        <v>149</v>
      </c>
      <c r="I103" s="347" t="s">
        <v>150</v>
      </c>
      <c r="J103" s="666" t="s">
        <v>149</v>
      </c>
      <c r="K103" s="666" t="s">
        <v>149</v>
      </c>
      <c r="L103" s="666" t="s">
        <v>149</v>
      </c>
      <c r="M103" s="366"/>
      <c r="N103" s="366" t="s">
        <v>151</v>
      </c>
      <c r="O103" s="347" t="s">
        <v>4321</v>
      </c>
      <c r="P103" s="492" t="s">
        <v>4322</v>
      </c>
      <c r="Q103" s="347"/>
      <c r="R103" s="369"/>
      <c r="S103" s="369" t="s">
        <v>14</v>
      </c>
      <c r="T103" s="499"/>
      <c r="U103" s="670" t="s">
        <v>14</v>
      </c>
      <c r="V103" s="499"/>
      <c r="W103" s="499"/>
      <c r="X103" s="499"/>
      <c r="Y103" s="499"/>
      <c r="Z103" s="499"/>
      <c r="AA103" s="499"/>
      <c r="AB103" s="499"/>
      <c r="AC103" s="499"/>
      <c r="AD103" s="499"/>
      <c r="AE103" s="499"/>
      <c r="AF103" s="499"/>
      <c r="AG103" s="499"/>
      <c r="AH103" s="499"/>
      <c r="AI103" s="499"/>
      <c r="AJ103" s="499"/>
      <c r="AK103" s="499"/>
      <c r="AL103" s="499"/>
      <c r="AM103" s="499"/>
      <c r="AN103" s="499"/>
      <c r="AO103" s="506"/>
      <c r="AP103" s="507"/>
      <c r="AQ103" s="507" t="s">
        <v>199</v>
      </c>
      <c r="AR103" s="507"/>
      <c r="AS103" s="507"/>
      <c r="AT103" s="507"/>
      <c r="AU103" s="507"/>
      <c r="AV103" s="507"/>
      <c r="AW103" s="507"/>
      <c r="AX103" s="507"/>
      <c r="AY103" s="507"/>
      <c r="AZ103" s="507"/>
      <c r="BA103" s="507"/>
      <c r="BB103" s="507"/>
      <c r="BC103" s="507"/>
      <c r="BD103" s="507"/>
      <c r="BE103" s="492" t="s">
        <v>4329</v>
      </c>
      <c r="BF103" s="213"/>
      <c r="BG103" s="97"/>
      <c r="BH103" s="281" t="s">
        <v>4333</v>
      </c>
    </row>
    <row r="104" spans="1:68" s="27" customFormat="1" ht="14.7" customHeight="1" x14ac:dyDescent="0.3">
      <c r="A104" s="431" t="s">
        <v>145</v>
      </c>
      <c r="B104" s="458"/>
      <c r="C104" s="543"/>
      <c r="D104" s="543"/>
      <c r="E104" s="543"/>
      <c r="F104" s="595"/>
      <c r="G104" s="595"/>
      <c r="H104" s="595"/>
      <c r="I104" s="595"/>
      <c r="J104" s="595"/>
      <c r="K104" s="596"/>
      <c r="L104" s="596"/>
      <c r="M104" s="595"/>
      <c r="N104" s="595"/>
      <c r="O104" s="595"/>
      <c r="P104" s="595"/>
      <c r="Q104" s="543"/>
      <c r="R104" s="543"/>
      <c r="S104" s="543"/>
      <c r="T104" s="597"/>
      <c r="U104" s="597"/>
      <c r="V104" s="597"/>
      <c r="W104" s="597"/>
      <c r="X104" s="597"/>
      <c r="Y104" s="543"/>
      <c r="Z104" s="597"/>
      <c r="AA104" s="597"/>
      <c r="AB104" s="597"/>
      <c r="AC104" s="597"/>
      <c r="AD104" s="597"/>
      <c r="AE104" s="597"/>
      <c r="AF104" s="597"/>
      <c r="AG104" s="597"/>
      <c r="AH104" s="597"/>
      <c r="AI104" s="597"/>
      <c r="AJ104" s="597"/>
      <c r="AK104" s="597"/>
      <c r="AL104" s="597"/>
      <c r="AM104" s="597"/>
      <c r="AN104" s="597"/>
      <c r="AO104" s="597"/>
      <c r="AP104" s="543"/>
      <c r="AQ104" s="543"/>
      <c r="AR104" s="597"/>
      <c r="AS104" s="597"/>
      <c r="AT104" s="597"/>
      <c r="AU104" s="597"/>
      <c r="AV104" s="597"/>
      <c r="AW104" s="597"/>
      <c r="AX104" s="597"/>
      <c r="AY104" s="597"/>
      <c r="AZ104" s="597"/>
      <c r="BA104" s="597"/>
      <c r="BB104" s="597"/>
      <c r="BC104" s="597"/>
      <c r="BD104" s="597"/>
      <c r="BE104" s="597"/>
      <c r="BF104" s="335"/>
      <c r="BG104" s="72"/>
      <c r="BH104" s="281"/>
    </row>
    <row r="105" spans="1:68" s="19" customFormat="1" ht="64.5" customHeight="1" x14ac:dyDescent="0.3">
      <c r="A105" s="588"/>
      <c r="B105" s="604"/>
      <c r="C105" s="555" t="s">
        <v>47</v>
      </c>
      <c r="D105" s="539" t="s">
        <v>979</v>
      </c>
      <c r="E105" s="539" t="s">
        <v>148</v>
      </c>
      <c r="F105" s="503" t="s">
        <v>149</v>
      </c>
      <c r="G105" s="503">
        <v>1</v>
      </c>
      <c r="H105" s="503" t="s">
        <v>149</v>
      </c>
      <c r="I105" s="503" t="s">
        <v>150</v>
      </c>
      <c r="J105" s="528" t="s">
        <v>149</v>
      </c>
      <c r="K105" s="503" t="s">
        <v>149</v>
      </c>
      <c r="L105" s="503" t="s">
        <v>149</v>
      </c>
      <c r="M105" s="539"/>
      <c r="N105" s="539"/>
      <c r="O105" s="503" t="s">
        <v>980</v>
      </c>
      <c r="P105" s="503" t="s">
        <v>981</v>
      </c>
      <c r="Q105" s="539"/>
      <c r="R105" s="503"/>
      <c r="S105" s="503"/>
      <c r="T105" s="503"/>
      <c r="U105" s="503"/>
      <c r="V105" s="503"/>
      <c r="W105" s="503"/>
      <c r="X105" s="503"/>
      <c r="Y105" s="503"/>
      <c r="Z105" s="503" t="s">
        <v>199</v>
      </c>
      <c r="AA105" s="390"/>
      <c r="AB105" s="499"/>
      <c r="AC105" s="499"/>
      <c r="AD105" s="499"/>
      <c r="AE105" s="503"/>
      <c r="AF105" s="503"/>
      <c r="AG105" s="587" t="s">
        <v>14</v>
      </c>
      <c r="AH105" s="499"/>
      <c r="AI105" s="499"/>
      <c r="AJ105" s="499"/>
      <c r="AK105" s="499"/>
      <c r="AL105" s="499"/>
      <c r="AM105" s="499"/>
      <c r="AN105" s="499"/>
      <c r="AO105" s="506"/>
      <c r="AP105" s="507"/>
      <c r="AQ105" s="507"/>
      <c r="AR105" s="507"/>
      <c r="AS105" s="507"/>
      <c r="AT105" s="507"/>
      <c r="AU105" s="507"/>
      <c r="AV105" s="507"/>
      <c r="AW105" s="507"/>
      <c r="AX105" s="507"/>
      <c r="AY105" s="507"/>
      <c r="AZ105" s="507"/>
      <c r="BA105" s="587"/>
      <c r="BB105" s="587"/>
      <c r="BC105" s="507"/>
      <c r="BD105" s="507"/>
      <c r="BE105" s="622" t="s">
        <v>982</v>
      </c>
      <c r="BF105" s="213"/>
      <c r="BG105" s="97"/>
      <c r="BH105" s="305" t="s">
        <v>983</v>
      </c>
    </row>
    <row r="106" spans="1:68" s="19" customFormat="1" ht="15" customHeight="1" x14ac:dyDescent="0.3">
      <c r="A106" s="588"/>
      <c r="B106" s="604"/>
      <c r="C106" s="555" t="s">
        <v>45</v>
      </c>
      <c r="D106" s="539" t="s">
        <v>984</v>
      </c>
      <c r="E106" s="539"/>
      <c r="F106" s="503">
        <v>0</v>
      </c>
      <c r="G106" s="503">
        <v>0</v>
      </c>
      <c r="H106" s="503" t="s">
        <v>149</v>
      </c>
      <c r="I106" s="503" t="s">
        <v>150</v>
      </c>
      <c r="J106" s="528" t="s">
        <v>149</v>
      </c>
      <c r="K106" s="503" t="s">
        <v>149</v>
      </c>
      <c r="L106" s="503" t="s">
        <v>149</v>
      </c>
      <c r="M106" s="539"/>
      <c r="N106" s="539" t="s">
        <v>151</v>
      </c>
      <c r="O106" s="503" t="s">
        <v>985</v>
      </c>
      <c r="P106" s="503" t="s">
        <v>986</v>
      </c>
      <c r="Q106" s="539"/>
      <c r="R106" s="503"/>
      <c r="S106" s="395"/>
      <c r="T106" s="503"/>
      <c r="U106" s="503"/>
      <c r="V106" s="503"/>
      <c r="W106" s="503"/>
      <c r="X106" s="503"/>
      <c r="Y106" s="503"/>
      <c r="Z106" s="503" t="s">
        <v>199</v>
      </c>
      <c r="AA106" s="390"/>
      <c r="AB106" s="499"/>
      <c r="AC106" s="499"/>
      <c r="AD106" s="499"/>
      <c r="AE106" s="503"/>
      <c r="AF106" s="503"/>
      <c r="AG106" s="499"/>
      <c r="AH106" s="499"/>
      <c r="AI106" s="499"/>
      <c r="AJ106" s="499"/>
      <c r="AK106" s="499"/>
      <c r="AL106" s="499"/>
      <c r="AM106" s="499"/>
      <c r="AN106" s="499"/>
      <c r="AO106" s="506"/>
      <c r="AP106" s="507"/>
      <c r="AQ106" s="507"/>
      <c r="AR106" s="507"/>
      <c r="AS106" s="507"/>
      <c r="AT106" s="507"/>
      <c r="AU106" s="507"/>
      <c r="AV106" s="507"/>
      <c r="AW106" s="507"/>
      <c r="AX106" s="507"/>
      <c r="AY106" s="507"/>
      <c r="AZ106" s="507"/>
      <c r="BA106" s="587"/>
      <c r="BB106" s="587"/>
      <c r="BC106" s="507"/>
      <c r="BD106" s="507"/>
      <c r="BE106" s="547" t="s">
        <v>987</v>
      </c>
      <c r="BF106" s="213"/>
      <c r="BG106" s="97"/>
      <c r="BH106" s="280" t="s">
        <v>988</v>
      </c>
    </row>
    <row r="107" spans="1:68" s="19" customFormat="1" ht="45.6" customHeight="1" x14ac:dyDescent="0.3">
      <c r="A107" s="588"/>
      <c r="B107" s="604"/>
      <c r="C107" s="555" t="s">
        <v>580</v>
      </c>
      <c r="D107" s="555" t="s">
        <v>989</v>
      </c>
      <c r="E107" s="539"/>
      <c r="F107" s="503" t="s">
        <v>149</v>
      </c>
      <c r="G107" s="539">
        <v>0</v>
      </c>
      <c r="H107" s="503" t="s">
        <v>149</v>
      </c>
      <c r="I107" s="539" t="s">
        <v>150</v>
      </c>
      <c r="J107" s="555" t="s">
        <v>149</v>
      </c>
      <c r="K107" s="503" t="s">
        <v>149</v>
      </c>
      <c r="L107" s="503" t="s">
        <v>149</v>
      </c>
      <c r="M107" s="539"/>
      <c r="N107" s="539" t="s">
        <v>151</v>
      </c>
      <c r="O107" s="539" t="s">
        <v>696</v>
      </c>
      <c r="P107" s="539" t="s">
        <v>990</v>
      </c>
      <c r="Q107" s="539"/>
      <c r="R107" s="503"/>
      <c r="S107" s="503"/>
      <c r="T107" s="503"/>
      <c r="U107" s="503"/>
      <c r="V107" s="503"/>
      <c r="W107" s="503"/>
      <c r="X107" s="503"/>
      <c r="Y107" s="663" t="s">
        <v>14</v>
      </c>
      <c r="Z107" s="503"/>
      <c r="AA107" s="503"/>
      <c r="AB107" s="503"/>
      <c r="AC107" s="503"/>
      <c r="AD107" s="503"/>
      <c r="AE107" s="503"/>
      <c r="AF107" s="503"/>
      <c r="AG107" s="503"/>
      <c r="AH107" s="503"/>
      <c r="AI107" s="503"/>
      <c r="AJ107" s="503"/>
      <c r="AK107" s="503"/>
      <c r="AL107" s="503"/>
      <c r="AM107" s="503"/>
      <c r="AN107" s="503"/>
      <c r="AO107" s="580"/>
      <c r="AP107" s="587"/>
      <c r="AQ107" s="587"/>
      <c r="AR107" s="587"/>
      <c r="AS107" s="587"/>
      <c r="AT107" s="587"/>
      <c r="AU107" s="587"/>
      <c r="AV107" s="587"/>
      <c r="AW107" s="587"/>
      <c r="AX107" s="587"/>
      <c r="AY107" s="587"/>
      <c r="AZ107" s="587"/>
      <c r="BA107" s="587"/>
      <c r="BB107" s="587"/>
      <c r="BC107" s="587"/>
      <c r="BD107" s="587"/>
      <c r="BE107" s="551" t="s">
        <v>991</v>
      </c>
      <c r="BF107" s="358"/>
      <c r="BG107" s="94"/>
      <c r="BH107" s="280"/>
    </row>
    <row r="108" spans="1:68" s="19" customFormat="1" ht="15" customHeight="1" x14ac:dyDescent="0.3">
      <c r="A108" s="623"/>
      <c r="B108" s="624"/>
      <c r="C108" s="625" t="s">
        <v>992</v>
      </c>
      <c r="D108" s="625" t="s">
        <v>993</v>
      </c>
      <c r="E108" s="626"/>
      <c r="F108" s="627" t="s">
        <v>149</v>
      </c>
      <c r="G108" s="628">
        <v>0</v>
      </c>
      <c r="H108" s="627" t="s">
        <v>149</v>
      </c>
      <c r="I108" s="628" t="s">
        <v>150</v>
      </c>
      <c r="J108" s="627" t="s">
        <v>149</v>
      </c>
      <c r="K108" s="627" t="s">
        <v>149</v>
      </c>
      <c r="L108" s="628"/>
      <c r="M108" s="626"/>
      <c r="N108" s="626" t="s">
        <v>151</v>
      </c>
      <c r="O108" s="628" t="s">
        <v>994</v>
      </c>
      <c r="P108" s="628" t="s">
        <v>995</v>
      </c>
      <c r="Q108" s="626"/>
      <c r="R108" s="628"/>
      <c r="S108" s="628" t="s">
        <v>14</v>
      </c>
      <c r="T108" s="628"/>
      <c r="U108" s="628"/>
      <c r="V108" s="628"/>
      <c r="W108" s="629"/>
      <c r="X108" s="629"/>
      <c r="Y108" s="629"/>
      <c r="Z108" s="628"/>
      <c r="AA108" s="630" t="s">
        <v>14</v>
      </c>
      <c r="AB108" s="630"/>
      <c r="AC108" s="630"/>
      <c r="AD108" s="630"/>
      <c r="AE108" s="628"/>
      <c r="AF108" s="628"/>
      <c r="AG108" s="628"/>
      <c r="AH108" s="628"/>
      <c r="AI108" s="628"/>
      <c r="AJ108" s="628"/>
      <c r="AK108" s="628"/>
      <c r="AL108" s="628"/>
      <c r="AM108" s="628"/>
      <c r="AN108" s="628"/>
      <c r="AO108" s="631"/>
      <c r="AP108" s="632"/>
      <c r="AQ108" s="632" t="s">
        <v>14</v>
      </c>
      <c r="AR108" s="632"/>
      <c r="AS108" s="632"/>
      <c r="AT108" s="632"/>
      <c r="AU108" s="632"/>
      <c r="AV108" s="632"/>
      <c r="AW108" s="632"/>
      <c r="AX108" s="632"/>
      <c r="AY108" s="632"/>
      <c r="AZ108" s="632"/>
      <c r="BA108" s="632"/>
      <c r="BB108" s="632"/>
      <c r="BC108" s="632"/>
      <c r="BD108" s="632"/>
      <c r="BE108" s="633"/>
      <c r="BF108" s="213"/>
      <c r="BG108" s="97"/>
      <c r="BH108" s="280" t="s">
        <v>996</v>
      </c>
    </row>
    <row r="109" spans="1:68" s="27" customFormat="1" ht="14.7" customHeight="1" x14ac:dyDescent="0.3">
      <c r="A109" s="383" t="s">
        <v>545</v>
      </c>
      <c r="B109" s="452"/>
      <c r="C109" s="506"/>
      <c r="D109" s="506"/>
      <c r="E109" s="506"/>
      <c r="F109" s="497"/>
      <c r="G109" s="497"/>
      <c r="H109" s="497"/>
      <c r="I109" s="497"/>
      <c r="J109" s="580"/>
      <c r="K109" s="580"/>
      <c r="L109" s="580"/>
      <c r="M109" s="497"/>
      <c r="N109" s="497"/>
      <c r="O109" s="497"/>
      <c r="P109" s="580"/>
      <c r="Q109" s="506"/>
      <c r="R109" s="506"/>
      <c r="S109" s="506"/>
      <c r="T109" s="581"/>
      <c r="U109" s="581"/>
      <c r="V109" s="581"/>
      <c r="W109" s="581"/>
      <c r="X109" s="581"/>
      <c r="Y109" s="506"/>
      <c r="Z109" s="581"/>
      <c r="AA109" s="581"/>
      <c r="AB109" s="581"/>
      <c r="AC109" s="581"/>
      <c r="AD109" s="581"/>
      <c r="AE109" s="581"/>
      <c r="AF109" s="581"/>
      <c r="AG109" s="581"/>
      <c r="AH109" s="581"/>
      <c r="AI109" s="581"/>
      <c r="AJ109" s="581"/>
      <c r="AK109" s="581"/>
      <c r="AL109" s="581"/>
      <c r="AM109" s="581"/>
      <c r="AN109" s="581"/>
      <c r="AO109" s="581"/>
      <c r="AP109" s="506"/>
      <c r="AQ109" s="506"/>
      <c r="AR109" s="581"/>
      <c r="AS109" s="581"/>
      <c r="AT109" s="581"/>
      <c r="AU109" s="581"/>
      <c r="AV109" s="581"/>
      <c r="AW109" s="581"/>
      <c r="AX109" s="581"/>
      <c r="AY109" s="581"/>
      <c r="AZ109" s="581"/>
      <c r="BA109" s="581"/>
      <c r="BB109" s="581"/>
      <c r="BC109" s="581"/>
      <c r="BD109" s="581"/>
      <c r="BE109" s="581"/>
      <c r="BF109" s="335"/>
      <c r="BG109" s="72"/>
      <c r="BH109" s="281"/>
    </row>
    <row r="110" spans="1:68" s="6" customFormat="1" ht="14.7" customHeight="1" x14ac:dyDescent="0.3">
      <c r="A110" s="499"/>
      <c r="B110" s="599"/>
      <c r="C110" s="432" t="s">
        <v>9</v>
      </c>
      <c r="D110" s="461" t="s">
        <v>547</v>
      </c>
      <c r="E110" s="461" t="s">
        <v>374</v>
      </c>
      <c r="F110" s="503" t="s">
        <v>149</v>
      </c>
      <c r="G110" s="503">
        <v>0</v>
      </c>
      <c r="H110" s="503" t="s">
        <v>149</v>
      </c>
      <c r="I110" s="503" t="s">
        <v>150</v>
      </c>
      <c r="J110" s="528" t="s">
        <v>149</v>
      </c>
      <c r="K110" s="503" t="s">
        <v>149</v>
      </c>
      <c r="L110" s="503" t="s">
        <v>149</v>
      </c>
      <c r="M110" s="539"/>
      <c r="N110" s="539" t="s">
        <v>151</v>
      </c>
      <c r="O110" s="503" t="s">
        <v>548</v>
      </c>
      <c r="P110" s="347" t="s">
        <v>997</v>
      </c>
      <c r="Q110" s="461"/>
      <c r="R110" s="499"/>
      <c r="S110" s="499"/>
      <c r="T110" s="499"/>
      <c r="U110" s="499"/>
      <c r="V110" s="499"/>
      <c r="W110" s="499"/>
      <c r="X110" s="499"/>
      <c r="Y110" s="499"/>
      <c r="Z110" s="499"/>
      <c r="AA110" s="499"/>
      <c r="AB110" s="499"/>
      <c r="AC110" s="499"/>
      <c r="AD110" s="499"/>
      <c r="AE110" s="499"/>
      <c r="AF110" s="499"/>
      <c r="AG110" s="499"/>
      <c r="AH110" s="499"/>
      <c r="AI110" s="499"/>
      <c r="AJ110" s="499"/>
      <c r="AK110" s="499"/>
      <c r="AL110" s="499"/>
      <c r="AM110" s="499"/>
      <c r="AN110" s="499" t="s">
        <v>199</v>
      </c>
      <c r="AO110" s="506"/>
      <c r="AP110" s="507"/>
      <c r="AQ110" s="507"/>
      <c r="AR110" s="507"/>
      <c r="AS110" s="507"/>
      <c r="AT110" s="507"/>
      <c r="AU110" s="507"/>
      <c r="AV110" s="507"/>
      <c r="AW110" s="507"/>
      <c r="AX110" s="507"/>
      <c r="AY110" s="507"/>
      <c r="AZ110" s="507"/>
      <c r="BA110" s="507"/>
      <c r="BB110" s="507"/>
      <c r="BC110" s="507"/>
      <c r="BD110" s="507"/>
      <c r="BE110" s="776" t="s">
        <v>998</v>
      </c>
      <c r="BF110" s="213"/>
      <c r="BG110" s="97"/>
      <c r="BH110" s="785" t="s">
        <v>999</v>
      </c>
    </row>
    <row r="111" spans="1:68" s="6" customFormat="1" ht="14.7" customHeight="1" x14ac:dyDescent="0.3">
      <c r="A111" s="499"/>
      <c r="B111" s="599"/>
      <c r="C111" s="432" t="s">
        <v>9</v>
      </c>
      <c r="D111" s="432" t="s">
        <v>568</v>
      </c>
      <c r="E111" s="433" t="s">
        <v>148</v>
      </c>
      <c r="F111" s="539" t="s">
        <v>149</v>
      </c>
      <c r="G111" s="503">
        <v>0</v>
      </c>
      <c r="H111" s="539" t="s">
        <v>149</v>
      </c>
      <c r="I111" s="503" t="s">
        <v>150</v>
      </c>
      <c r="J111" s="528" t="s">
        <v>149</v>
      </c>
      <c r="K111" s="539" t="s">
        <v>149</v>
      </c>
      <c r="L111" s="539"/>
      <c r="M111" s="539"/>
      <c r="N111" s="503" t="s">
        <v>151</v>
      </c>
      <c r="O111" s="503" t="s">
        <v>569</v>
      </c>
      <c r="P111" s="347" t="s">
        <v>997</v>
      </c>
      <c r="Q111" s="461"/>
      <c r="R111" s="499"/>
      <c r="S111" s="499"/>
      <c r="T111" s="499"/>
      <c r="U111" s="499"/>
      <c r="V111" s="499"/>
      <c r="W111" s="499"/>
      <c r="X111" s="499"/>
      <c r="Y111" s="499"/>
      <c r="Z111" s="499"/>
      <c r="AA111" s="499"/>
      <c r="AB111" s="499"/>
      <c r="AC111" s="499"/>
      <c r="AD111" s="499"/>
      <c r="AE111" s="499"/>
      <c r="AF111" s="499"/>
      <c r="AG111" s="499"/>
      <c r="AH111" s="499"/>
      <c r="AI111" s="499"/>
      <c r="AJ111" s="499"/>
      <c r="AK111" s="499"/>
      <c r="AL111" s="499"/>
      <c r="AM111" s="499"/>
      <c r="AN111" s="499" t="s">
        <v>199</v>
      </c>
      <c r="AO111" s="506"/>
      <c r="AP111" s="507"/>
      <c r="AQ111" s="507"/>
      <c r="AR111" s="507"/>
      <c r="AS111" s="507"/>
      <c r="AT111" s="507"/>
      <c r="AU111" s="507"/>
      <c r="AV111" s="507"/>
      <c r="AW111" s="507"/>
      <c r="AX111" s="507"/>
      <c r="AY111" s="507"/>
      <c r="AZ111" s="507"/>
      <c r="BA111" s="507"/>
      <c r="BB111" s="507"/>
      <c r="BC111" s="507"/>
      <c r="BD111" s="507"/>
      <c r="BE111" s="777"/>
      <c r="BF111" s="213"/>
      <c r="BG111" s="97"/>
      <c r="BH111" s="784"/>
    </row>
    <row r="112" spans="1:68" s="6" customFormat="1" ht="14.7" customHeight="1" x14ac:dyDescent="0.3">
      <c r="A112" s="499"/>
      <c r="B112" s="599"/>
      <c r="C112" s="432" t="s">
        <v>9</v>
      </c>
      <c r="D112" s="432" t="s">
        <v>558</v>
      </c>
      <c r="E112" s="433" t="s">
        <v>374</v>
      </c>
      <c r="F112" s="539" t="s">
        <v>149</v>
      </c>
      <c r="G112" s="503">
        <v>0</v>
      </c>
      <c r="H112" s="539" t="s">
        <v>149</v>
      </c>
      <c r="I112" s="503" t="s">
        <v>150</v>
      </c>
      <c r="J112" s="528" t="s">
        <v>149</v>
      </c>
      <c r="K112" s="539" t="s">
        <v>149</v>
      </c>
      <c r="L112" s="539"/>
      <c r="M112" s="539"/>
      <c r="N112" s="503" t="s">
        <v>151</v>
      </c>
      <c r="O112" s="503" t="s">
        <v>1000</v>
      </c>
      <c r="P112" s="347" t="s">
        <v>997</v>
      </c>
      <c r="Q112" s="461"/>
      <c r="R112" s="499"/>
      <c r="S112" s="499"/>
      <c r="T112" s="499"/>
      <c r="U112" s="499"/>
      <c r="V112" s="499"/>
      <c r="W112" s="499"/>
      <c r="X112" s="499"/>
      <c r="Y112" s="499"/>
      <c r="Z112" s="499"/>
      <c r="AA112" s="499"/>
      <c r="AB112" s="499"/>
      <c r="AC112" s="499"/>
      <c r="AD112" s="499"/>
      <c r="AE112" s="499"/>
      <c r="AF112" s="499"/>
      <c r="AG112" s="499"/>
      <c r="AH112" s="499"/>
      <c r="AI112" s="499"/>
      <c r="AJ112" s="499"/>
      <c r="AK112" s="499"/>
      <c r="AL112" s="499"/>
      <c r="AM112" s="499"/>
      <c r="AN112" s="499" t="s">
        <v>199</v>
      </c>
      <c r="AO112" s="506"/>
      <c r="AP112" s="507"/>
      <c r="AQ112" s="507"/>
      <c r="AR112" s="507"/>
      <c r="AS112" s="507"/>
      <c r="AT112" s="507"/>
      <c r="AU112" s="507"/>
      <c r="AV112" s="507"/>
      <c r="AW112" s="507"/>
      <c r="AX112" s="507"/>
      <c r="AY112" s="507"/>
      <c r="AZ112" s="507"/>
      <c r="BA112" s="507"/>
      <c r="BB112" s="507"/>
      <c r="BC112" s="507"/>
      <c r="BD112" s="507"/>
      <c r="BE112" s="777"/>
      <c r="BF112" s="312" t="s">
        <v>560</v>
      </c>
      <c r="BG112" s="246" t="s">
        <v>561</v>
      </c>
      <c r="BH112" s="784"/>
    </row>
    <row r="113" spans="1:60" s="6" customFormat="1" ht="14.7" customHeight="1" x14ac:dyDescent="0.3">
      <c r="A113" s="499"/>
      <c r="B113" s="599"/>
      <c r="C113" s="432" t="s">
        <v>9</v>
      </c>
      <c r="D113" s="436" t="s">
        <v>564</v>
      </c>
      <c r="E113" s="462" t="s">
        <v>374</v>
      </c>
      <c r="F113" s="539" t="s">
        <v>149</v>
      </c>
      <c r="G113" s="602">
        <v>0</v>
      </c>
      <c r="H113" s="539" t="s">
        <v>149</v>
      </c>
      <c r="I113" s="602" t="s">
        <v>150</v>
      </c>
      <c r="J113" s="528" t="s">
        <v>149</v>
      </c>
      <c r="K113" s="539" t="s">
        <v>149</v>
      </c>
      <c r="L113" s="539"/>
      <c r="M113" s="539"/>
      <c r="N113" s="602" t="s">
        <v>151</v>
      </c>
      <c r="O113" s="602" t="s">
        <v>1001</v>
      </c>
      <c r="P113" s="347" t="s">
        <v>997</v>
      </c>
      <c r="Q113" s="461"/>
      <c r="R113" s="499"/>
      <c r="S113" s="499"/>
      <c r="T113" s="499"/>
      <c r="U113" s="499"/>
      <c r="V113" s="499"/>
      <c r="W113" s="499"/>
      <c r="X113" s="499"/>
      <c r="Y113" s="499"/>
      <c r="Z113" s="499"/>
      <c r="AA113" s="499"/>
      <c r="AB113" s="499"/>
      <c r="AC113" s="499"/>
      <c r="AD113" s="499"/>
      <c r="AE113" s="499"/>
      <c r="AF113" s="499"/>
      <c r="AG113" s="499"/>
      <c r="AH113" s="499"/>
      <c r="AI113" s="499"/>
      <c r="AJ113" s="499"/>
      <c r="AK113" s="499"/>
      <c r="AL113" s="499"/>
      <c r="AM113" s="499"/>
      <c r="AN113" s="499" t="s">
        <v>199</v>
      </c>
      <c r="AO113" s="506"/>
      <c r="AP113" s="507"/>
      <c r="AQ113" s="507"/>
      <c r="AR113" s="507"/>
      <c r="AS113" s="507"/>
      <c r="AT113" s="507"/>
      <c r="AU113" s="507"/>
      <c r="AV113" s="507"/>
      <c r="AW113" s="507"/>
      <c r="AX113" s="507"/>
      <c r="AY113" s="507"/>
      <c r="AZ113" s="507"/>
      <c r="BA113" s="507"/>
      <c r="BB113" s="507"/>
      <c r="BC113" s="507"/>
      <c r="BD113" s="507"/>
      <c r="BE113" s="777"/>
      <c r="BF113" s="312" t="s">
        <v>560</v>
      </c>
      <c r="BG113" s="246" t="s">
        <v>561</v>
      </c>
      <c r="BH113" s="784"/>
    </row>
    <row r="114" spans="1:60" s="6" customFormat="1" ht="14.7" customHeight="1" x14ac:dyDescent="0.3">
      <c r="A114" s="499"/>
      <c r="B114" s="599"/>
      <c r="C114" s="432" t="s">
        <v>9</v>
      </c>
      <c r="D114" s="432" t="s">
        <v>572</v>
      </c>
      <c r="E114" s="433" t="s">
        <v>573</v>
      </c>
      <c r="F114" s="539" t="s">
        <v>149</v>
      </c>
      <c r="G114" s="503">
        <v>0</v>
      </c>
      <c r="H114" s="539" t="s">
        <v>149</v>
      </c>
      <c r="I114" s="503" t="s">
        <v>150</v>
      </c>
      <c r="J114" s="528" t="s">
        <v>149</v>
      </c>
      <c r="K114" s="539" t="s">
        <v>149</v>
      </c>
      <c r="L114" s="539"/>
      <c r="M114" s="539"/>
      <c r="N114" s="503" t="s">
        <v>151</v>
      </c>
      <c r="O114" s="503" t="s">
        <v>574</v>
      </c>
      <c r="P114" s="347" t="s">
        <v>997</v>
      </c>
      <c r="Q114" s="461"/>
      <c r="R114" s="499"/>
      <c r="S114" s="499"/>
      <c r="T114" s="499"/>
      <c r="U114" s="499"/>
      <c r="V114" s="499"/>
      <c r="W114" s="499"/>
      <c r="X114" s="499"/>
      <c r="Y114" s="499"/>
      <c r="Z114" s="499"/>
      <c r="AA114" s="499"/>
      <c r="AB114" s="499"/>
      <c r="AC114" s="499"/>
      <c r="AD114" s="499"/>
      <c r="AE114" s="499"/>
      <c r="AF114" s="499"/>
      <c r="AG114" s="499"/>
      <c r="AH114" s="499"/>
      <c r="AI114" s="499"/>
      <c r="AJ114" s="499"/>
      <c r="AK114" s="499"/>
      <c r="AL114" s="499"/>
      <c r="AM114" s="499"/>
      <c r="AN114" s="499" t="s">
        <v>199</v>
      </c>
      <c r="AO114" s="506"/>
      <c r="AP114" s="507"/>
      <c r="AQ114" s="507"/>
      <c r="AR114" s="507"/>
      <c r="AS114" s="507"/>
      <c r="AT114" s="507"/>
      <c r="AU114" s="507"/>
      <c r="AV114" s="507"/>
      <c r="AW114" s="507"/>
      <c r="AX114" s="507"/>
      <c r="AY114" s="507"/>
      <c r="AZ114" s="507"/>
      <c r="BA114" s="507"/>
      <c r="BB114" s="507"/>
      <c r="BC114" s="507"/>
      <c r="BD114" s="507"/>
      <c r="BE114" s="777"/>
      <c r="BF114" s="213"/>
      <c r="BG114" s="97"/>
      <c r="BH114" s="784"/>
    </row>
    <row r="115" spans="1:60" s="6" customFormat="1" ht="14.7" customHeight="1" x14ac:dyDescent="0.3">
      <c r="A115" s="499"/>
      <c r="B115" s="599"/>
      <c r="C115" s="432" t="s">
        <v>9</v>
      </c>
      <c r="D115" s="432" t="s">
        <v>577</v>
      </c>
      <c r="E115" s="433" t="s">
        <v>573</v>
      </c>
      <c r="F115" s="539" t="s">
        <v>149</v>
      </c>
      <c r="G115" s="503">
        <v>0</v>
      </c>
      <c r="H115" s="539" t="s">
        <v>149</v>
      </c>
      <c r="I115" s="503" t="s">
        <v>150</v>
      </c>
      <c r="J115" s="528" t="s">
        <v>149</v>
      </c>
      <c r="K115" s="539" t="s">
        <v>149</v>
      </c>
      <c r="L115" s="539"/>
      <c r="M115" s="539"/>
      <c r="N115" s="503" t="s">
        <v>151</v>
      </c>
      <c r="O115" s="503" t="s">
        <v>578</v>
      </c>
      <c r="P115" s="347" t="s">
        <v>997</v>
      </c>
      <c r="Q115" s="461"/>
      <c r="R115" s="499"/>
      <c r="S115" s="499"/>
      <c r="T115" s="499"/>
      <c r="U115" s="499"/>
      <c r="V115" s="499"/>
      <c r="W115" s="499"/>
      <c r="X115" s="499"/>
      <c r="Y115" s="499"/>
      <c r="Z115" s="499"/>
      <c r="AA115" s="499"/>
      <c r="AB115" s="499"/>
      <c r="AC115" s="499"/>
      <c r="AD115" s="499"/>
      <c r="AE115" s="499"/>
      <c r="AF115" s="499"/>
      <c r="AG115" s="499"/>
      <c r="AH115" s="499"/>
      <c r="AI115" s="499"/>
      <c r="AJ115" s="499"/>
      <c r="AK115" s="499"/>
      <c r="AL115" s="499"/>
      <c r="AM115" s="499"/>
      <c r="AN115" s="499" t="s">
        <v>199</v>
      </c>
      <c r="AO115" s="506"/>
      <c r="AP115" s="507"/>
      <c r="AQ115" s="507"/>
      <c r="AR115" s="507"/>
      <c r="AS115" s="507"/>
      <c r="AT115" s="507"/>
      <c r="AU115" s="507"/>
      <c r="AV115" s="507"/>
      <c r="AW115" s="507"/>
      <c r="AX115" s="507"/>
      <c r="AY115" s="507"/>
      <c r="AZ115" s="507"/>
      <c r="BA115" s="507"/>
      <c r="BB115" s="507"/>
      <c r="BC115" s="507"/>
      <c r="BD115" s="507"/>
      <c r="BE115" s="777"/>
      <c r="BF115" s="213"/>
      <c r="BG115" s="97"/>
      <c r="BH115" s="784"/>
    </row>
    <row r="116" spans="1:60" s="6" customFormat="1" ht="14.7" customHeight="1" x14ac:dyDescent="0.3">
      <c r="A116" s="499"/>
      <c r="B116" s="599"/>
      <c r="C116" s="432" t="s">
        <v>9</v>
      </c>
      <c r="D116" s="432" t="s">
        <v>581</v>
      </c>
      <c r="E116" s="433" t="s">
        <v>148</v>
      </c>
      <c r="F116" s="539" t="s">
        <v>149</v>
      </c>
      <c r="G116" s="503">
        <v>0</v>
      </c>
      <c r="H116" s="539" t="s">
        <v>149</v>
      </c>
      <c r="I116" s="503" t="s">
        <v>150</v>
      </c>
      <c r="J116" s="528" t="s">
        <v>149</v>
      </c>
      <c r="K116" s="539" t="s">
        <v>149</v>
      </c>
      <c r="L116" s="539"/>
      <c r="M116" s="539"/>
      <c r="N116" s="503" t="s">
        <v>151</v>
      </c>
      <c r="O116" s="503" t="s">
        <v>582</v>
      </c>
      <c r="P116" s="347" t="s">
        <v>997</v>
      </c>
      <c r="Q116" s="461"/>
      <c r="R116" s="499"/>
      <c r="S116" s="499"/>
      <c r="T116" s="499"/>
      <c r="U116" s="499"/>
      <c r="V116" s="499"/>
      <c r="W116" s="499"/>
      <c r="X116" s="499"/>
      <c r="Y116" s="499"/>
      <c r="Z116" s="499"/>
      <c r="AA116" s="499"/>
      <c r="AB116" s="499"/>
      <c r="AC116" s="499"/>
      <c r="AD116" s="499"/>
      <c r="AE116" s="499"/>
      <c r="AF116" s="499"/>
      <c r="AG116" s="499"/>
      <c r="AH116" s="499"/>
      <c r="AI116" s="499"/>
      <c r="AJ116" s="499"/>
      <c r="AK116" s="499"/>
      <c r="AL116" s="499"/>
      <c r="AM116" s="499"/>
      <c r="AN116" s="499" t="s">
        <v>199</v>
      </c>
      <c r="AO116" s="506"/>
      <c r="AP116" s="507"/>
      <c r="AQ116" s="507"/>
      <c r="AR116" s="507"/>
      <c r="AS116" s="507"/>
      <c r="AT116" s="507"/>
      <c r="AU116" s="507"/>
      <c r="AV116" s="507"/>
      <c r="AW116" s="507"/>
      <c r="AX116" s="507"/>
      <c r="AY116" s="507"/>
      <c r="AZ116" s="507"/>
      <c r="BA116" s="507"/>
      <c r="BB116" s="507"/>
      <c r="BC116" s="507"/>
      <c r="BD116" s="507"/>
      <c r="BE116" s="793"/>
      <c r="BF116" s="213"/>
      <c r="BG116" s="97"/>
      <c r="BH116" s="986"/>
    </row>
    <row r="117" spans="1:60" s="6" customFormat="1" ht="38.25" customHeight="1" x14ac:dyDescent="0.3">
      <c r="A117" s="714"/>
      <c r="B117" s="850"/>
      <c r="C117" s="848" t="s">
        <v>45</v>
      </c>
      <c r="D117" s="432" t="s">
        <v>1002</v>
      </c>
      <c r="E117" s="433" t="s">
        <v>148</v>
      </c>
      <c r="F117" s="539" t="s">
        <v>149</v>
      </c>
      <c r="G117" s="503">
        <v>0</v>
      </c>
      <c r="H117" s="539" t="s">
        <v>149</v>
      </c>
      <c r="I117" s="503" t="s">
        <v>150</v>
      </c>
      <c r="J117" s="539" t="s">
        <v>372</v>
      </c>
      <c r="K117" s="539" t="s">
        <v>256</v>
      </c>
      <c r="L117" s="719" t="s">
        <v>149</v>
      </c>
      <c r="M117" s="719"/>
      <c r="N117" s="712" t="s">
        <v>478</v>
      </c>
      <c r="O117" s="712" t="s">
        <v>1003</v>
      </c>
      <c r="P117" s="547" t="s">
        <v>1004</v>
      </c>
      <c r="Q117" s="744"/>
      <c r="R117" s="744"/>
      <c r="S117" s="733" t="s">
        <v>199</v>
      </c>
      <c r="T117" s="744"/>
      <c r="U117" s="744"/>
      <c r="V117" s="744"/>
      <c r="W117" s="744"/>
      <c r="X117" s="744"/>
      <c r="Y117" s="744"/>
      <c r="Z117" s="744"/>
      <c r="AA117" s="744"/>
      <c r="AB117" s="744"/>
      <c r="AC117" s="744"/>
      <c r="AD117" s="744"/>
      <c r="AE117" s="744"/>
      <c r="AF117" s="744"/>
      <c r="AG117" s="714"/>
      <c r="AH117" s="714"/>
      <c r="AI117" s="714"/>
      <c r="AJ117" s="714"/>
      <c r="AK117" s="714"/>
      <c r="AL117" s="714" t="s">
        <v>199</v>
      </c>
      <c r="AM117" s="714"/>
      <c r="AN117" s="744"/>
      <c r="AO117" s="993"/>
      <c r="AP117" s="791"/>
      <c r="AQ117" s="463"/>
      <c r="AR117" s="791"/>
      <c r="AS117" s="463"/>
      <c r="AT117" s="463"/>
      <c r="AU117" s="463"/>
      <c r="AV117" s="463"/>
      <c r="AW117" s="463"/>
      <c r="AX117" s="463"/>
      <c r="AY117" s="463"/>
      <c r="AZ117" s="463"/>
      <c r="BA117" s="754"/>
      <c r="BB117" s="754"/>
      <c r="BC117" s="754"/>
      <c r="BD117" s="754"/>
      <c r="BE117" s="776" t="s">
        <v>1005</v>
      </c>
      <c r="BF117" s="1004"/>
      <c r="BG117" s="1005"/>
      <c r="BH117" s="785" t="s">
        <v>1006</v>
      </c>
    </row>
    <row r="118" spans="1:60" s="6" customFormat="1" ht="38.25" customHeight="1" x14ac:dyDescent="0.3">
      <c r="A118" s="715"/>
      <c r="B118" s="851"/>
      <c r="C118" s="849"/>
      <c r="D118" s="503" t="s">
        <v>1007</v>
      </c>
      <c r="E118" s="433" t="s">
        <v>790</v>
      </c>
      <c r="F118" s="539" t="s">
        <v>149</v>
      </c>
      <c r="G118" s="503">
        <v>1</v>
      </c>
      <c r="H118" s="539" t="s">
        <v>149</v>
      </c>
      <c r="I118" s="503" t="s">
        <v>150</v>
      </c>
      <c r="J118" s="503" t="s">
        <v>149</v>
      </c>
      <c r="K118" s="503" t="s">
        <v>149</v>
      </c>
      <c r="L118" s="720"/>
      <c r="M118" s="720"/>
      <c r="N118" s="713"/>
      <c r="O118" s="713"/>
      <c r="P118" s="547" t="s">
        <v>1008</v>
      </c>
      <c r="Q118" s="745"/>
      <c r="R118" s="745"/>
      <c r="S118" s="733"/>
      <c r="T118" s="745"/>
      <c r="U118" s="745"/>
      <c r="V118" s="745"/>
      <c r="W118" s="745"/>
      <c r="X118" s="745"/>
      <c r="Y118" s="745"/>
      <c r="Z118" s="745"/>
      <c r="AA118" s="745"/>
      <c r="AB118" s="745"/>
      <c r="AC118" s="745"/>
      <c r="AD118" s="745"/>
      <c r="AE118" s="745"/>
      <c r="AF118" s="745"/>
      <c r="AG118" s="715"/>
      <c r="AH118" s="715"/>
      <c r="AI118" s="715"/>
      <c r="AJ118" s="715"/>
      <c r="AK118" s="715"/>
      <c r="AL118" s="715"/>
      <c r="AM118" s="715"/>
      <c r="AN118" s="745"/>
      <c r="AO118" s="994"/>
      <c r="AP118" s="792"/>
      <c r="AQ118" s="464"/>
      <c r="AR118" s="792"/>
      <c r="AS118" s="464"/>
      <c r="AT118" s="464"/>
      <c r="AU118" s="464"/>
      <c r="AV118" s="464"/>
      <c r="AW118" s="464"/>
      <c r="AX118" s="464"/>
      <c r="AY118" s="464"/>
      <c r="AZ118" s="464"/>
      <c r="BA118" s="755"/>
      <c r="BB118" s="755"/>
      <c r="BC118" s="755"/>
      <c r="BD118" s="755"/>
      <c r="BE118" s="777"/>
      <c r="BF118" s="1004"/>
      <c r="BG118" s="1005"/>
      <c r="BH118" s="986"/>
    </row>
    <row r="119" spans="1:60" s="6" customFormat="1" ht="57.6" customHeight="1" x14ac:dyDescent="0.3">
      <c r="A119" s="499"/>
      <c r="B119" s="599"/>
      <c r="C119" s="432" t="s">
        <v>51</v>
      </c>
      <c r="D119" s="461" t="s">
        <v>555</v>
      </c>
      <c r="E119" s="461" t="s">
        <v>193</v>
      </c>
      <c r="F119" s="503" t="s">
        <v>1009</v>
      </c>
      <c r="G119" s="503" t="s">
        <v>1010</v>
      </c>
      <c r="H119" s="503" t="s">
        <v>36</v>
      </c>
      <c r="I119" s="503" t="s">
        <v>300</v>
      </c>
      <c r="J119" s="528" t="s">
        <v>149</v>
      </c>
      <c r="K119" s="503" t="s">
        <v>149</v>
      </c>
      <c r="L119" s="503" t="s">
        <v>149</v>
      </c>
      <c r="M119" s="539"/>
      <c r="N119" s="539" t="s">
        <v>151</v>
      </c>
      <c r="O119" s="503" t="s">
        <v>1011</v>
      </c>
      <c r="P119" s="503"/>
      <c r="Q119" s="461"/>
      <c r="R119" s="499"/>
      <c r="S119" s="499" t="s">
        <v>199</v>
      </c>
      <c r="T119" s="499"/>
      <c r="U119" s="499"/>
      <c r="V119" s="499"/>
      <c r="W119" s="499"/>
      <c r="X119" s="499"/>
      <c r="Y119" s="499"/>
      <c r="Z119" s="499"/>
      <c r="AA119" s="499"/>
      <c r="AB119" s="499"/>
      <c r="AC119" s="499"/>
      <c r="AD119" s="499"/>
      <c r="AE119" s="499"/>
      <c r="AF119" s="499"/>
      <c r="AG119" s="499"/>
      <c r="AH119" s="499"/>
      <c r="AI119" s="499"/>
      <c r="AJ119" s="499"/>
      <c r="AK119" s="499"/>
      <c r="AL119" s="499"/>
      <c r="AM119" s="499"/>
      <c r="AN119" s="499"/>
      <c r="AO119" s="506"/>
      <c r="AP119" s="507"/>
      <c r="AQ119" s="507"/>
      <c r="AR119" s="507"/>
      <c r="AS119" s="507"/>
      <c r="AT119" s="507"/>
      <c r="AU119" s="507"/>
      <c r="AV119" s="507"/>
      <c r="AW119" s="507"/>
      <c r="AX119" s="507"/>
      <c r="AY119" s="507"/>
      <c r="AZ119" s="507"/>
      <c r="BA119" s="507"/>
      <c r="BB119" s="507"/>
      <c r="BC119" s="507"/>
      <c r="BD119" s="507"/>
      <c r="BE119" s="547" t="s">
        <v>1012</v>
      </c>
      <c r="BF119" s="213"/>
      <c r="BG119" s="97"/>
      <c r="BH119" s="280" t="s">
        <v>1013</v>
      </c>
    </row>
    <row r="120" spans="1:60" s="6" customFormat="1" ht="57.6" customHeight="1" x14ac:dyDescent="0.3">
      <c r="A120" s="499"/>
      <c r="B120" s="599"/>
      <c r="C120" s="432" t="s">
        <v>51</v>
      </c>
      <c r="D120" s="461" t="s">
        <v>552</v>
      </c>
      <c r="E120" s="461" t="s">
        <v>193</v>
      </c>
      <c r="F120" s="503" t="s">
        <v>1014</v>
      </c>
      <c r="G120" s="503" t="s">
        <v>1015</v>
      </c>
      <c r="H120" s="503" t="s">
        <v>36</v>
      </c>
      <c r="I120" s="503" t="s">
        <v>300</v>
      </c>
      <c r="J120" s="528" t="s">
        <v>149</v>
      </c>
      <c r="K120" s="503" t="s">
        <v>149</v>
      </c>
      <c r="L120" s="503" t="s">
        <v>149</v>
      </c>
      <c r="M120" s="539"/>
      <c r="N120" s="539" t="s">
        <v>151</v>
      </c>
      <c r="O120" s="503" t="s">
        <v>1016</v>
      </c>
      <c r="P120" s="503"/>
      <c r="Q120" s="461"/>
      <c r="R120" s="499"/>
      <c r="S120" s="499" t="s">
        <v>199</v>
      </c>
      <c r="T120" s="499"/>
      <c r="U120" s="499"/>
      <c r="V120" s="499"/>
      <c r="W120" s="499"/>
      <c r="X120" s="499"/>
      <c r="Y120" s="499"/>
      <c r="Z120" s="499"/>
      <c r="AA120" s="499"/>
      <c r="AB120" s="499"/>
      <c r="AC120" s="499"/>
      <c r="AD120" s="499"/>
      <c r="AE120" s="499"/>
      <c r="AF120" s="499"/>
      <c r="AG120" s="499"/>
      <c r="AH120" s="499"/>
      <c r="AI120" s="499"/>
      <c r="AJ120" s="499"/>
      <c r="AK120" s="499"/>
      <c r="AL120" s="499"/>
      <c r="AM120" s="499"/>
      <c r="AN120" s="499"/>
      <c r="AO120" s="506"/>
      <c r="AP120" s="507"/>
      <c r="AQ120" s="507"/>
      <c r="AR120" s="507"/>
      <c r="AS120" s="507"/>
      <c r="AT120" s="507"/>
      <c r="AU120" s="507"/>
      <c r="AV120" s="507"/>
      <c r="AW120" s="507"/>
      <c r="AX120" s="507"/>
      <c r="AY120" s="507"/>
      <c r="AZ120" s="507"/>
      <c r="BA120" s="507"/>
      <c r="BB120" s="507"/>
      <c r="BC120" s="507"/>
      <c r="BD120" s="507"/>
      <c r="BE120" s="547" t="s">
        <v>1017</v>
      </c>
      <c r="BF120" s="213"/>
      <c r="BG120" s="97"/>
      <c r="BH120" s="280" t="s">
        <v>1018</v>
      </c>
    </row>
    <row r="121" spans="1:60" s="6" customFormat="1" ht="14.7" customHeight="1" x14ac:dyDescent="0.3">
      <c r="A121" s="872"/>
      <c r="B121" s="850"/>
      <c r="C121" s="823" t="s">
        <v>9</v>
      </c>
      <c r="D121" s="744" t="s">
        <v>572</v>
      </c>
      <c r="E121" s="503" t="s">
        <v>1019</v>
      </c>
      <c r="F121" s="539" t="s">
        <v>149</v>
      </c>
      <c r="G121" s="347">
        <v>0</v>
      </c>
      <c r="H121" s="539" t="s">
        <v>149</v>
      </c>
      <c r="I121" s="719" t="s">
        <v>150</v>
      </c>
      <c r="J121" s="808" t="s">
        <v>149</v>
      </c>
      <c r="K121" s="719" t="s">
        <v>149</v>
      </c>
      <c r="L121" s="719" t="s">
        <v>149</v>
      </c>
      <c r="M121" s="719"/>
      <c r="N121" s="863" t="s">
        <v>301</v>
      </c>
      <c r="O121" s="863" t="s">
        <v>1020</v>
      </c>
      <c r="P121" s="366" t="s">
        <v>1021</v>
      </c>
      <c r="Q121" s="712"/>
      <c r="R121" s="712"/>
      <c r="S121" s="714" t="s">
        <v>199</v>
      </c>
      <c r="T121" s="712"/>
      <c r="U121" s="712"/>
      <c r="V121" s="712"/>
      <c r="W121" s="712"/>
      <c r="X121" s="712"/>
      <c r="Y121" s="712"/>
      <c r="Z121" s="712"/>
      <c r="AA121" s="712"/>
      <c r="AB121" s="712"/>
      <c r="AC121" s="712"/>
      <c r="AD121" s="712"/>
      <c r="AE121" s="712"/>
      <c r="AF121" s="712"/>
      <c r="AG121" s="712"/>
      <c r="AH121" s="712"/>
      <c r="AI121" s="712"/>
      <c r="AJ121" s="712"/>
      <c r="AK121" s="712"/>
      <c r="AL121" s="712"/>
      <c r="AM121" s="714" t="s">
        <v>199</v>
      </c>
      <c r="AN121" s="712"/>
      <c r="AO121" s="506"/>
      <c r="AP121" s="507"/>
      <c r="AQ121" s="507"/>
      <c r="AR121" s="507"/>
      <c r="AS121" s="507"/>
      <c r="AT121" s="507"/>
      <c r="AU121" s="507"/>
      <c r="AV121" s="507"/>
      <c r="AW121" s="507"/>
      <c r="AX121" s="507"/>
      <c r="AY121" s="507"/>
      <c r="AZ121" s="507"/>
      <c r="BA121" s="507"/>
      <c r="BB121" s="507"/>
      <c r="BC121" s="507"/>
      <c r="BD121" s="507"/>
      <c r="BE121" s="712" t="s">
        <v>1022</v>
      </c>
      <c r="BF121" s="739"/>
      <c r="BG121" s="786"/>
      <c r="BH121" s="766" t="s">
        <v>1023</v>
      </c>
    </row>
    <row r="122" spans="1:60" s="6" customFormat="1" ht="14.7" customHeight="1" x14ac:dyDescent="0.3">
      <c r="A122" s="873"/>
      <c r="B122" s="851"/>
      <c r="C122" s="824"/>
      <c r="D122" s="745"/>
      <c r="E122" s="503" t="s">
        <v>1024</v>
      </c>
      <c r="F122" s="539" t="s">
        <v>149</v>
      </c>
      <c r="G122" s="347">
        <v>1</v>
      </c>
      <c r="H122" s="539" t="s">
        <v>149</v>
      </c>
      <c r="I122" s="720"/>
      <c r="J122" s="819"/>
      <c r="K122" s="720"/>
      <c r="L122" s="720"/>
      <c r="M122" s="720"/>
      <c r="N122" s="864"/>
      <c r="O122" s="864"/>
      <c r="P122" s="366" t="s">
        <v>1025</v>
      </c>
      <c r="Q122" s="713"/>
      <c r="R122" s="713"/>
      <c r="S122" s="715"/>
      <c r="T122" s="713"/>
      <c r="U122" s="713"/>
      <c r="V122" s="713"/>
      <c r="W122" s="713"/>
      <c r="X122" s="713"/>
      <c r="Y122" s="713"/>
      <c r="Z122" s="713"/>
      <c r="AA122" s="713"/>
      <c r="AB122" s="713"/>
      <c r="AC122" s="713"/>
      <c r="AD122" s="713"/>
      <c r="AE122" s="713"/>
      <c r="AF122" s="713"/>
      <c r="AG122" s="713"/>
      <c r="AH122" s="713"/>
      <c r="AI122" s="713"/>
      <c r="AJ122" s="713"/>
      <c r="AK122" s="713"/>
      <c r="AL122" s="713"/>
      <c r="AM122" s="715"/>
      <c r="AN122" s="713"/>
      <c r="AO122" s="506"/>
      <c r="AP122" s="507"/>
      <c r="AQ122" s="507"/>
      <c r="AR122" s="507"/>
      <c r="AS122" s="507"/>
      <c r="AT122" s="507"/>
      <c r="AU122" s="507"/>
      <c r="AV122" s="507"/>
      <c r="AW122" s="507"/>
      <c r="AX122" s="507"/>
      <c r="AY122" s="507"/>
      <c r="AZ122" s="507"/>
      <c r="BA122" s="507"/>
      <c r="BB122" s="507"/>
      <c r="BC122" s="507"/>
      <c r="BD122" s="507"/>
      <c r="BE122" s="721"/>
      <c r="BF122" s="740"/>
      <c r="BG122" s="787"/>
      <c r="BH122" s="1013"/>
    </row>
    <row r="123" spans="1:60" s="6" customFormat="1" ht="15" customHeight="1" x14ac:dyDescent="0.3">
      <c r="A123" s="872"/>
      <c r="B123" s="850"/>
      <c r="C123" s="823" t="s">
        <v>9</v>
      </c>
      <c r="D123" s="744" t="s">
        <v>577</v>
      </c>
      <c r="E123" s="503" t="s">
        <v>1019</v>
      </c>
      <c r="F123" s="539" t="s">
        <v>149</v>
      </c>
      <c r="G123" s="347">
        <v>0</v>
      </c>
      <c r="H123" s="539" t="s">
        <v>149</v>
      </c>
      <c r="I123" s="719" t="s">
        <v>150</v>
      </c>
      <c r="J123" s="808" t="s">
        <v>149</v>
      </c>
      <c r="K123" s="719" t="s">
        <v>149</v>
      </c>
      <c r="L123" s="719" t="s">
        <v>149</v>
      </c>
      <c r="M123" s="719"/>
      <c r="N123" s="863" t="s">
        <v>301</v>
      </c>
      <c r="O123" s="863" t="s">
        <v>1026</v>
      </c>
      <c r="P123" s="366" t="s">
        <v>1021</v>
      </c>
      <c r="Q123" s="712"/>
      <c r="R123" s="712"/>
      <c r="S123" s="714" t="s">
        <v>199</v>
      </c>
      <c r="T123" s="712"/>
      <c r="U123" s="712"/>
      <c r="V123" s="712"/>
      <c r="W123" s="712"/>
      <c r="X123" s="712"/>
      <c r="Y123" s="712"/>
      <c r="Z123" s="712"/>
      <c r="AA123" s="712"/>
      <c r="AB123" s="712"/>
      <c r="AC123" s="712"/>
      <c r="AD123" s="712"/>
      <c r="AE123" s="712"/>
      <c r="AF123" s="712"/>
      <c r="AG123" s="712"/>
      <c r="AH123" s="712"/>
      <c r="AI123" s="712"/>
      <c r="AJ123" s="712"/>
      <c r="AK123" s="712"/>
      <c r="AL123" s="712"/>
      <c r="AM123" s="714" t="s">
        <v>199</v>
      </c>
      <c r="AN123" s="712"/>
      <c r="AO123" s="506"/>
      <c r="AP123" s="507"/>
      <c r="AQ123" s="507"/>
      <c r="AR123" s="507"/>
      <c r="AS123" s="507"/>
      <c r="AT123" s="507"/>
      <c r="AU123" s="507"/>
      <c r="AV123" s="507"/>
      <c r="AW123" s="507"/>
      <c r="AX123" s="507"/>
      <c r="AY123" s="507"/>
      <c r="AZ123" s="507"/>
      <c r="BA123" s="507"/>
      <c r="BB123" s="507"/>
      <c r="BC123" s="507"/>
      <c r="BD123" s="507"/>
      <c r="BE123" s="721"/>
      <c r="BF123" s="739"/>
      <c r="BG123" s="786"/>
      <c r="BH123" s="1013"/>
    </row>
    <row r="124" spans="1:60" s="6" customFormat="1" ht="15" customHeight="1" x14ac:dyDescent="0.3">
      <c r="A124" s="873"/>
      <c r="B124" s="851"/>
      <c r="C124" s="824"/>
      <c r="D124" s="745"/>
      <c r="E124" s="503" t="s">
        <v>1024</v>
      </c>
      <c r="F124" s="539" t="s">
        <v>149</v>
      </c>
      <c r="G124" s="347">
        <v>1</v>
      </c>
      <c r="H124" s="539" t="s">
        <v>149</v>
      </c>
      <c r="I124" s="720"/>
      <c r="J124" s="819"/>
      <c r="K124" s="720"/>
      <c r="L124" s="720"/>
      <c r="M124" s="720"/>
      <c r="N124" s="864"/>
      <c r="O124" s="864"/>
      <c r="P124" s="366" t="s">
        <v>1025</v>
      </c>
      <c r="Q124" s="713"/>
      <c r="R124" s="713"/>
      <c r="S124" s="715"/>
      <c r="T124" s="713"/>
      <c r="U124" s="713"/>
      <c r="V124" s="713"/>
      <c r="W124" s="713"/>
      <c r="X124" s="713"/>
      <c r="Y124" s="713"/>
      <c r="Z124" s="713"/>
      <c r="AA124" s="713"/>
      <c r="AB124" s="713"/>
      <c r="AC124" s="713"/>
      <c r="AD124" s="713"/>
      <c r="AE124" s="713"/>
      <c r="AF124" s="713"/>
      <c r="AG124" s="713"/>
      <c r="AH124" s="713"/>
      <c r="AI124" s="713"/>
      <c r="AJ124" s="713"/>
      <c r="AK124" s="713"/>
      <c r="AL124" s="713"/>
      <c r="AM124" s="715"/>
      <c r="AN124" s="713"/>
      <c r="AO124" s="506"/>
      <c r="AP124" s="507"/>
      <c r="AQ124" s="507"/>
      <c r="AR124" s="507"/>
      <c r="AS124" s="507"/>
      <c r="AT124" s="507"/>
      <c r="AU124" s="507"/>
      <c r="AV124" s="507"/>
      <c r="AW124" s="507"/>
      <c r="AX124" s="507"/>
      <c r="AY124" s="507"/>
      <c r="AZ124" s="507"/>
      <c r="BA124" s="507"/>
      <c r="BB124" s="507"/>
      <c r="BC124" s="507"/>
      <c r="BD124" s="507"/>
      <c r="BE124" s="713"/>
      <c r="BF124" s="740"/>
      <c r="BG124" s="787"/>
      <c r="BH124" s="1014"/>
    </row>
    <row r="125" spans="1:60" s="6" customFormat="1" ht="28.95" customHeight="1" x14ac:dyDescent="0.3">
      <c r="A125" s="499"/>
      <c r="B125" s="599"/>
      <c r="C125" s="528" t="s">
        <v>835</v>
      </c>
      <c r="D125" s="528" t="s">
        <v>1027</v>
      </c>
      <c r="E125" s="528" t="s">
        <v>790</v>
      </c>
      <c r="F125" s="503">
        <v>0</v>
      </c>
      <c r="G125" s="503">
        <v>0</v>
      </c>
      <c r="H125" s="503" t="s">
        <v>149</v>
      </c>
      <c r="I125" s="503" t="s">
        <v>150</v>
      </c>
      <c r="J125" s="528" t="s">
        <v>149</v>
      </c>
      <c r="K125" s="503" t="s">
        <v>149</v>
      </c>
      <c r="L125" s="503" t="s">
        <v>149</v>
      </c>
      <c r="M125" s="503"/>
      <c r="N125" s="503" t="s">
        <v>151</v>
      </c>
      <c r="O125" s="503" t="s">
        <v>1028</v>
      </c>
      <c r="P125" s="503" t="s">
        <v>1029</v>
      </c>
      <c r="Q125" s="528"/>
      <c r="R125" s="499" t="s">
        <v>199</v>
      </c>
      <c r="S125" s="532"/>
      <c r="T125" s="532"/>
      <c r="U125" s="499"/>
      <c r="V125" s="499"/>
      <c r="W125" s="499"/>
      <c r="X125" s="499"/>
      <c r="Y125" s="499"/>
      <c r="Z125" s="499"/>
      <c r="AA125" s="499"/>
      <c r="AB125" s="499"/>
      <c r="AC125" s="499"/>
      <c r="AD125" s="499"/>
      <c r="AE125" s="499"/>
      <c r="AF125" s="499"/>
      <c r="AG125" s="499"/>
      <c r="AH125" s="499"/>
      <c r="AI125" s="499"/>
      <c r="AJ125" s="499"/>
      <c r="AK125" s="499"/>
      <c r="AL125" s="499"/>
      <c r="AM125" s="499"/>
      <c r="AN125" s="499"/>
      <c r="AO125" s="506"/>
      <c r="AP125" s="507"/>
      <c r="AQ125" s="507"/>
      <c r="AR125" s="507"/>
      <c r="AS125" s="507"/>
      <c r="AT125" s="507"/>
      <c r="AU125" s="507"/>
      <c r="AV125" s="507"/>
      <c r="AW125" s="507"/>
      <c r="AX125" s="507"/>
      <c r="AY125" s="507"/>
      <c r="AZ125" s="507"/>
      <c r="BA125" s="507"/>
      <c r="BB125" s="507"/>
      <c r="BC125" s="507"/>
      <c r="BD125" s="507"/>
      <c r="BE125" s="547" t="s">
        <v>1030</v>
      </c>
      <c r="BF125" s="213"/>
      <c r="BG125" s="97"/>
      <c r="BH125" s="281"/>
    </row>
    <row r="126" spans="1:60" s="27" customFormat="1" ht="14.4" customHeight="1" x14ac:dyDescent="0.3">
      <c r="A126" s="383" t="s">
        <v>1031</v>
      </c>
      <c r="B126" s="452"/>
      <c r="C126" s="506"/>
      <c r="D126" s="506"/>
      <c r="E126" s="506"/>
      <c r="F126" s="497"/>
      <c r="G126" s="497"/>
      <c r="H126" s="497"/>
      <c r="I126" s="497"/>
      <c r="J126" s="497"/>
      <c r="K126" s="580"/>
      <c r="L126" s="580"/>
      <c r="M126" s="497"/>
      <c r="N126" s="497"/>
      <c r="O126" s="497"/>
      <c r="P126" s="497"/>
      <c r="Q126" s="506"/>
      <c r="R126" s="506"/>
      <c r="S126" s="506"/>
      <c r="T126" s="581"/>
      <c r="U126" s="581"/>
      <c r="V126" s="581"/>
      <c r="W126" s="581"/>
      <c r="X126" s="581"/>
      <c r="Y126" s="506"/>
      <c r="Z126" s="581"/>
      <c r="AA126" s="581"/>
      <c r="AB126" s="581"/>
      <c r="AC126" s="581"/>
      <c r="AD126" s="581"/>
      <c r="AE126" s="581"/>
      <c r="AF126" s="581"/>
      <c r="AG126" s="581"/>
      <c r="AH126" s="581"/>
      <c r="AI126" s="581"/>
      <c r="AJ126" s="581"/>
      <c r="AK126" s="581"/>
      <c r="AL126" s="581"/>
      <c r="AM126" s="581"/>
      <c r="AN126" s="581"/>
      <c r="AO126" s="581"/>
      <c r="AP126" s="581"/>
      <c r="AQ126" s="581"/>
      <c r="AR126" s="581"/>
      <c r="AS126" s="581"/>
      <c r="AT126" s="581"/>
      <c r="AU126" s="581"/>
      <c r="AV126" s="581"/>
      <c r="AW126" s="581"/>
      <c r="AX126" s="581"/>
      <c r="AY126" s="581"/>
      <c r="AZ126" s="581"/>
      <c r="BA126" s="581"/>
      <c r="BB126" s="581"/>
      <c r="BC126" s="581"/>
      <c r="BD126" s="581"/>
      <c r="BE126" s="581"/>
      <c r="BF126" s="335"/>
      <c r="BG126" s="72"/>
      <c r="BH126" s="281"/>
    </row>
    <row r="127" spans="1:60" s="19" customFormat="1" ht="39" customHeight="1" x14ac:dyDescent="0.3">
      <c r="A127" s="588"/>
      <c r="B127" s="604"/>
      <c r="C127" s="555" t="s">
        <v>51</v>
      </c>
      <c r="D127" s="503" t="s">
        <v>1032</v>
      </c>
      <c r="E127" s="432" t="s">
        <v>1033</v>
      </c>
      <c r="F127" s="395" t="s">
        <v>149</v>
      </c>
      <c r="G127" s="503">
        <v>1</v>
      </c>
      <c r="H127" s="503" t="s">
        <v>149</v>
      </c>
      <c r="I127" s="503" t="s">
        <v>150</v>
      </c>
      <c r="J127" s="528" t="s">
        <v>149</v>
      </c>
      <c r="K127" s="528" t="s">
        <v>149</v>
      </c>
      <c r="L127" s="503" t="s">
        <v>149</v>
      </c>
      <c r="M127" s="539"/>
      <c r="N127" s="549" t="s">
        <v>151</v>
      </c>
      <c r="O127" s="539" t="s">
        <v>1034</v>
      </c>
      <c r="P127" s="549" t="s">
        <v>1035</v>
      </c>
      <c r="Q127" s="432"/>
      <c r="R127" s="499" t="s">
        <v>199</v>
      </c>
      <c r="S127" s="499"/>
      <c r="T127" s="503"/>
      <c r="U127" s="503"/>
      <c r="V127" s="503"/>
      <c r="W127" s="503"/>
      <c r="X127" s="503"/>
      <c r="Y127" s="503"/>
      <c r="Z127" s="503"/>
      <c r="AA127" s="503"/>
      <c r="AB127" s="503"/>
      <c r="AC127" s="503"/>
      <c r="AD127" s="503"/>
      <c r="AE127" s="503"/>
      <c r="AF127" s="503"/>
      <c r="AG127" s="503"/>
      <c r="AH127" s="503"/>
      <c r="AI127" s="503"/>
      <c r="AJ127" s="503"/>
      <c r="AK127" s="503"/>
      <c r="AL127" s="503"/>
      <c r="AM127" s="503"/>
      <c r="AN127" s="503"/>
      <c r="AO127" s="580"/>
      <c r="AP127" s="587"/>
      <c r="AQ127" s="587"/>
      <c r="AR127" s="587"/>
      <c r="AS127" s="587"/>
      <c r="AT127" s="587"/>
      <c r="AU127" s="587"/>
      <c r="AV127" s="587"/>
      <c r="AW127" s="587"/>
      <c r="AX127" s="587"/>
      <c r="AY127" s="587"/>
      <c r="AZ127" s="587"/>
      <c r="BA127" s="587"/>
      <c r="BB127" s="587"/>
      <c r="BC127" s="587"/>
      <c r="BD127" s="587"/>
      <c r="BE127" s="545" t="s">
        <v>1036</v>
      </c>
      <c r="BF127" s="213"/>
      <c r="BG127" s="97"/>
      <c r="BH127" s="300" t="s">
        <v>1037</v>
      </c>
    </row>
    <row r="128" spans="1:60" s="19" customFormat="1" ht="63.75" customHeight="1" x14ac:dyDescent="0.3">
      <c r="A128" s="588"/>
      <c r="B128" s="604"/>
      <c r="C128" s="555" t="s">
        <v>51</v>
      </c>
      <c r="D128" s="503" t="s">
        <v>1038</v>
      </c>
      <c r="E128" s="432" t="s">
        <v>148</v>
      </c>
      <c r="F128" s="395" t="s">
        <v>149</v>
      </c>
      <c r="G128" s="503">
        <v>1</v>
      </c>
      <c r="H128" s="503" t="s">
        <v>149</v>
      </c>
      <c r="I128" s="503" t="s">
        <v>150</v>
      </c>
      <c r="J128" s="528" t="s">
        <v>149</v>
      </c>
      <c r="K128" s="528" t="s">
        <v>149</v>
      </c>
      <c r="L128" s="503" t="s">
        <v>149</v>
      </c>
      <c r="M128" s="539"/>
      <c r="N128" s="549" t="s">
        <v>151</v>
      </c>
      <c r="O128" s="539" t="s">
        <v>1039</v>
      </c>
      <c r="P128" s="549" t="s">
        <v>1040</v>
      </c>
      <c r="Q128" s="432"/>
      <c r="R128" s="499" t="s">
        <v>199</v>
      </c>
      <c r="S128" s="499"/>
      <c r="T128" s="503"/>
      <c r="U128" s="503"/>
      <c r="V128" s="503"/>
      <c r="W128" s="503"/>
      <c r="X128" s="503"/>
      <c r="Y128" s="503"/>
      <c r="Z128" s="503"/>
      <c r="AA128" s="503"/>
      <c r="AB128" s="503"/>
      <c r="AC128" s="503"/>
      <c r="AD128" s="503"/>
      <c r="AE128" s="503"/>
      <c r="AF128" s="503"/>
      <c r="AG128" s="503"/>
      <c r="AH128" s="503"/>
      <c r="AI128" s="503"/>
      <c r="AJ128" s="503"/>
      <c r="AK128" s="503"/>
      <c r="AL128" s="503"/>
      <c r="AM128" s="503"/>
      <c r="AN128" s="503"/>
      <c r="AO128" s="580"/>
      <c r="AP128" s="587"/>
      <c r="AQ128" s="587"/>
      <c r="AR128" s="587"/>
      <c r="AS128" s="587"/>
      <c r="AT128" s="587"/>
      <c r="AU128" s="587"/>
      <c r="AV128" s="587"/>
      <c r="AW128" s="587"/>
      <c r="AX128" s="587"/>
      <c r="AY128" s="587"/>
      <c r="AZ128" s="587"/>
      <c r="BA128" s="587"/>
      <c r="BB128" s="587"/>
      <c r="BC128" s="587"/>
      <c r="BD128" s="587"/>
      <c r="BE128" s="545" t="s">
        <v>1041</v>
      </c>
      <c r="BF128" s="213"/>
      <c r="BG128" s="97"/>
      <c r="BH128" s="300" t="s">
        <v>1042</v>
      </c>
    </row>
    <row r="129" spans="1:60" s="19" customFormat="1" ht="47.25" customHeight="1" x14ac:dyDescent="0.3">
      <c r="A129" s="588"/>
      <c r="B129" s="604"/>
      <c r="C129" s="555" t="s">
        <v>51</v>
      </c>
      <c r="D129" s="503" t="s">
        <v>1043</v>
      </c>
      <c r="E129" s="432" t="s">
        <v>193</v>
      </c>
      <c r="F129" s="395" t="s">
        <v>149</v>
      </c>
      <c r="G129" s="528" t="s">
        <v>1044</v>
      </c>
      <c r="H129" s="503" t="s">
        <v>149</v>
      </c>
      <c r="I129" s="503" t="s">
        <v>150</v>
      </c>
      <c r="J129" s="528" t="s">
        <v>149</v>
      </c>
      <c r="K129" s="528" t="s">
        <v>149</v>
      </c>
      <c r="L129" s="503" t="s">
        <v>149</v>
      </c>
      <c r="M129" s="539"/>
      <c r="N129" s="549" t="s">
        <v>151</v>
      </c>
      <c r="O129" s="539" t="s">
        <v>1045</v>
      </c>
      <c r="P129" s="549" t="s">
        <v>1046</v>
      </c>
      <c r="Q129" s="432"/>
      <c r="R129" s="499"/>
      <c r="S129" s="499"/>
      <c r="T129" s="503"/>
      <c r="U129" s="503"/>
      <c r="V129" s="503"/>
      <c r="W129" s="503"/>
      <c r="X129" s="503"/>
      <c r="Y129" s="503"/>
      <c r="Z129" s="503"/>
      <c r="AA129" s="503"/>
      <c r="AB129" s="503"/>
      <c r="AC129" s="503"/>
      <c r="AD129" s="503"/>
      <c r="AE129" s="503"/>
      <c r="AF129" s="503"/>
      <c r="AG129" s="503"/>
      <c r="AH129" s="503"/>
      <c r="AI129" s="503"/>
      <c r="AJ129" s="503"/>
      <c r="AK129" s="503"/>
      <c r="AL129" s="503"/>
      <c r="AM129" s="503" t="s">
        <v>199</v>
      </c>
      <c r="AN129" s="503"/>
      <c r="AO129" s="580"/>
      <c r="AP129" s="587"/>
      <c r="AQ129" s="587"/>
      <c r="AR129" s="587"/>
      <c r="AS129" s="587"/>
      <c r="AT129" s="587"/>
      <c r="AU129" s="587"/>
      <c r="AV129" s="587"/>
      <c r="AW129" s="587"/>
      <c r="AX129" s="587"/>
      <c r="AY129" s="587"/>
      <c r="AZ129" s="587"/>
      <c r="BA129" s="587"/>
      <c r="BB129" s="587"/>
      <c r="BC129" s="587"/>
      <c r="BD129" s="587"/>
      <c r="BE129" s="545" t="s">
        <v>1047</v>
      </c>
      <c r="BF129" s="213"/>
      <c r="BG129" s="97"/>
      <c r="BH129" s="267" t="s">
        <v>1048</v>
      </c>
    </row>
    <row r="130" spans="1:60" s="19" customFormat="1" ht="14.7" customHeight="1" x14ac:dyDescent="0.3">
      <c r="A130" s="712"/>
      <c r="B130" s="981"/>
      <c r="C130" s="830" t="s">
        <v>51</v>
      </c>
      <c r="D130" s="503" t="s">
        <v>1049</v>
      </c>
      <c r="E130" s="432" t="s">
        <v>148</v>
      </c>
      <c r="F130" s="395" t="s">
        <v>149</v>
      </c>
      <c r="G130" s="503">
        <v>0</v>
      </c>
      <c r="H130" s="503" t="s">
        <v>149</v>
      </c>
      <c r="I130" s="503" t="s">
        <v>150</v>
      </c>
      <c r="J130" s="528" t="s">
        <v>149</v>
      </c>
      <c r="K130" s="528" t="s">
        <v>149</v>
      </c>
      <c r="L130" s="503" t="s">
        <v>149</v>
      </c>
      <c r="M130" s="719" t="s">
        <v>270</v>
      </c>
      <c r="N130" s="719" t="s">
        <v>151</v>
      </c>
      <c r="O130" s="719" t="s">
        <v>1050</v>
      </c>
      <c r="P130" s="550" t="s">
        <v>1051</v>
      </c>
      <c r="Q130" s="719"/>
      <c r="R130" s="719"/>
      <c r="S130" s="714" t="s">
        <v>199</v>
      </c>
      <c r="T130" s="719"/>
      <c r="U130" s="719"/>
      <c r="V130" s="719"/>
      <c r="W130" s="719"/>
      <c r="X130" s="719"/>
      <c r="Y130" s="719"/>
      <c r="Z130" s="719"/>
      <c r="AA130" s="719"/>
      <c r="AB130" s="719"/>
      <c r="AC130" s="719"/>
      <c r="AD130" s="719"/>
      <c r="AE130" s="719"/>
      <c r="AF130" s="719"/>
      <c r="AG130" s="719"/>
      <c r="AH130" s="719"/>
      <c r="AI130" s="719"/>
      <c r="AJ130" s="719"/>
      <c r="AK130" s="719"/>
      <c r="AL130" s="719"/>
      <c r="AM130" s="719"/>
      <c r="AN130" s="719"/>
      <c r="AO130" s="1002"/>
      <c r="AP130" s="741"/>
      <c r="AQ130" s="619"/>
      <c r="AR130" s="741"/>
      <c r="AS130" s="619"/>
      <c r="AT130" s="619"/>
      <c r="AU130" s="619"/>
      <c r="AV130" s="619"/>
      <c r="AW130" s="619"/>
      <c r="AX130" s="619"/>
      <c r="AY130" s="619"/>
      <c r="AZ130" s="619"/>
      <c r="BA130" s="741"/>
      <c r="BB130" s="741"/>
      <c r="BC130" s="741"/>
      <c r="BD130" s="741"/>
      <c r="BE130" s="776" t="s">
        <v>1052</v>
      </c>
      <c r="BF130" s="739"/>
      <c r="BG130" s="786"/>
      <c r="BH130" s="785" t="s">
        <v>1053</v>
      </c>
    </row>
    <row r="131" spans="1:60" s="19" customFormat="1" ht="14.7" customHeight="1" x14ac:dyDescent="0.3">
      <c r="A131" s="713"/>
      <c r="B131" s="982"/>
      <c r="C131" s="831"/>
      <c r="D131" s="503" t="s">
        <v>1054</v>
      </c>
      <c r="E131" s="432" t="s">
        <v>790</v>
      </c>
      <c r="F131" s="503" t="s">
        <v>149</v>
      </c>
      <c r="G131" s="500">
        <v>0</v>
      </c>
      <c r="H131" s="503" t="s">
        <v>149</v>
      </c>
      <c r="I131" s="503" t="s">
        <v>150</v>
      </c>
      <c r="J131" s="503" t="s">
        <v>149</v>
      </c>
      <c r="K131" s="503" t="s">
        <v>149</v>
      </c>
      <c r="L131" s="503" t="s">
        <v>149</v>
      </c>
      <c r="M131" s="720"/>
      <c r="N131" s="720"/>
      <c r="O131" s="720"/>
      <c r="P131" s="550" t="s">
        <v>1055</v>
      </c>
      <c r="Q131" s="720"/>
      <c r="R131" s="720"/>
      <c r="S131" s="818"/>
      <c r="T131" s="720"/>
      <c r="U131" s="720"/>
      <c r="V131" s="720"/>
      <c r="W131" s="720"/>
      <c r="X131" s="720"/>
      <c r="Y131" s="720"/>
      <c r="Z131" s="720"/>
      <c r="AA131" s="720"/>
      <c r="AB131" s="720"/>
      <c r="AC131" s="720"/>
      <c r="AD131" s="720"/>
      <c r="AE131" s="720"/>
      <c r="AF131" s="720"/>
      <c r="AG131" s="720"/>
      <c r="AH131" s="720"/>
      <c r="AI131" s="720"/>
      <c r="AJ131" s="720"/>
      <c r="AK131" s="720"/>
      <c r="AL131" s="720"/>
      <c r="AM131" s="720"/>
      <c r="AN131" s="720"/>
      <c r="AO131" s="1003"/>
      <c r="AP131" s="750"/>
      <c r="AQ131" s="621"/>
      <c r="AR131" s="750"/>
      <c r="AS131" s="621"/>
      <c r="AT131" s="621"/>
      <c r="AU131" s="621"/>
      <c r="AV131" s="621"/>
      <c r="AW131" s="621"/>
      <c r="AX131" s="621"/>
      <c r="AY131" s="621"/>
      <c r="AZ131" s="621"/>
      <c r="BA131" s="750"/>
      <c r="BB131" s="750"/>
      <c r="BC131" s="750"/>
      <c r="BD131" s="750"/>
      <c r="BE131" s="793"/>
      <c r="BF131" s="740"/>
      <c r="BG131" s="787"/>
      <c r="BH131" s="986"/>
    </row>
    <row r="132" spans="1:60" s="93" customFormat="1" ht="18.75" customHeight="1" x14ac:dyDescent="0.3">
      <c r="A132" s="588"/>
      <c r="B132" s="604"/>
      <c r="C132" s="466" t="s">
        <v>51</v>
      </c>
      <c r="D132" s="503" t="s">
        <v>1056</v>
      </c>
      <c r="E132" s="503" t="s">
        <v>193</v>
      </c>
      <c r="F132" s="539" t="s">
        <v>1057</v>
      </c>
      <c r="G132" s="539" t="s">
        <v>1058</v>
      </c>
      <c r="H132" s="539" t="s">
        <v>196</v>
      </c>
      <c r="I132" s="539" t="s">
        <v>300</v>
      </c>
      <c r="J132" s="539" t="s">
        <v>149</v>
      </c>
      <c r="K132" s="539" t="s">
        <v>381</v>
      </c>
      <c r="L132" s="503" t="s">
        <v>149</v>
      </c>
      <c r="M132" s="539"/>
      <c r="N132" s="539" t="s">
        <v>151</v>
      </c>
      <c r="O132" s="539" t="s">
        <v>1059</v>
      </c>
      <c r="P132" s="719" t="s">
        <v>1060</v>
      </c>
      <c r="Q132" s="503"/>
      <c r="R132" s="503"/>
      <c r="S132" s="503" t="s">
        <v>199</v>
      </c>
      <c r="T132" s="499"/>
      <c r="U132" s="499"/>
      <c r="V132" s="499"/>
      <c r="W132" s="499"/>
      <c r="X132" s="499"/>
      <c r="Y132" s="499"/>
      <c r="Z132" s="499"/>
      <c r="AA132" s="499"/>
      <c r="AB132" s="499"/>
      <c r="AC132" s="499"/>
      <c r="AD132" s="499"/>
      <c r="AE132" s="499"/>
      <c r="AF132" s="499"/>
      <c r="AG132" s="499"/>
      <c r="AH132" s="499"/>
      <c r="AI132" s="499"/>
      <c r="AJ132" s="499"/>
      <c r="AK132" s="499"/>
      <c r="AL132" s="499"/>
      <c r="AM132" s="499"/>
      <c r="AN132" s="499"/>
      <c r="AO132" s="506"/>
      <c r="AP132" s="507"/>
      <c r="AQ132" s="507"/>
      <c r="AR132" s="507"/>
      <c r="AS132" s="507"/>
      <c r="AT132" s="507"/>
      <c r="AU132" s="507"/>
      <c r="AV132" s="507"/>
      <c r="AW132" s="507"/>
      <c r="AX132" s="507"/>
      <c r="AY132" s="507"/>
      <c r="AZ132" s="507"/>
      <c r="BA132" s="507"/>
      <c r="BB132" s="507"/>
      <c r="BC132" s="507"/>
      <c r="BD132" s="507"/>
      <c r="BE132" s="776" t="s">
        <v>1061</v>
      </c>
      <c r="BF132" s="213"/>
      <c r="BG132" s="97"/>
      <c r="BH132" s="201" t="s">
        <v>1048</v>
      </c>
    </row>
    <row r="133" spans="1:60" s="93" customFormat="1" ht="18.75" customHeight="1" x14ac:dyDescent="0.3">
      <c r="A133" s="588"/>
      <c r="B133" s="604"/>
      <c r="C133" s="466" t="s">
        <v>51</v>
      </c>
      <c r="D133" s="503" t="s">
        <v>1062</v>
      </c>
      <c r="E133" s="503" t="s">
        <v>193</v>
      </c>
      <c r="F133" s="539" t="s">
        <v>1057</v>
      </c>
      <c r="G133" s="539" t="s">
        <v>1058</v>
      </c>
      <c r="H133" s="539" t="s">
        <v>196</v>
      </c>
      <c r="I133" s="539" t="s">
        <v>300</v>
      </c>
      <c r="J133" s="539" t="s">
        <v>149</v>
      </c>
      <c r="K133" s="539" t="s">
        <v>381</v>
      </c>
      <c r="L133" s="503" t="s">
        <v>149</v>
      </c>
      <c r="M133" s="539"/>
      <c r="N133" s="539" t="s">
        <v>151</v>
      </c>
      <c r="O133" s="539" t="s">
        <v>1063</v>
      </c>
      <c r="P133" s="746"/>
      <c r="Q133" s="503"/>
      <c r="R133" s="503"/>
      <c r="S133" s="503" t="s">
        <v>199</v>
      </c>
      <c r="T133" s="499"/>
      <c r="U133" s="499"/>
      <c r="V133" s="499"/>
      <c r="W133" s="499"/>
      <c r="X133" s="499"/>
      <c r="Y133" s="499"/>
      <c r="Z133" s="499"/>
      <c r="AA133" s="499"/>
      <c r="AB133" s="499"/>
      <c r="AC133" s="499"/>
      <c r="AD133" s="499"/>
      <c r="AE133" s="499"/>
      <c r="AF133" s="499"/>
      <c r="AG133" s="499"/>
      <c r="AH133" s="499"/>
      <c r="AI133" s="499"/>
      <c r="AJ133" s="499"/>
      <c r="AK133" s="499"/>
      <c r="AL133" s="499"/>
      <c r="AM133" s="499"/>
      <c r="AN133" s="499"/>
      <c r="AO133" s="506"/>
      <c r="AP133" s="507"/>
      <c r="AQ133" s="507"/>
      <c r="AR133" s="507"/>
      <c r="AS133" s="507"/>
      <c r="AT133" s="507"/>
      <c r="AU133" s="507"/>
      <c r="AV133" s="507"/>
      <c r="AW133" s="507"/>
      <c r="AX133" s="507"/>
      <c r="AY133" s="507"/>
      <c r="AZ133" s="507"/>
      <c r="BA133" s="507"/>
      <c r="BB133" s="507"/>
      <c r="BC133" s="507"/>
      <c r="BD133" s="507"/>
      <c r="BE133" s="777"/>
      <c r="BF133" s="213"/>
      <c r="BG133" s="97"/>
      <c r="BH133" s="201" t="s">
        <v>1048</v>
      </c>
    </row>
    <row r="134" spans="1:60" s="93" customFormat="1" ht="18.75" customHeight="1" x14ac:dyDescent="0.3">
      <c r="A134" s="588"/>
      <c r="B134" s="604"/>
      <c r="C134" s="466" t="s">
        <v>51</v>
      </c>
      <c r="D134" s="503" t="s">
        <v>1064</v>
      </c>
      <c r="E134" s="503" t="s">
        <v>193</v>
      </c>
      <c r="F134" s="539" t="s">
        <v>1057</v>
      </c>
      <c r="G134" s="539" t="s">
        <v>1058</v>
      </c>
      <c r="H134" s="539" t="s">
        <v>196</v>
      </c>
      <c r="I134" s="539" t="s">
        <v>300</v>
      </c>
      <c r="J134" s="539" t="s">
        <v>149</v>
      </c>
      <c r="K134" s="539" t="s">
        <v>381</v>
      </c>
      <c r="L134" s="503" t="s">
        <v>149</v>
      </c>
      <c r="M134" s="539"/>
      <c r="N134" s="539" t="s">
        <v>151</v>
      </c>
      <c r="O134" s="539" t="s">
        <v>1065</v>
      </c>
      <c r="P134" s="720"/>
      <c r="Q134" s="503"/>
      <c r="R134" s="503"/>
      <c r="S134" s="503" t="s">
        <v>199</v>
      </c>
      <c r="T134" s="499"/>
      <c r="U134" s="499"/>
      <c r="V134" s="499"/>
      <c r="W134" s="499"/>
      <c r="X134" s="499"/>
      <c r="Y134" s="499"/>
      <c r="Z134" s="499"/>
      <c r="AA134" s="499"/>
      <c r="AB134" s="499"/>
      <c r="AC134" s="499"/>
      <c r="AD134" s="499"/>
      <c r="AE134" s="499"/>
      <c r="AF134" s="499"/>
      <c r="AG134" s="499"/>
      <c r="AH134" s="499"/>
      <c r="AI134" s="499"/>
      <c r="AJ134" s="499"/>
      <c r="AK134" s="499"/>
      <c r="AL134" s="499"/>
      <c r="AM134" s="499"/>
      <c r="AN134" s="499"/>
      <c r="AO134" s="506"/>
      <c r="AP134" s="507"/>
      <c r="AQ134" s="507"/>
      <c r="AR134" s="507"/>
      <c r="AS134" s="507"/>
      <c r="AT134" s="507"/>
      <c r="AU134" s="507"/>
      <c r="AV134" s="507"/>
      <c r="AW134" s="507"/>
      <c r="AX134" s="507"/>
      <c r="AY134" s="507"/>
      <c r="AZ134" s="507"/>
      <c r="BA134" s="507"/>
      <c r="BB134" s="507"/>
      <c r="BC134" s="507"/>
      <c r="BD134" s="507"/>
      <c r="BE134" s="793"/>
      <c r="BF134" s="213"/>
      <c r="BG134" s="97"/>
      <c r="BH134" s="201" t="s">
        <v>1048</v>
      </c>
    </row>
    <row r="135" spans="1:60" s="93" customFormat="1" ht="18.75" customHeight="1" x14ac:dyDescent="0.3">
      <c r="A135" s="588"/>
      <c r="B135" s="604"/>
      <c r="C135" s="466" t="s">
        <v>51</v>
      </c>
      <c r="D135" s="503" t="s">
        <v>1056</v>
      </c>
      <c r="E135" s="503" t="s">
        <v>193</v>
      </c>
      <c r="F135" s="539" t="s">
        <v>1066</v>
      </c>
      <c r="G135" s="539" t="s">
        <v>899</v>
      </c>
      <c r="H135" s="539" t="s">
        <v>196</v>
      </c>
      <c r="I135" s="539" t="s">
        <v>300</v>
      </c>
      <c r="J135" s="539" t="s">
        <v>149</v>
      </c>
      <c r="K135" s="539" t="s">
        <v>372</v>
      </c>
      <c r="L135" s="503" t="s">
        <v>149</v>
      </c>
      <c r="M135" s="539"/>
      <c r="N135" s="539" t="s">
        <v>151</v>
      </c>
      <c r="O135" s="539" t="s">
        <v>1067</v>
      </c>
      <c r="P135" s="719" t="s">
        <v>1068</v>
      </c>
      <c r="Q135" s="503"/>
      <c r="R135" s="503"/>
      <c r="S135" s="503" t="s">
        <v>199</v>
      </c>
      <c r="T135" s="499"/>
      <c r="U135" s="499"/>
      <c r="V135" s="499"/>
      <c r="W135" s="499"/>
      <c r="X135" s="499"/>
      <c r="Y135" s="499"/>
      <c r="Z135" s="499"/>
      <c r="AA135" s="499"/>
      <c r="AB135" s="499"/>
      <c r="AC135" s="499"/>
      <c r="AD135" s="499"/>
      <c r="AE135" s="499"/>
      <c r="AF135" s="499"/>
      <c r="AG135" s="499"/>
      <c r="AH135" s="499"/>
      <c r="AI135" s="499"/>
      <c r="AJ135" s="499"/>
      <c r="AK135" s="499"/>
      <c r="AL135" s="499"/>
      <c r="AM135" s="499"/>
      <c r="AN135" s="499"/>
      <c r="AO135" s="506"/>
      <c r="AP135" s="507"/>
      <c r="AQ135" s="507"/>
      <c r="AR135" s="507"/>
      <c r="AS135" s="507"/>
      <c r="AT135" s="507"/>
      <c r="AU135" s="507"/>
      <c r="AV135" s="507"/>
      <c r="AW135" s="507"/>
      <c r="AX135" s="507"/>
      <c r="AY135" s="507"/>
      <c r="AZ135" s="507"/>
      <c r="BA135" s="507"/>
      <c r="BB135" s="507"/>
      <c r="BC135" s="507"/>
      <c r="BD135" s="507"/>
      <c r="BE135" s="776" t="s">
        <v>1069</v>
      </c>
      <c r="BF135" s="213"/>
      <c r="BG135" s="97"/>
      <c r="BH135" s="201" t="s">
        <v>1070</v>
      </c>
    </row>
    <row r="136" spans="1:60" s="93" customFormat="1" ht="18.75" customHeight="1" x14ac:dyDescent="0.3">
      <c r="A136" s="588"/>
      <c r="B136" s="604"/>
      <c r="C136" s="466" t="s">
        <v>51</v>
      </c>
      <c r="D136" s="503" t="s">
        <v>1062</v>
      </c>
      <c r="E136" s="503" t="s">
        <v>193</v>
      </c>
      <c r="F136" s="539" t="s">
        <v>1066</v>
      </c>
      <c r="G136" s="539" t="s">
        <v>899</v>
      </c>
      <c r="H136" s="539" t="s">
        <v>196</v>
      </c>
      <c r="I136" s="539" t="s">
        <v>300</v>
      </c>
      <c r="J136" s="539" t="s">
        <v>149</v>
      </c>
      <c r="K136" s="539" t="s">
        <v>372</v>
      </c>
      <c r="L136" s="503" t="s">
        <v>149</v>
      </c>
      <c r="M136" s="539"/>
      <c r="N136" s="539" t="s">
        <v>151</v>
      </c>
      <c r="O136" s="539" t="s">
        <v>1071</v>
      </c>
      <c r="P136" s="746"/>
      <c r="Q136" s="503"/>
      <c r="R136" s="503"/>
      <c r="S136" s="503" t="s">
        <v>199</v>
      </c>
      <c r="T136" s="499"/>
      <c r="U136" s="499"/>
      <c r="V136" s="499"/>
      <c r="W136" s="499"/>
      <c r="X136" s="499"/>
      <c r="Y136" s="499"/>
      <c r="Z136" s="499"/>
      <c r="AA136" s="499"/>
      <c r="AB136" s="499"/>
      <c r="AC136" s="499"/>
      <c r="AD136" s="499"/>
      <c r="AE136" s="499"/>
      <c r="AF136" s="499"/>
      <c r="AG136" s="499"/>
      <c r="AH136" s="499"/>
      <c r="AI136" s="499"/>
      <c r="AJ136" s="499"/>
      <c r="AK136" s="499"/>
      <c r="AL136" s="499"/>
      <c r="AM136" s="499"/>
      <c r="AN136" s="499"/>
      <c r="AO136" s="506"/>
      <c r="AP136" s="507"/>
      <c r="AQ136" s="507"/>
      <c r="AR136" s="507"/>
      <c r="AS136" s="507"/>
      <c r="AT136" s="507"/>
      <c r="AU136" s="507"/>
      <c r="AV136" s="507"/>
      <c r="AW136" s="507"/>
      <c r="AX136" s="507"/>
      <c r="AY136" s="507"/>
      <c r="AZ136" s="507"/>
      <c r="BA136" s="507"/>
      <c r="BB136" s="507"/>
      <c r="BC136" s="507"/>
      <c r="BD136" s="507"/>
      <c r="BE136" s="777"/>
      <c r="BF136" s="213"/>
      <c r="BG136" s="97"/>
      <c r="BH136" s="201" t="s">
        <v>1070</v>
      </c>
    </row>
    <row r="137" spans="1:60" s="93" customFormat="1" ht="18.75" customHeight="1" x14ac:dyDescent="0.3">
      <c r="A137" s="588"/>
      <c r="B137" s="604"/>
      <c r="C137" s="466" t="s">
        <v>51</v>
      </c>
      <c r="D137" s="503" t="s">
        <v>1064</v>
      </c>
      <c r="E137" s="503" t="s">
        <v>193</v>
      </c>
      <c r="F137" s="539" t="s">
        <v>1066</v>
      </c>
      <c r="G137" s="539" t="s">
        <v>899</v>
      </c>
      <c r="H137" s="539" t="s">
        <v>196</v>
      </c>
      <c r="I137" s="539" t="s">
        <v>300</v>
      </c>
      <c r="J137" s="539" t="s">
        <v>149</v>
      </c>
      <c r="K137" s="539" t="s">
        <v>372</v>
      </c>
      <c r="L137" s="503" t="s">
        <v>149</v>
      </c>
      <c r="M137" s="539"/>
      <c r="N137" s="539" t="s">
        <v>151</v>
      </c>
      <c r="O137" s="539" t="s">
        <v>1072</v>
      </c>
      <c r="P137" s="720"/>
      <c r="Q137" s="503"/>
      <c r="R137" s="503"/>
      <c r="S137" s="503" t="s">
        <v>199</v>
      </c>
      <c r="T137" s="499"/>
      <c r="U137" s="499"/>
      <c r="V137" s="499"/>
      <c r="W137" s="499"/>
      <c r="X137" s="499"/>
      <c r="Y137" s="499"/>
      <c r="Z137" s="499"/>
      <c r="AA137" s="499"/>
      <c r="AB137" s="499"/>
      <c r="AC137" s="499"/>
      <c r="AD137" s="499"/>
      <c r="AE137" s="499"/>
      <c r="AF137" s="499"/>
      <c r="AG137" s="499"/>
      <c r="AH137" s="499"/>
      <c r="AI137" s="499"/>
      <c r="AJ137" s="499"/>
      <c r="AK137" s="499"/>
      <c r="AL137" s="499"/>
      <c r="AM137" s="499"/>
      <c r="AN137" s="499"/>
      <c r="AO137" s="506"/>
      <c r="AP137" s="507"/>
      <c r="AQ137" s="507"/>
      <c r="AR137" s="507"/>
      <c r="AS137" s="507"/>
      <c r="AT137" s="507"/>
      <c r="AU137" s="507"/>
      <c r="AV137" s="507"/>
      <c r="AW137" s="507"/>
      <c r="AX137" s="507"/>
      <c r="AY137" s="507"/>
      <c r="AZ137" s="507"/>
      <c r="BA137" s="507"/>
      <c r="BB137" s="507"/>
      <c r="BC137" s="507"/>
      <c r="BD137" s="507"/>
      <c r="BE137" s="793"/>
      <c r="BF137" s="213"/>
      <c r="BG137" s="97"/>
      <c r="BH137" s="201" t="s">
        <v>1070</v>
      </c>
    </row>
    <row r="138" spans="1:60" s="19" customFormat="1" ht="35.4" customHeight="1" x14ac:dyDescent="0.3">
      <c r="A138" s="588"/>
      <c r="B138" s="604"/>
      <c r="C138" s="528" t="s">
        <v>51</v>
      </c>
      <c r="D138" s="503" t="s">
        <v>1073</v>
      </c>
      <c r="E138" s="539" t="s">
        <v>1074</v>
      </c>
      <c r="F138" s="503"/>
      <c r="G138" s="503">
        <v>0</v>
      </c>
      <c r="H138" s="503"/>
      <c r="I138" s="503" t="s">
        <v>150</v>
      </c>
      <c r="J138" s="503" t="s">
        <v>149</v>
      </c>
      <c r="K138" s="503"/>
      <c r="L138" s="503"/>
      <c r="M138" s="539"/>
      <c r="N138" s="539" t="s">
        <v>151</v>
      </c>
      <c r="O138" s="503" t="s">
        <v>1075</v>
      </c>
      <c r="P138" s="503" t="s">
        <v>1076</v>
      </c>
      <c r="Q138" s="539"/>
      <c r="R138" s="499"/>
      <c r="S138" s="499" t="s">
        <v>199</v>
      </c>
      <c r="T138" s="503"/>
      <c r="U138" s="503"/>
      <c r="V138" s="503"/>
      <c r="W138" s="503"/>
      <c r="X138" s="503"/>
      <c r="Y138" s="503"/>
      <c r="Z138" s="503"/>
      <c r="AA138" s="503"/>
      <c r="AB138" s="503"/>
      <c r="AC138" s="503"/>
      <c r="AD138" s="503"/>
      <c r="AE138" s="503"/>
      <c r="AF138" s="503"/>
      <c r="AG138" s="503"/>
      <c r="AH138" s="503"/>
      <c r="AI138" s="503"/>
      <c r="AJ138" s="503"/>
      <c r="AK138" s="503"/>
      <c r="AL138" s="503"/>
      <c r="AM138" s="503"/>
      <c r="AN138" s="503"/>
      <c r="AO138" s="580"/>
      <c r="AP138" s="587"/>
      <c r="AQ138" s="587"/>
      <c r="AR138" s="587"/>
      <c r="AS138" s="587"/>
      <c r="AT138" s="587"/>
      <c r="AU138" s="587"/>
      <c r="AV138" s="587"/>
      <c r="AW138" s="587"/>
      <c r="AX138" s="587"/>
      <c r="AY138" s="587"/>
      <c r="AZ138" s="587"/>
      <c r="BA138" s="587"/>
      <c r="BB138" s="587"/>
      <c r="BC138" s="587"/>
      <c r="BD138" s="587"/>
      <c r="BE138" s="562" t="s">
        <v>1077</v>
      </c>
      <c r="BF138" s="213"/>
      <c r="BG138" s="97"/>
      <c r="BH138" s="201" t="s">
        <v>1078</v>
      </c>
    </row>
    <row r="139" spans="1:60" s="19" customFormat="1" ht="30" customHeight="1" x14ac:dyDescent="0.3">
      <c r="A139" s="549"/>
      <c r="B139" s="634"/>
      <c r="C139" s="528" t="s">
        <v>51</v>
      </c>
      <c r="D139" s="503" t="s">
        <v>1073</v>
      </c>
      <c r="E139" s="503" t="s">
        <v>193</v>
      </c>
      <c r="F139" s="539" t="s">
        <v>1079</v>
      </c>
      <c r="G139" s="539" t="s">
        <v>1080</v>
      </c>
      <c r="H139" s="539">
        <v>5</v>
      </c>
      <c r="I139" s="539" t="s">
        <v>1081</v>
      </c>
      <c r="J139" s="503" t="s">
        <v>149</v>
      </c>
      <c r="K139" s="503" t="s">
        <v>372</v>
      </c>
      <c r="L139" s="539" t="s">
        <v>149</v>
      </c>
      <c r="M139" s="539"/>
      <c r="N139" s="539" t="s">
        <v>151</v>
      </c>
      <c r="O139" s="539" t="s">
        <v>1082</v>
      </c>
      <c r="P139" s="539" t="s">
        <v>1083</v>
      </c>
      <c r="Q139" s="503"/>
      <c r="R139" s="503"/>
      <c r="S139" s="499" t="s">
        <v>199</v>
      </c>
      <c r="T139" s="503"/>
      <c r="U139" s="503"/>
      <c r="V139" s="503"/>
      <c r="W139" s="503"/>
      <c r="X139" s="503"/>
      <c r="Y139" s="503"/>
      <c r="Z139" s="503"/>
      <c r="AA139" s="503"/>
      <c r="AB139" s="503"/>
      <c r="AC139" s="503"/>
      <c r="AD139" s="503"/>
      <c r="AE139" s="503"/>
      <c r="AF139" s="503"/>
      <c r="AG139" s="503"/>
      <c r="AH139" s="503"/>
      <c r="AI139" s="503"/>
      <c r="AJ139" s="503"/>
      <c r="AK139" s="503"/>
      <c r="AL139" s="503"/>
      <c r="AM139" s="503"/>
      <c r="AN139" s="503"/>
      <c r="AO139" s="580"/>
      <c r="AP139" s="587"/>
      <c r="AQ139" s="587"/>
      <c r="AR139" s="587"/>
      <c r="AS139" s="587"/>
      <c r="AT139" s="587"/>
      <c r="AU139" s="587"/>
      <c r="AV139" s="587"/>
      <c r="AW139" s="587"/>
      <c r="AX139" s="587"/>
      <c r="AY139" s="587"/>
      <c r="AZ139" s="587"/>
      <c r="BA139" s="587"/>
      <c r="BB139" s="587"/>
      <c r="BC139" s="587"/>
      <c r="BD139" s="587"/>
      <c r="BE139" s="558" t="s">
        <v>1084</v>
      </c>
      <c r="BF139" s="213"/>
      <c r="BG139" s="97"/>
      <c r="BH139" s="309" t="s">
        <v>1085</v>
      </c>
    </row>
    <row r="140" spans="1:60" s="19" customFormat="1" ht="15" customHeight="1" x14ac:dyDescent="0.3">
      <c r="A140" s="719"/>
      <c r="B140" s="883"/>
      <c r="C140" s="855" t="s">
        <v>51</v>
      </c>
      <c r="D140" s="503" t="s">
        <v>1086</v>
      </c>
      <c r="E140" s="503" t="s">
        <v>790</v>
      </c>
      <c r="F140" s="555" t="s">
        <v>149</v>
      </c>
      <c r="G140" s="539">
        <v>0</v>
      </c>
      <c r="H140" s="555" t="s">
        <v>149</v>
      </c>
      <c r="I140" s="539" t="s">
        <v>150</v>
      </c>
      <c r="J140" s="808" t="s">
        <v>149</v>
      </c>
      <c r="K140" s="808" t="s">
        <v>149</v>
      </c>
      <c r="L140" s="808" t="s">
        <v>149</v>
      </c>
      <c r="M140" s="808"/>
      <c r="N140" s="719" t="s">
        <v>301</v>
      </c>
      <c r="O140" s="719" t="s">
        <v>1087</v>
      </c>
      <c r="P140" s="719"/>
      <c r="Q140" s="712"/>
      <c r="R140" s="712"/>
      <c r="S140" s="712"/>
      <c r="T140" s="712" t="s">
        <v>14</v>
      </c>
      <c r="U140" s="712"/>
      <c r="V140" s="712"/>
      <c r="W140" s="712"/>
      <c r="X140" s="712"/>
      <c r="Y140" s="712"/>
      <c r="Z140" s="712"/>
      <c r="AA140" s="712"/>
      <c r="AB140" s="712"/>
      <c r="AC140" s="712"/>
      <c r="AD140" s="712"/>
      <c r="AE140" s="712"/>
      <c r="AF140" s="712"/>
      <c r="AG140" s="712"/>
      <c r="AH140" s="712"/>
      <c r="AI140" s="712"/>
      <c r="AJ140" s="712"/>
      <c r="AK140" s="712"/>
      <c r="AL140" s="712"/>
      <c r="AM140" s="712"/>
      <c r="AN140" s="712"/>
      <c r="AO140" s="788"/>
      <c r="AP140" s="781"/>
      <c r="AQ140" s="586"/>
      <c r="AR140" s="781"/>
      <c r="AS140" s="586"/>
      <c r="AT140" s="586"/>
      <c r="AU140" s="586"/>
      <c r="AV140" s="586"/>
      <c r="AW140" s="586"/>
      <c r="AX140" s="586"/>
      <c r="AY140" s="586"/>
      <c r="AZ140" s="586"/>
      <c r="BA140" s="781"/>
      <c r="BB140" s="781"/>
      <c r="BC140" s="781"/>
      <c r="BD140" s="781"/>
      <c r="BE140" s="794" t="s">
        <v>1088</v>
      </c>
      <c r="BF140" s="739"/>
      <c r="BG140" s="786"/>
      <c r="BH140" s="798" t="s">
        <v>1089</v>
      </c>
    </row>
    <row r="141" spans="1:60" s="19" customFormat="1" ht="14.4" customHeight="1" x14ac:dyDescent="0.3">
      <c r="A141" s="720"/>
      <c r="B141" s="884"/>
      <c r="C141" s="855"/>
      <c r="D141" s="503" t="s">
        <v>1090</v>
      </c>
      <c r="E141" s="503" t="s">
        <v>790</v>
      </c>
      <c r="F141" s="555" t="s">
        <v>149</v>
      </c>
      <c r="G141" s="539">
        <v>0</v>
      </c>
      <c r="H141" s="555" t="s">
        <v>149</v>
      </c>
      <c r="I141" s="539" t="s">
        <v>150</v>
      </c>
      <c r="J141" s="819" t="s">
        <v>149</v>
      </c>
      <c r="K141" s="819"/>
      <c r="L141" s="819"/>
      <c r="M141" s="819"/>
      <c r="N141" s="720"/>
      <c r="O141" s="720"/>
      <c r="P141" s="720"/>
      <c r="Q141" s="713"/>
      <c r="R141" s="713"/>
      <c r="S141" s="713"/>
      <c r="T141" s="713"/>
      <c r="U141" s="713"/>
      <c r="V141" s="713"/>
      <c r="W141" s="713"/>
      <c r="X141" s="713"/>
      <c r="Y141" s="713"/>
      <c r="Z141" s="713"/>
      <c r="AA141" s="713"/>
      <c r="AB141" s="713"/>
      <c r="AC141" s="713"/>
      <c r="AD141" s="713"/>
      <c r="AE141" s="713"/>
      <c r="AF141" s="713"/>
      <c r="AG141" s="713"/>
      <c r="AH141" s="713"/>
      <c r="AI141" s="713"/>
      <c r="AJ141" s="713"/>
      <c r="AK141" s="713"/>
      <c r="AL141" s="713"/>
      <c r="AM141" s="713"/>
      <c r="AN141" s="713"/>
      <c r="AO141" s="790"/>
      <c r="AP141" s="783"/>
      <c r="AQ141" s="600"/>
      <c r="AR141" s="783"/>
      <c r="AS141" s="600"/>
      <c r="AT141" s="600"/>
      <c r="AU141" s="600"/>
      <c r="AV141" s="600"/>
      <c r="AW141" s="600"/>
      <c r="AX141" s="600"/>
      <c r="AY141" s="600"/>
      <c r="AZ141" s="600"/>
      <c r="BA141" s="783"/>
      <c r="BB141" s="783"/>
      <c r="BC141" s="783"/>
      <c r="BD141" s="783"/>
      <c r="BE141" s="795"/>
      <c r="BF141" s="740"/>
      <c r="BG141" s="787"/>
      <c r="BH141" s="799"/>
    </row>
    <row r="142" spans="1:60" s="19" customFormat="1" ht="14.4" customHeight="1" x14ac:dyDescent="0.3">
      <c r="A142" s="719"/>
      <c r="B142" s="852"/>
      <c r="C142" s="827" t="s">
        <v>51</v>
      </c>
      <c r="D142" s="528" t="s">
        <v>1054</v>
      </c>
      <c r="E142" s="503" t="s">
        <v>790</v>
      </c>
      <c r="F142" s="555" t="s">
        <v>149</v>
      </c>
      <c r="G142" s="539">
        <v>1</v>
      </c>
      <c r="H142" s="555" t="s">
        <v>149</v>
      </c>
      <c r="I142" s="539" t="s">
        <v>150</v>
      </c>
      <c r="J142" s="808" t="s">
        <v>149</v>
      </c>
      <c r="K142" s="808" t="s">
        <v>1091</v>
      </c>
      <c r="L142" s="808" t="s">
        <v>149</v>
      </c>
      <c r="M142" s="808" t="s">
        <v>270</v>
      </c>
      <c r="N142" s="719" t="s">
        <v>478</v>
      </c>
      <c r="O142" s="719" t="s">
        <v>1092</v>
      </c>
      <c r="P142" s="551" t="s">
        <v>1093</v>
      </c>
      <c r="Q142" s="712"/>
      <c r="R142" s="712"/>
      <c r="S142" s="712" t="s">
        <v>199</v>
      </c>
      <c r="T142" s="712"/>
      <c r="U142" s="712"/>
      <c r="V142" s="712"/>
      <c r="W142" s="712"/>
      <c r="X142" s="712"/>
      <c r="Y142" s="712"/>
      <c r="Z142" s="712"/>
      <c r="AA142" s="712"/>
      <c r="AB142" s="712"/>
      <c r="AC142" s="712"/>
      <c r="AD142" s="712"/>
      <c r="AE142" s="712"/>
      <c r="AF142" s="712"/>
      <c r="AG142" s="712"/>
      <c r="AH142" s="712"/>
      <c r="AI142" s="712"/>
      <c r="AJ142" s="712"/>
      <c r="AK142" s="712"/>
      <c r="AL142" s="712"/>
      <c r="AM142" s="712"/>
      <c r="AN142" s="712"/>
      <c r="AO142" s="788"/>
      <c r="AP142" s="781"/>
      <c r="AQ142" s="586"/>
      <c r="AR142" s="781"/>
      <c r="AS142" s="586"/>
      <c r="AT142" s="586"/>
      <c r="AU142" s="586"/>
      <c r="AV142" s="586"/>
      <c r="AW142" s="586"/>
      <c r="AX142" s="586"/>
      <c r="AY142" s="586"/>
      <c r="AZ142" s="586"/>
      <c r="BA142" s="781"/>
      <c r="BB142" s="781"/>
      <c r="BC142" s="781"/>
      <c r="BD142" s="781"/>
      <c r="BE142" s="794" t="s">
        <v>1094</v>
      </c>
      <c r="BF142" s="764"/>
      <c r="BG142" s="737"/>
      <c r="BH142" s="774" t="s">
        <v>1095</v>
      </c>
    </row>
    <row r="143" spans="1:60" s="19" customFormat="1" ht="14.4" customHeight="1" x14ac:dyDescent="0.3">
      <c r="A143" s="746"/>
      <c r="B143" s="853"/>
      <c r="C143" s="832"/>
      <c r="D143" s="503" t="s">
        <v>1096</v>
      </c>
      <c r="E143" s="503" t="s">
        <v>1097</v>
      </c>
      <c r="F143" s="555" t="s">
        <v>149</v>
      </c>
      <c r="G143" s="539">
        <v>0</v>
      </c>
      <c r="H143" s="555" t="s">
        <v>149</v>
      </c>
      <c r="I143" s="539" t="s">
        <v>150</v>
      </c>
      <c r="J143" s="809" t="s">
        <v>149</v>
      </c>
      <c r="K143" s="809"/>
      <c r="L143" s="809"/>
      <c r="M143" s="819"/>
      <c r="N143" s="746"/>
      <c r="O143" s="746"/>
      <c r="P143" s="551" t="s">
        <v>1098</v>
      </c>
      <c r="Q143" s="721"/>
      <c r="R143" s="721"/>
      <c r="S143" s="721"/>
      <c r="T143" s="721"/>
      <c r="U143" s="721"/>
      <c r="V143" s="721"/>
      <c r="W143" s="721"/>
      <c r="X143" s="721"/>
      <c r="Y143" s="721"/>
      <c r="Z143" s="721"/>
      <c r="AA143" s="721"/>
      <c r="AB143" s="721"/>
      <c r="AC143" s="721"/>
      <c r="AD143" s="721"/>
      <c r="AE143" s="721"/>
      <c r="AF143" s="721"/>
      <c r="AG143" s="721"/>
      <c r="AH143" s="721"/>
      <c r="AI143" s="721"/>
      <c r="AJ143" s="721"/>
      <c r="AK143" s="721"/>
      <c r="AL143" s="721"/>
      <c r="AM143" s="721"/>
      <c r="AN143" s="721"/>
      <c r="AO143" s="789"/>
      <c r="AP143" s="782"/>
      <c r="AQ143" s="635"/>
      <c r="AR143" s="782"/>
      <c r="AS143" s="635"/>
      <c r="AT143" s="635"/>
      <c r="AU143" s="635"/>
      <c r="AV143" s="635"/>
      <c r="AW143" s="635"/>
      <c r="AX143" s="635"/>
      <c r="AY143" s="635"/>
      <c r="AZ143" s="635"/>
      <c r="BA143" s="782"/>
      <c r="BB143" s="782"/>
      <c r="BC143" s="782"/>
      <c r="BD143" s="782"/>
      <c r="BE143" s="795"/>
      <c r="BF143" s="779"/>
      <c r="BG143" s="780"/>
      <c r="BH143" s="775"/>
    </row>
    <row r="144" spans="1:60" s="19" customFormat="1" ht="44.4" customHeight="1" x14ac:dyDescent="0.3">
      <c r="A144" s="720"/>
      <c r="B144" s="854"/>
      <c r="C144" s="828"/>
      <c r="D144" s="503" t="s">
        <v>1099</v>
      </c>
      <c r="E144" s="503" t="s">
        <v>193</v>
      </c>
      <c r="F144" s="539" t="s">
        <v>1100</v>
      </c>
      <c r="G144" s="539" t="s">
        <v>1101</v>
      </c>
      <c r="H144" s="555" t="s">
        <v>1102</v>
      </c>
      <c r="I144" s="539" t="s">
        <v>477</v>
      </c>
      <c r="J144" s="809" t="s">
        <v>149</v>
      </c>
      <c r="K144" s="809"/>
      <c r="L144" s="819"/>
      <c r="M144" s="555"/>
      <c r="N144" s="720"/>
      <c r="O144" s="746"/>
      <c r="P144" s="551" t="s">
        <v>1103</v>
      </c>
      <c r="Q144" s="713"/>
      <c r="R144" s="713"/>
      <c r="S144" s="713"/>
      <c r="T144" s="713"/>
      <c r="U144" s="713"/>
      <c r="V144" s="713"/>
      <c r="W144" s="713"/>
      <c r="X144" s="713"/>
      <c r="Y144" s="713"/>
      <c r="Z144" s="713"/>
      <c r="AA144" s="713"/>
      <c r="AB144" s="713"/>
      <c r="AC144" s="713"/>
      <c r="AD144" s="713"/>
      <c r="AE144" s="713"/>
      <c r="AF144" s="713"/>
      <c r="AG144" s="713"/>
      <c r="AH144" s="713"/>
      <c r="AI144" s="713"/>
      <c r="AJ144" s="713"/>
      <c r="AK144" s="713"/>
      <c r="AL144" s="713"/>
      <c r="AM144" s="713"/>
      <c r="AN144" s="713"/>
      <c r="AO144" s="790"/>
      <c r="AP144" s="783"/>
      <c r="AQ144" s="600"/>
      <c r="AR144" s="783"/>
      <c r="AS144" s="600"/>
      <c r="AT144" s="600"/>
      <c r="AU144" s="600"/>
      <c r="AV144" s="600"/>
      <c r="AW144" s="600"/>
      <c r="AX144" s="600"/>
      <c r="AY144" s="600"/>
      <c r="AZ144" s="600"/>
      <c r="BA144" s="783"/>
      <c r="BB144" s="783"/>
      <c r="BC144" s="783"/>
      <c r="BD144" s="783"/>
      <c r="BE144" s="795"/>
      <c r="BF144" s="765"/>
      <c r="BG144" s="738"/>
      <c r="BH144" s="775"/>
    </row>
    <row r="145" spans="1:60" s="19" customFormat="1" ht="15" customHeight="1" x14ac:dyDescent="0.3">
      <c r="A145" s="588"/>
      <c r="B145" s="604"/>
      <c r="C145" s="555" t="s">
        <v>51</v>
      </c>
      <c r="D145" s="503" t="s">
        <v>1104</v>
      </c>
      <c r="E145" s="432" t="s">
        <v>1105</v>
      </c>
      <c r="F145" s="503" t="s">
        <v>149</v>
      </c>
      <c r="G145" s="503">
        <v>1</v>
      </c>
      <c r="H145" s="503" t="s">
        <v>149</v>
      </c>
      <c r="I145" s="503" t="s">
        <v>150</v>
      </c>
      <c r="J145" s="528" t="s">
        <v>149</v>
      </c>
      <c r="K145" s="528" t="s">
        <v>149</v>
      </c>
      <c r="L145" s="528" t="s">
        <v>149</v>
      </c>
      <c r="M145" s="539"/>
      <c r="N145" s="539" t="s">
        <v>151</v>
      </c>
      <c r="O145" s="539" t="s">
        <v>1106</v>
      </c>
      <c r="P145" s="503" t="s">
        <v>1107</v>
      </c>
      <c r="Q145" s="432"/>
      <c r="R145" s="499"/>
      <c r="S145" s="499" t="s">
        <v>14</v>
      </c>
      <c r="T145" s="499"/>
      <c r="U145" s="503"/>
      <c r="V145" s="503"/>
      <c r="W145" s="503"/>
      <c r="X145" s="503"/>
      <c r="Y145" s="503"/>
      <c r="Z145" s="503"/>
      <c r="AA145" s="503"/>
      <c r="AB145" s="503"/>
      <c r="AC145" s="503"/>
      <c r="AD145" s="503"/>
      <c r="AE145" s="503"/>
      <c r="AF145" s="503"/>
      <c r="AG145" s="503"/>
      <c r="AH145" s="503"/>
      <c r="AI145" s="503"/>
      <c r="AJ145" s="503"/>
      <c r="AK145" s="503"/>
      <c r="AL145" s="503"/>
      <c r="AM145" s="503"/>
      <c r="AN145" s="503"/>
      <c r="AO145" s="580"/>
      <c r="AP145" s="587"/>
      <c r="AQ145" s="587"/>
      <c r="AR145" s="587"/>
      <c r="AS145" s="587"/>
      <c r="AT145" s="587"/>
      <c r="AU145" s="587"/>
      <c r="AV145" s="587"/>
      <c r="AW145" s="587"/>
      <c r="AX145" s="587"/>
      <c r="AY145" s="587"/>
      <c r="AZ145" s="587"/>
      <c r="BA145" s="587"/>
      <c r="BB145" s="587"/>
      <c r="BC145" s="587"/>
      <c r="BD145" s="587"/>
      <c r="BE145" s="547" t="s">
        <v>1108</v>
      </c>
      <c r="BF145" s="213"/>
      <c r="BG145" s="97"/>
      <c r="BH145" s="374" t="s">
        <v>1109</v>
      </c>
    </row>
    <row r="146" spans="1:60" s="93" customFormat="1" ht="14.7" customHeight="1" x14ac:dyDescent="0.3">
      <c r="A146" s="732"/>
      <c r="B146" s="732"/>
      <c r="C146" s="827" t="s">
        <v>51</v>
      </c>
      <c r="D146" s="503" t="s">
        <v>1110</v>
      </c>
      <c r="E146" s="503" t="s">
        <v>193</v>
      </c>
      <c r="F146" s="539" t="s">
        <v>1111</v>
      </c>
      <c r="G146" s="539" t="s">
        <v>906</v>
      </c>
      <c r="H146" s="539" t="s">
        <v>286</v>
      </c>
      <c r="I146" s="539" t="s">
        <v>937</v>
      </c>
      <c r="J146" s="467" t="s">
        <v>675</v>
      </c>
      <c r="K146" s="467" t="s">
        <v>675</v>
      </c>
      <c r="L146" s="467" t="s">
        <v>149</v>
      </c>
      <c r="M146" s="550"/>
      <c r="N146" s="719" t="s">
        <v>478</v>
      </c>
      <c r="O146" s="817" t="s">
        <v>1112</v>
      </c>
      <c r="P146" s="719" t="s">
        <v>1113</v>
      </c>
      <c r="Q146" s="712"/>
      <c r="R146" s="732" t="s">
        <v>199</v>
      </c>
      <c r="S146" s="712"/>
      <c r="T146" s="712"/>
      <c r="U146" s="712"/>
      <c r="V146" s="712"/>
      <c r="W146" s="712"/>
      <c r="X146" s="712"/>
      <c r="Y146" s="712"/>
      <c r="Z146" s="712"/>
      <c r="AA146" s="712"/>
      <c r="AB146" s="712"/>
      <c r="AC146" s="712"/>
      <c r="AD146" s="712"/>
      <c r="AE146" s="712"/>
      <c r="AF146" s="712"/>
      <c r="AG146" s="712"/>
      <c r="AH146" s="712"/>
      <c r="AI146" s="712"/>
      <c r="AJ146" s="712"/>
      <c r="AK146" s="712"/>
      <c r="AL146" s="712"/>
      <c r="AM146" s="712"/>
      <c r="AN146" s="712"/>
      <c r="AO146" s="788"/>
      <c r="AP146" s="781"/>
      <c r="AQ146" s="781"/>
      <c r="AR146" s="781"/>
      <c r="AS146" s="781"/>
      <c r="AT146" s="781"/>
      <c r="AU146" s="781"/>
      <c r="AV146" s="781"/>
      <c r="AW146" s="781"/>
      <c r="AX146" s="781"/>
      <c r="AY146" s="781"/>
      <c r="AZ146" s="781"/>
      <c r="BA146" s="781"/>
      <c r="BB146" s="781"/>
      <c r="BC146" s="781"/>
      <c r="BD146" s="781"/>
      <c r="BE146" s="776" t="s">
        <v>1114</v>
      </c>
      <c r="BF146" s="807"/>
      <c r="BG146" s="732"/>
      <c r="BH146" s="806" t="s">
        <v>1115</v>
      </c>
    </row>
    <row r="147" spans="1:60" s="93" customFormat="1" ht="14.7" customHeight="1" x14ac:dyDescent="0.3">
      <c r="A147" s="732"/>
      <c r="B147" s="732"/>
      <c r="C147" s="832"/>
      <c r="D147" s="503" t="s">
        <v>1054</v>
      </c>
      <c r="E147" s="503" t="s">
        <v>790</v>
      </c>
      <c r="F147" s="467" t="s">
        <v>149</v>
      </c>
      <c r="G147" s="539">
        <v>1</v>
      </c>
      <c r="H147" s="467" t="s">
        <v>149</v>
      </c>
      <c r="I147" s="539" t="s">
        <v>150</v>
      </c>
      <c r="J147" s="467" t="s">
        <v>149</v>
      </c>
      <c r="K147" s="467" t="s">
        <v>149</v>
      </c>
      <c r="L147" s="467" t="s">
        <v>149</v>
      </c>
      <c r="M147" s="817" t="s">
        <v>483</v>
      </c>
      <c r="N147" s="746"/>
      <c r="O147" s="817"/>
      <c r="P147" s="746"/>
      <c r="Q147" s="721"/>
      <c r="R147" s="732"/>
      <c r="S147" s="721"/>
      <c r="T147" s="721"/>
      <c r="U147" s="721"/>
      <c r="V147" s="721"/>
      <c r="W147" s="721"/>
      <c r="X147" s="721"/>
      <c r="Y147" s="721"/>
      <c r="Z147" s="721"/>
      <c r="AA147" s="721"/>
      <c r="AB147" s="721"/>
      <c r="AC147" s="721"/>
      <c r="AD147" s="721"/>
      <c r="AE147" s="721"/>
      <c r="AF147" s="721"/>
      <c r="AG147" s="721"/>
      <c r="AH147" s="721"/>
      <c r="AI147" s="721"/>
      <c r="AJ147" s="721"/>
      <c r="AK147" s="721"/>
      <c r="AL147" s="721"/>
      <c r="AM147" s="721"/>
      <c r="AN147" s="721"/>
      <c r="AO147" s="789"/>
      <c r="AP147" s="782"/>
      <c r="AQ147" s="782"/>
      <c r="AR147" s="782"/>
      <c r="AS147" s="782"/>
      <c r="AT147" s="782"/>
      <c r="AU147" s="782"/>
      <c r="AV147" s="782"/>
      <c r="AW147" s="782"/>
      <c r="AX147" s="782"/>
      <c r="AY147" s="782"/>
      <c r="AZ147" s="782"/>
      <c r="BA147" s="782"/>
      <c r="BB147" s="782"/>
      <c r="BC147" s="782"/>
      <c r="BD147" s="782"/>
      <c r="BE147" s="777"/>
      <c r="BF147" s="807"/>
      <c r="BG147" s="732"/>
      <c r="BH147" s="806"/>
    </row>
    <row r="148" spans="1:60" s="93" customFormat="1" ht="14.7" customHeight="1" x14ac:dyDescent="0.3">
      <c r="A148" s="732"/>
      <c r="B148" s="732"/>
      <c r="C148" s="833"/>
      <c r="D148" s="503" t="s">
        <v>1116</v>
      </c>
      <c r="E148" s="503" t="s">
        <v>790</v>
      </c>
      <c r="F148" s="467" t="s">
        <v>149</v>
      </c>
      <c r="G148" s="539">
        <v>1</v>
      </c>
      <c r="H148" s="467" t="s">
        <v>149</v>
      </c>
      <c r="I148" s="539" t="s">
        <v>150</v>
      </c>
      <c r="J148" s="467" t="s">
        <v>149</v>
      </c>
      <c r="K148" s="467" t="s">
        <v>149</v>
      </c>
      <c r="L148" s="467" t="s">
        <v>149</v>
      </c>
      <c r="M148" s="817"/>
      <c r="N148" s="720"/>
      <c r="O148" s="817"/>
      <c r="P148" s="746"/>
      <c r="Q148" s="721"/>
      <c r="R148" s="732"/>
      <c r="S148" s="713"/>
      <c r="T148" s="713"/>
      <c r="U148" s="713"/>
      <c r="V148" s="713"/>
      <c r="W148" s="713"/>
      <c r="X148" s="713"/>
      <c r="Y148" s="713"/>
      <c r="Z148" s="713"/>
      <c r="AA148" s="713"/>
      <c r="AB148" s="713"/>
      <c r="AC148" s="713"/>
      <c r="AD148" s="713"/>
      <c r="AE148" s="713"/>
      <c r="AF148" s="713"/>
      <c r="AG148" s="713"/>
      <c r="AH148" s="713"/>
      <c r="AI148" s="713"/>
      <c r="AJ148" s="713"/>
      <c r="AK148" s="713"/>
      <c r="AL148" s="713"/>
      <c r="AM148" s="713"/>
      <c r="AN148" s="713"/>
      <c r="AO148" s="790"/>
      <c r="AP148" s="783"/>
      <c r="AQ148" s="783"/>
      <c r="AR148" s="783"/>
      <c r="AS148" s="783"/>
      <c r="AT148" s="783"/>
      <c r="AU148" s="783"/>
      <c r="AV148" s="783"/>
      <c r="AW148" s="783"/>
      <c r="AX148" s="783"/>
      <c r="AY148" s="783"/>
      <c r="AZ148" s="783"/>
      <c r="BA148" s="783"/>
      <c r="BB148" s="783"/>
      <c r="BC148" s="783"/>
      <c r="BD148" s="783"/>
      <c r="BE148" s="778"/>
      <c r="BF148" s="807"/>
      <c r="BG148" s="732"/>
      <c r="BH148" s="806"/>
    </row>
    <row r="149" spans="1:60" s="93" customFormat="1" ht="28.5" customHeight="1" x14ac:dyDescent="0.3">
      <c r="A149" s="610"/>
      <c r="B149" s="603"/>
      <c r="C149" s="468" t="s">
        <v>51</v>
      </c>
      <c r="D149" s="511" t="s">
        <v>1110</v>
      </c>
      <c r="E149" s="511" t="s">
        <v>905</v>
      </c>
      <c r="F149" s="554" t="s">
        <v>1117</v>
      </c>
      <c r="G149" s="554" t="s">
        <v>1118</v>
      </c>
      <c r="H149" s="554" t="s">
        <v>196</v>
      </c>
      <c r="I149" s="554" t="s">
        <v>300</v>
      </c>
      <c r="J149" s="554" t="s">
        <v>149</v>
      </c>
      <c r="K149" s="554" t="s">
        <v>381</v>
      </c>
      <c r="L149" s="511" t="s">
        <v>149</v>
      </c>
      <c r="M149" s="554"/>
      <c r="N149" s="554" t="s">
        <v>151</v>
      </c>
      <c r="O149" s="554" t="s">
        <v>1119</v>
      </c>
      <c r="P149" s="552" t="s">
        <v>1120</v>
      </c>
      <c r="Q149" s="511"/>
      <c r="R149" s="511"/>
      <c r="S149" s="511" t="s">
        <v>199</v>
      </c>
      <c r="T149" s="501"/>
      <c r="U149" s="501"/>
      <c r="V149" s="501"/>
      <c r="W149" s="501"/>
      <c r="X149" s="501"/>
      <c r="Y149" s="501"/>
      <c r="Z149" s="501"/>
      <c r="AA149" s="501"/>
      <c r="AB149" s="501"/>
      <c r="AC149" s="501"/>
      <c r="AD149" s="501"/>
      <c r="AE149" s="501"/>
      <c r="AF149" s="501"/>
      <c r="AG149" s="501"/>
      <c r="AH149" s="501"/>
      <c r="AI149" s="501"/>
      <c r="AJ149" s="501"/>
      <c r="AK149" s="501"/>
      <c r="AL149" s="501"/>
      <c r="AM149" s="501"/>
      <c r="AN149" s="501"/>
      <c r="AO149" s="543"/>
      <c r="AP149" s="544"/>
      <c r="AQ149" s="544"/>
      <c r="AR149" s="544"/>
      <c r="AS149" s="544"/>
      <c r="AT149" s="544"/>
      <c r="AU149" s="544"/>
      <c r="AV149" s="544"/>
      <c r="AW149" s="544"/>
      <c r="AX149" s="544"/>
      <c r="AY149" s="544"/>
      <c r="AZ149" s="544"/>
      <c r="BA149" s="544"/>
      <c r="BB149" s="544"/>
      <c r="BC149" s="544"/>
      <c r="BD149" s="544"/>
      <c r="BE149" s="562" t="s">
        <v>1061</v>
      </c>
      <c r="BF149" s="213"/>
      <c r="BG149" s="97"/>
      <c r="BH149" s="373" t="s">
        <v>1121</v>
      </c>
    </row>
    <row r="150" spans="1:60" s="93" customFormat="1" ht="28.5" customHeight="1" x14ac:dyDescent="0.3">
      <c r="A150" s="588"/>
      <c r="B150" s="604"/>
      <c r="C150" s="124" t="s">
        <v>51</v>
      </c>
      <c r="D150" s="503" t="s">
        <v>1110</v>
      </c>
      <c r="E150" s="503" t="s">
        <v>905</v>
      </c>
      <c r="F150" s="539" t="s">
        <v>1122</v>
      </c>
      <c r="G150" s="539" t="s">
        <v>1123</v>
      </c>
      <c r="H150" s="539" t="s">
        <v>196</v>
      </c>
      <c r="I150" s="539" t="s">
        <v>300</v>
      </c>
      <c r="J150" s="539" t="s">
        <v>149</v>
      </c>
      <c r="K150" s="539" t="s">
        <v>372</v>
      </c>
      <c r="L150" s="503" t="s">
        <v>149</v>
      </c>
      <c r="M150" s="539"/>
      <c r="N150" s="539" t="s">
        <v>151</v>
      </c>
      <c r="O150" s="539" t="s">
        <v>1124</v>
      </c>
      <c r="P150" s="539" t="s">
        <v>1125</v>
      </c>
      <c r="Q150" s="503"/>
      <c r="R150" s="503"/>
      <c r="S150" s="503" t="s">
        <v>199</v>
      </c>
      <c r="T150" s="499"/>
      <c r="U150" s="499"/>
      <c r="V150" s="499"/>
      <c r="W150" s="499"/>
      <c r="X150" s="499"/>
      <c r="Y150" s="499"/>
      <c r="Z150" s="499"/>
      <c r="AA150" s="499"/>
      <c r="AB150" s="499"/>
      <c r="AC150" s="499"/>
      <c r="AD150" s="499"/>
      <c r="AE150" s="499"/>
      <c r="AF150" s="499"/>
      <c r="AG150" s="499"/>
      <c r="AH150" s="499"/>
      <c r="AI150" s="499"/>
      <c r="AJ150" s="499"/>
      <c r="AK150" s="499"/>
      <c r="AL150" s="499"/>
      <c r="AM150" s="499"/>
      <c r="AN150" s="499"/>
      <c r="AO150" s="506"/>
      <c r="AP150" s="507"/>
      <c r="AQ150" s="507"/>
      <c r="AR150" s="507"/>
      <c r="AS150" s="507"/>
      <c r="AT150" s="507"/>
      <c r="AU150" s="507"/>
      <c r="AV150" s="507"/>
      <c r="AW150" s="507"/>
      <c r="AX150" s="507"/>
      <c r="AY150" s="507"/>
      <c r="AZ150" s="507"/>
      <c r="BA150" s="507"/>
      <c r="BB150" s="507"/>
      <c r="BC150" s="507"/>
      <c r="BD150" s="507"/>
      <c r="BE150" s="547" t="s">
        <v>1061</v>
      </c>
      <c r="BF150" s="213"/>
      <c r="BG150" s="97"/>
      <c r="BH150" s="373" t="s">
        <v>1126</v>
      </c>
    </row>
    <row r="151" spans="1:60" s="27" customFormat="1" ht="14.4" customHeight="1" x14ac:dyDescent="0.3">
      <c r="A151" s="383" t="s">
        <v>1127</v>
      </c>
      <c r="B151" s="452"/>
      <c r="C151" s="506"/>
      <c r="D151" s="506"/>
      <c r="E151" s="506"/>
      <c r="F151" s="497"/>
      <c r="G151" s="497"/>
      <c r="H151" s="497"/>
      <c r="I151" s="497"/>
      <c r="J151" s="497"/>
      <c r="K151" s="580"/>
      <c r="L151" s="580"/>
      <c r="M151" s="497"/>
      <c r="N151" s="497"/>
      <c r="O151" s="497"/>
      <c r="P151" s="497"/>
      <c r="Q151" s="506"/>
      <c r="R151" s="506"/>
      <c r="S151" s="506"/>
      <c r="T151" s="581"/>
      <c r="U151" s="581"/>
      <c r="V151" s="581"/>
      <c r="W151" s="581"/>
      <c r="X151" s="581"/>
      <c r="Y151" s="506"/>
      <c r="Z151" s="581"/>
      <c r="AA151" s="581"/>
      <c r="AB151" s="581"/>
      <c r="AC151" s="581"/>
      <c r="AD151" s="581"/>
      <c r="AE151" s="581"/>
      <c r="AF151" s="581"/>
      <c r="AG151" s="581"/>
      <c r="AH151" s="581"/>
      <c r="AI151" s="581"/>
      <c r="AJ151" s="581"/>
      <c r="AK151" s="581"/>
      <c r="AL151" s="581"/>
      <c r="AM151" s="581"/>
      <c r="AN151" s="581"/>
      <c r="AO151" s="581"/>
      <c r="AP151" s="581"/>
      <c r="AQ151" s="581"/>
      <c r="AR151" s="581"/>
      <c r="AS151" s="581"/>
      <c r="AT151" s="581"/>
      <c r="AU151" s="581"/>
      <c r="AV151" s="581"/>
      <c r="AW151" s="581"/>
      <c r="AX151" s="581"/>
      <c r="AY151" s="581"/>
      <c r="AZ151" s="581"/>
      <c r="BA151" s="581"/>
      <c r="BB151" s="581"/>
      <c r="BC151" s="581"/>
      <c r="BD151" s="581"/>
      <c r="BE151" s="581"/>
      <c r="BF151" s="335"/>
      <c r="BG151" s="72"/>
      <c r="BH151" s="281"/>
    </row>
    <row r="152" spans="1:60" ht="39" customHeight="1" x14ac:dyDescent="0.25">
      <c r="A152" s="610"/>
      <c r="B152" s="603"/>
      <c r="C152" s="542" t="s">
        <v>42</v>
      </c>
      <c r="D152" s="554" t="s">
        <v>1128</v>
      </c>
      <c r="E152" s="554" t="s">
        <v>193</v>
      </c>
      <c r="F152" s="511" t="s">
        <v>1129</v>
      </c>
      <c r="G152" s="511" t="s">
        <v>1130</v>
      </c>
      <c r="H152" s="511" t="s">
        <v>286</v>
      </c>
      <c r="I152" s="511" t="s">
        <v>287</v>
      </c>
      <c r="J152" s="511" t="s">
        <v>149</v>
      </c>
      <c r="K152" s="511" t="s">
        <v>675</v>
      </c>
      <c r="L152" s="511" t="s">
        <v>149</v>
      </c>
      <c r="M152" s="554"/>
      <c r="N152" s="554" t="s">
        <v>151</v>
      </c>
      <c r="O152" s="511" t="s">
        <v>1131</v>
      </c>
      <c r="P152" s="511" t="s">
        <v>1132</v>
      </c>
      <c r="Q152" s="465"/>
      <c r="R152" s="501" t="s">
        <v>199</v>
      </c>
      <c r="S152" s="501"/>
      <c r="T152" s="501"/>
      <c r="U152" s="501"/>
      <c r="V152" s="501"/>
      <c r="W152" s="501"/>
      <c r="X152" s="501"/>
      <c r="Y152" s="501"/>
      <c r="Z152" s="501"/>
      <c r="AA152" s="501"/>
      <c r="AB152" s="501"/>
      <c r="AC152" s="511" t="s">
        <v>199</v>
      </c>
      <c r="AD152" s="501"/>
      <c r="AE152" s="501"/>
      <c r="AF152" s="501"/>
      <c r="AG152" s="501"/>
      <c r="AH152" s="501"/>
      <c r="AI152" s="501"/>
      <c r="AJ152" s="501"/>
      <c r="AK152" s="501"/>
      <c r="AL152" s="501"/>
      <c r="AM152" s="501"/>
      <c r="AN152" s="501"/>
      <c r="AO152" s="543"/>
      <c r="AP152" s="544"/>
      <c r="AQ152" s="544"/>
      <c r="AR152" s="544"/>
      <c r="AS152" s="544"/>
      <c r="AT152" s="544"/>
      <c r="AU152" s="544"/>
      <c r="AV152" s="544"/>
      <c r="AW152" s="544"/>
      <c r="AX152" s="544"/>
      <c r="AY152" s="544"/>
      <c r="AZ152" s="544"/>
      <c r="BA152" s="544"/>
      <c r="BB152" s="544"/>
      <c r="BC152" s="544"/>
      <c r="BD152" s="544"/>
      <c r="BE152" s="546" t="s">
        <v>1133</v>
      </c>
      <c r="BF152" s="213"/>
      <c r="BG152" s="97"/>
      <c r="BH152" s="293" t="s">
        <v>1134</v>
      </c>
    </row>
    <row r="153" spans="1:60" s="19" customFormat="1" ht="88.5" customHeight="1" x14ac:dyDescent="0.3">
      <c r="A153" s="588"/>
      <c r="B153" s="604"/>
      <c r="C153" s="528" t="s">
        <v>42</v>
      </c>
      <c r="D153" s="539" t="s">
        <v>1135</v>
      </c>
      <c r="E153" s="539" t="s">
        <v>193</v>
      </c>
      <c r="F153" s="503" t="s">
        <v>1136</v>
      </c>
      <c r="G153" s="503" t="s">
        <v>1137</v>
      </c>
      <c r="H153" s="503" t="s">
        <v>286</v>
      </c>
      <c r="I153" s="503" t="s">
        <v>287</v>
      </c>
      <c r="J153" s="503" t="s">
        <v>149</v>
      </c>
      <c r="K153" s="503" t="s">
        <v>372</v>
      </c>
      <c r="L153" s="503" t="s">
        <v>149</v>
      </c>
      <c r="M153" s="539"/>
      <c r="N153" s="539" t="s">
        <v>151</v>
      </c>
      <c r="O153" s="503" t="s">
        <v>1138</v>
      </c>
      <c r="P153" s="503" t="s">
        <v>1132</v>
      </c>
      <c r="Q153" s="432"/>
      <c r="R153" s="499" t="s">
        <v>199</v>
      </c>
      <c r="S153" s="499"/>
      <c r="T153" s="503"/>
      <c r="U153" s="503"/>
      <c r="V153" s="503"/>
      <c r="W153" s="503"/>
      <c r="X153" s="503"/>
      <c r="Y153" s="503"/>
      <c r="Z153" s="503"/>
      <c r="AA153" s="503"/>
      <c r="AB153" s="503"/>
      <c r="AC153" s="503" t="s">
        <v>199</v>
      </c>
      <c r="AD153" s="503"/>
      <c r="AE153" s="503"/>
      <c r="AF153" s="503"/>
      <c r="AG153" s="503"/>
      <c r="AH153" s="503"/>
      <c r="AI153" s="503"/>
      <c r="AJ153" s="503"/>
      <c r="AK153" s="503"/>
      <c r="AL153" s="503"/>
      <c r="AM153" s="503"/>
      <c r="AN153" s="503"/>
      <c r="AO153" s="580"/>
      <c r="AP153" s="587"/>
      <c r="AQ153" s="587"/>
      <c r="AR153" s="587"/>
      <c r="AS153" s="587"/>
      <c r="AT153" s="587"/>
      <c r="AU153" s="587"/>
      <c r="AV153" s="587"/>
      <c r="AW153" s="587"/>
      <c r="AX153" s="587"/>
      <c r="AY153" s="587"/>
      <c r="AZ153" s="587"/>
      <c r="BA153" s="587"/>
      <c r="BB153" s="587"/>
      <c r="BC153" s="587"/>
      <c r="BD153" s="587"/>
      <c r="BE153" s="547" t="s">
        <v>1139</v>
      </c>
      <c r="BF153" s="213"/>
      <c r="BG153" s="97"/>
      <c r="BH153" s="280" t="s">
        <v>1140</v>
      </c>
    </row>
    <row r="154" spans="1:60" s="19" customFormat="1" ht="15" customHeight="1" x14ac:dyDescent="0.3">
      <c r="A154" s="588"/>
      <c r="B154" s="604"/>
      <c r="C154" s="555" t="s">
        <v>9</v>
      </c>
      <c r="D154" s="539" t="s">
        <v>1141</v>
      </c>
      <c r="E154" s="539" t="s">
        <v>193</v>
      </c>
      <c r="F154" s="503" t="s">
        <v>1066</v>
      </c>
      <c r="G154" s="503" t="s">
        <v>899</v>
      </c>
      <c r="H154" s="503" t="s">
        <v>196</v>
      </c>
      <c r="I154" s="503" t="s">
        <v>300</v>
      </c>
      <c r="J154" s="503" t="s">
        <v>149</v>
      </c>
      <c r="K154" s="347" t="s">
        <v>900</v>
      </c>
      <c r="L154" s="503" t="s">
        <v>149</v>
      </c>
      <c r="M154" s="539"/>
      <c r="N154" s="539" t="s">
        <v>151</v>
      </c>
      <c r="O154" s="503" t="s">
        <v>1142</v>
      </c>
      <c r="P154" s="503"/>
      <c r="Q154" s="539"/>
      <c r="R154" s="499"/>
      <c r="S154" s="499" t="s">
        <v>199</v>
      </c>
      <c r="T154" s="503"/>
      <c r="U154" s="503"/>
      <c r="V154" s="503"/>
      <c r="W154" s="503"/>
      <c r="X154" s="503"/>
      <c r="Y154" s="503"/>
      <c r="Z154" s="503"/>
      <c r="AA154" s="503"/>
      <c r="AB154" s="503"/>
      <c r="AC154" s="503"/>
      <c r="AD154" s="503"/>
      <c r="AE154" s="503"/>
      <c r="AF154" s="503"/>
      <c r="AG154" s="503"/>
      <c r="AH154" s="503"/>
      <c r="AI154" s="503"/>
      <c r="AJ154" s="503"/>
      <c r="AK154" s="503"/>
      <c r="AL154" s="503"/>
      <c r="AM154" s="503"/>
      <c r="AN154" s="503"/>
      <c r="AO154" s="580"/>
      <c r="AP154" s="587"/>
      <c r="AQ154" s="587"/>
      <c r="AR154" s="587"/>
      <c r="AS154" s="587"/>
      <c r="AT154" s="587"/>
      <c r="AU154" s="587"/>
      <c r="AV154" s="587"/>
      <c r="AW154" s="587"/>
      <c r="AX154" s="587"/>
      <c r="AY154" s="587"/>
      <c r="AZ154" s="587"/>
      <c r="BA154" s="587"/>
      <c r="BB154" s="587"/>
      <c r="BC154" s="587"/>
      <c r="BD154" s="587"/>
      <c r="BE154" s="492" t="s">
        <v>1143</v>
      </c>
      <c r="BF154" s="213"/>
      <c r="BG154" s="97"/>
      <c r="BH154" s="305" t="s">
        <v>1144</v>
      </c>
    </row>
    <row r="155" spans="1:60" s="19" customFormat="1" ht="88.5" customHeight="1" x14ac:dyDescent="0.3">
      <c r="A155" s="588"/>
      <c r="B155" s="604"/>
      <c r="C155" s="555" t="s">
        <v>42</v>
      </c>
      <c r="D155" s="539" t="s">
        <v>1145</v>
      </c>
      <c r="E155" s="539" t="s">
        <v>193</v>
      </c>
      <c r="F155" s="503" t="s">
        <v>1146</v>
      </c>
      <c r="G155" s="503" t="s">
        <v>1147</v>
      </c>
      <c r="H155" s="503" t="s">
        <v>286</v>
      </c>
      <c r="I155" s="503" t="s">
        <v>1148</v>
      </c>
      <c r="J155" s="503" t="s">
        <v>149</v>
      </c>
      <c r="K155" s="503" t="s">
        <v>251</v>
      </c>
      <c r="L155" s="503" t="s">
        <v>149</v>
      </c>
      <c r="M155" s="539"/>
      <c r="N155" s="539" t="s">
        <v>151</v>
      </c>
      <c r="O155" s="503" t="s">
        <v>1149</v>
      </c>
      <c r="P155" s="503"/>
      <c r="Q155" s="539"/>
      <c r="R155" s="499"/>
      <c r="S155" s="499" t="s">
        <v>199</v>
      </c>
      <c r="T155" s="503"/>
      <c r="U155" s="503"/>
      <c r="V155" s="503"/>
      <c r="W155" s="503"/>
      <c r="X155" s="503"/>
      <c r="Y155" s="503"/>
      <c r="Z155" s="503"/>
      <c r="AA155" s="503"/>
      <c r="AB155" s="503"/>
      <c r="AC155" s="503"/>
      <c r="AD155" s="503"/>
      <c r="AE155" s="503"/>
      <c r="AF155" s="503"/>
      <c r="AG155" s="503"/>
      <c r="AH155" s="503"/>
      <c r="AI155" s="503"/>
      <c r="AJ155" s="503"/>
      <c r="AK155" s="503"/>
      <c r="AL155" s="503"/>
      <c r="AM155" s="503"/>
      <c r="AN155" s="503"/>
      <c r="AO155" s="580"/>
      <c r="AP155" s="587"/>
      <c r="AQ155" s="587"/>
      <c r="AR155" s="587"/>
      <c r="AS155" s="587"/>
      <c r="AT155" s="587"/>
      <c r="AU155" s="587"/>
      <c r="AV155" s="587"/>
      <c r="AW155" s="587"/>
      <c r="AX155" s="587"/>
      <c r="AY155" s="587"/>
      <c r="AZ155" s="587"/>
      <c r="BA155" s="587"/>
      <c r="BB155" s="587"/>
      <c r="BC155" s="587"/>
      <c r="BD155" s="587"/>
      <c r="BE155" s="547" t="s">
        <v>1150</v>
      </c>
      <c r="BF155" s="213"/>
      <c r="BG155" s="97"/>
      <c r="BH155" s="122" t="s">
        <v>1151</v>
      </c>
    </row>
    <row r="156" spans="1:60" s="93" customFormat="1" ht="37.5" customHeight="1" x14ac:dyDescent="0.3">
      <c r="A156" s="503"/>
      <c r="B156" s="604"/>
      <c r="C156" s="124" t="s">
        <v>45</v>
      </c>
      <c r="D156" s="503" t="s">
        <v>1152</v>
      </c>
      <c r="E156" s="503"/>
      <c r="F156" s="539" t="s">
        <v>1153</v>
      </c>
      <c r="G156" s="539" t="s">
        <v>1154</v>
      </c>
      <c r="H156" s="539" t="s">
        <v>196</v>
      </c>
      <c r="I156" s="539" t="s">
        <v>937</v>
      </c>
      <c r="J156" s="467" t="s">
        <v>675</v>
      </c>
      <c r="K156" s="467" t="s">
        <v>675</v>
      </c>
      <c r="L156" s="503" t="s">
        <v>149</v>
      </c>
      <c r="M156" s="539"/>
      <c r="N156" s="539" t="s">
        <v>151</v>
      </c>
      <c r="O156" s="539" t="s">
        <v>1155</v>
      </c>
      <c r="P156" s="539" t="s">
        <v>1156</v>
      </c>
      <c r="Q156" s="503"/>
      <c r="R156" s="503"/>
      <c r="S156" s="636"/>
      <c r="T156" s="503"/>
      <c r="U156" s="503"/>
      <c r="V156" s="503"/>
      <c r="W156" s="503"/>
      <c r="X156" s="503"/>
      <c r="Y156" s="503"/>
      <c r="Z156" s="503"/>
      <c r="AA156" s="503"/>
      <c r="AB156" s="503"/>
      <c r="AC156" s="503" t="s">
        <v>199</v>
      </c>
      <c r="AD156" s="503"/>
      <c r="AE156" s="503"/>
      <c r="AF156" s="503"/>
      <c r="AG156" s="503"/>
      <c r="AH156" s="503"/>
      <c r="AI156" s="503"/>
      <c r="AJ156" s="503"/>
      <c r="AK156" s="503"/>
      <c r="AL156" s="503"/>
      <c r="AM156" s="503"/>
      <c r="AN156" s="503"/>
      <c r="AO156" s="580"/>
      <c r="AP156" s="587"/>
      <c r="AQ156" s="587"/>
      <c r="AR156" s="587"/>
      <c r="AS156" s="587"/>
      <c r="AT156" s="587"/>
      <c r="AU156" s="587"/>
      <c r="AV156" s="587"/>
      <c r="AW156" s="587"/>
      <c r="AX156" s="587"/>
      <c r="AY156" s="587"/>
      <c r="AZ156" s="587"/>
      <c r="BA156" s="587"/>
      <c r="BB156" s="587"/>
      <c r="BC156" s="587"/>
      <c r="BD156" s="587"/>
      <c r="BE156" s="547" t="s">
        <v>1157</v>
      </c>
      <c r="BF156" s="213"/>
      <c r="BG156" s="97"/>
      <c r="BH156" s="201" t="s">
        <v>1158</v>
      </c>
    </row>
    <row r="157" spans="1:60" s="27" customFormat="1" ht="14.7" customHeight="1" outlineLevel="1" x14ac:dyDescent="0.3">
      <c r="A157" s="136" t="s">
        <v>636</v>
      </c>
      <c r="B157" s="336"/>
      <c r="C157" s="308"/>
      <c r="D157" s="308"/>
      <c r="E157" s="308"/>
      <c r="F157" s="330"/>
      <c r="G157" s="330"/>
      <c r="H157" s="330"/>
      <c r="I157" s="330"/>
      <c r="J157" s="310"/>
      <c r="K157" s="310"/>
      <c r="L157" s="310"/>
      <c r="M157" s="330"/>
      <c r="N157" s="330"/>
      <c r="O157" s="330"/>
      <c r="P157" s="310"/>
      <c r="Q157" s="308"/>
      <c r="R157" s="308"/>
      <c r="S157" s="308"/>
      <c r="T157" s="337"/>
      <c r="U157" s="337"/>
      <c r="V157" s="337"/>
      <c r="W157" s="337"/>
      <c r="X157" s="337"/>
      <c r="Y157" s="308"/>
      <c r="Z157" s="337"/>
      <c r="AA157" s="337"/>
      <c r="AB157" s="337"/>
      <c r="AC157" s="337"/>
      <c r="AD157" s="337"/>
      <c r="AE157" s="337"/>
      <c r="AF157" s="337"/>
      <c r="AG157" s="337"/>
      <c r="AH157" s="337"/>
      <c r="AI157" s="337"/>
      <c r="AJ157" s="337"/>
      <c r="AK157" s="337"/>
      <c r="AL157" s="337"/>
      <c r="AM157" s="337"/>
      <c r="AN157" s="337"/>
      <c r="AO157" s="337"/>
      <c r="AP157" s="308"/>
      <c r="AQ157" s="308"/>
      <c r="AR157" s="337"/>
      <c r="AS157" s="337"/>
      <c r="AT157" s="337"/>
      <c r="AU157" s="337"/>
      <c r="AV157" s="337"/>
      <c r="AW157" s="337"/>
      <c r="AX157" s="337"/>
      <c r="AY157" s="337"/>
      <c r="AZ157" s="337"/>
      <c r="BA157" s="337"/>
      <c r="BB157" s="337"/>
      <c r="BC157" s="337"/>
      <c r="BD157" s="337"/>
      <c r="BE157" s="338"/>
      <c r="BF157" s="72"/>
      <c r="BG157" s="72"/>
      <c r="BH157" s="281"/>
    </row>
    <row r="158" spans="1:60" s="185" customFormat="1" ht="57.6" customHeight="1" outlineLevel="1" x14ac:dyDescent="0.3">
      <c r="A158" s="183"/>
      <c r="B158" s="183"/>
      <c r="C158" s="161" t="s">
        <v>51</v>
      </c>
      <c r="D158" s="184" t="s">
        <v>638</v>
      </c>
      <c r="E158" s="184" t="s">
        <v>374</v>
      </c>
      <c r="F158" s="164" t="s">
        <v>149</v>
      </c>
      <c r="G158" s="164">
        <v>0</v>
      </c>
      <c r="H158" s="164" t="s">
        <v>149</v>
      </c>
      <c r="I158" s="164" t="s">
        <v>150</v>
      </c>
      <c r="J158" s="179" t="s">
        <v>149</v>
      </c>
      <c r="K158" s="164" t="s">
        <v>149</v>
      </c>
      <c r="L158" s="164" t="s">
        <v>149</v>
      </c>
      <c r="M158" s="163"/>
      <c r="N158" s="163" t="s">
        <v>151</v>
      </c>
      <c r="O158" s="164" t="s">
        <v>548</v>
      </c>
      <c r="P158" s="164"/>
      <c r="Q158" s="184"/>
      <c r="R158" s="166"/>
      <c r="S158" s="169"/>
      <c r="T158" s="166"/>
      <c r="U158" s="166"/>
      <c r="V158" s="166"/>
      <c r="W158" s="166"/>
      <c r="X158" s="166"/>
      <c r="Y158" s="166"/>
      <c r="Z158" s="166"/>
      <c r="AA158" s="166"/>
      <c r="AB158" s="166"/>
      <c r="AC158" s="166"/>
      <c r="AD158" s="166"/>
      <c r="AE158" s="166"/>
      <c r="AF158" s="166"/>
      <c r="AG158" s="166"/>
      <c r="AH158" s="166"/>
      <c r="AI158" s="166"/>
      <c r="AJ158" s="166"/>
      <c r="AK158" s="166"/>
      <c r="AL158" s="166"/>
      <c r="AM158" s="166"/>
      <c r="AN158" s="166" t="s">
        <v>199</v>
      </c>
      <c r="AO158" s="166"/>
      <c r="AP158" s="166" t="s">
        <v>1159</v>
      </c>
      <c r="AQ158" s="169" t="s">
        <v>14</v>
      </c>
      <c r="AR158" s="169"/>
      <c r="AS158" s="166"/>
      <c r="AT158" s="166"/>
      <c r="AU158" s="166"/>
      <c r="AV158" s="166"/>
      <c r="AW158" s="166"/>
      <c r="AX158" s="166"/>
      <c r="AY158" s="166"/>
      <c r="AZ158" s="166"/>
      <c r="BA158" s="166"/>
      <c r="BB158" s="166"/>
      <c r="BC158" s="166"/>
      <c r="BD158" s="166"/>
      <c r="BE158" s="164" t="s">
        <v>1160</v>
      </c>
      <c r="BF158" s="164"/>
      <c r="BG158" s="164"/>
      <c r="BH158" s="300"/>
    </row>
    <row r="159" spans="1:60" s="185" customFormat="1" ht="14.7" customHeight="1" outlineLevel="1" x14ac:dyDescent="0.3">
      <c r="A159" s="183"/>
      <c r="B159" s="183"/>
      <c r="C159" s="161" t="s">
        <v>51</v>
      </c>
      <c r="D159" s="161" t="s">
        <v>648</v>
      </c>
      <c r="E159" s="162" t="s">
        <v>148</v>
      </c>
      <c r="F159" s="163" t="s">
        <v>149</v>
      </c>
      <c r="G159" s="164">
        <v>0</v>
      </c>
      <c r="H159" s="163" t="s">
        <v>149</v>
      </c>
      <c r="I159" s="164" t="s">
        <v>150</v>
      </c>
      <c r="J159" s="179" t="s">
        <v>149</v>
      </c>
      <c r="K159" s="163" t="s">
        <v>149</v>
      </c>
      <c r="L159" s="164" t="s">
        <v>149</v>
      </c>
      <c r="M159" s="163"/>
      <c r="N159" s="164" t="s">
        <v>151</v>
      </c>
      <c r="O159" s="164" t="s">
        <v>569</v>
      </c>
      <c r="P159" s="164"/>
      <c r="Q159" s="184"/>
      <c r="R159" s="166"/>
      <c r="S159" s="169"/>
      <c r="T159" s="166"/>
      <c r="U159" s="166"/>
      <c r="V159" s="166"/>
      <c r="W159" s="166"/>
      <c r="X159" s="166"/>
      <c r="Y159" s="166"/>
      <c r="Z159" s="166"/>
      <c r="AA159" s="166"/>
      <c r="AB159" s="166"/>
      <c r="AC159" s="166"/>
      <c r="AD159" s="166"/>
      <c r="AE159" s="166"/>
      <c r="AF159" s="166"/>
      <c r="AG159" s="166"/>
      <c r="AH159" s="166"/>
      <c r="AI159" s="166"/>
      <c r="AJ159" s="166"/>
      <c r="AK159" s="166"/>
      <c r="AL159" s="166"/>
      <c r="AM159" s="166"/>
      <c r="AN159" s="166" t="s">
        <v>199</v>
      </c>
      <c r="AO159" s="166"/>
      <c r="AP159" s="166"/>
      <c r="AQ159" s="169" t="s">
        <v>14</v>
      </c>
      <c r="AR159" s="169"/>
      <c r="AS159" s="166"/>
      <c r="AT159" s="166"/>
      <c r="AU159" s="166"/>
      <c r="AV159" s="166"/>
      <c r="AW159" s="166"/>
      <c r="AX159" s="166"/>
      <c r="AY159" s="166"/>
      <c r="AZ159" s="166"/>
      <c r="BA159" s="166"/>
      <c r="BB159" s="166"/>
      <c r="BC159" s="166"/>
      <c r="BD159" s="166"/>
      <c r="BE159" s="164"/>
      <c r="BF159" s="164"/>
      <c r="BG159" s="164"/>
      <c r="BH159" s="301"/>
    </row>
    <row r="160" spans="1:60" s="185" customFormat="1" ht="14.7" customHeight="1" outlineLevel="1" x14ac:dyDescent="0.3">
      <c r="A160" s="183"/>
      <c r="B160" s="183"/>
      <c r="C160" s="161" t="s">
        <v>51</v>
      </c>
      <c r="D160" s="161" t="s">
        <v>646</v>
      </c>
      <c r="E160" s="162" t="s">
        <v>374</v>
      </c>
      <c r="F160" s="163" t="s">
        <v>149</v>
      </c>
      <c r="G160" s="164">
        <v>0</v>
      </c>
      <c r="H160" s="163" t="s">
        <v>149</v>
      </c>
      <c r="I160" s="164" t="s">
        <v>150</v>
      </c>
      <c r="J160" s="179" t="s">
        <v>149</v>
      </c>
      <c r="K160" s="163" t="s">
        <v>149</v>
      </c>
      <c r="L160" s="164" t="s">
        <v>149</v>
      </c>
      <c r="M160" s="163"/>
      <c r="N160" s="164" t="s">
        <v>151</v>
      </c>
      <c r="O160" s="164" t="s">
        <v>1161</v>
      </c>
      <c r="P160" s="164"/>
      <c r="Q160" s="184"/>
      <c r="R160" s="166"/>
      <c r="S160" s="169"/>
      <c r="T160" s="166"/>
      <c r="U160" s="166"/>
      <c r="V160" s="166"/>
      <c r="W160" s="166"/>
      <c r="X160" s="166"/>
      <c r="Y160" s="166"/>
      <c r="Z160" s="166"/>
      <c r="AA160" s="166"/>
      <c r="AB160" s="166"/>
      <c r="AC160" s="166"/>
      <c r="AD160" s="166"/>
      <c r="AE160" s="166"/>
      <c r="AF160" s="166"/>
      <c r="AG160" s="166"/>
      <c r="AH160" s="166"/>
      <c r="AI160" s="166"/>
      <c r="AJ160" s="166"/>
      <c r="AK160" s="166"/>
      <c r="AL160" s="166"/>
      <c r="AM160" s="166"/>
      <c r="AN160" s="166" t="s">
        <v>199</v>
      </c>
      <c r="AO160" s="166"/>
      <c r="AP160" s="166"/>
      <c r="AQ160" s="169" t="s">
        <v>14</v>
      </c>
      <c r="AR160" s="169"/>
      <c r="AS160" s="166"/>
      <c r="AT160" s="166"/>
      <c r="AU160" s="166"/>
      <c r="AV160" s="166"/>
      <c r="AW160" s="166"/>
      <c r="AX160" s="166"/>
      <c r="AY160" s="166"/>
      <c r="AZ160" s="166"/>
      <c r="BA160" s="166"/>
      <c r="BB160" s="166"/>
      <c r="BC160" s="166"/>
      <c r="BD160" s="166"/>
      <c r="BE160" s="164"/>
      <c r="BF160" s="164"/>
      <c r="BG160" s="164"/>
      <c r="BH160" s="301"/>
    </row>
    <row r="161" spans="1:60" s="185" customFormat="1" ht="14.7" customHeight="1" outlineLevel="1" x14ac:dyDescent="0.3">
      <c r="A161" s="183"/>
      <c r="B161" s="183"/>
      <c r="C161" s="161" t="s">
        <v>51</v>
      </c>
      <c r="D161" s="842" t="s">
        <v>644</v>
      </c>
      <c r="E161" s="842" t="s">
        <v>148</v>
      </c>
      <c r="F161" s="163" t="s">
        <v>149</v>
      </c>
      <c r="G161" s="164">
        <v>0</v>
      </c>
      <c r="H161" s="163" t="s">
        <v>149</v>
      </c>
      <c r="I161" s="164" t="s">
        <v>150</v>
      </c>
      <c r="J161" s="179" t="s">
        <v>149</v>
      </c>
      <c r="K161" s="163" t="s">
        <v>149</v>
      </c>
      <c r="L161" s="164" t="s">
        <v>149</v>
      </c>
      <c r="M161" s="163"/>
      <c r="N161" s="164" t="s">
        <v>151</v>
      </c>
      <c r="O161" s="716" t="s">
        <v>1162</v>
      </c>
      <c r="P161" s="164" t="s">
        <v>1163</v>
      </c>
      <c r="Q161" s="184"/>
      <c r="R161" s="166"/>
      <c r="S161" s="169"/>
      <c r="T161" s="166"/>
      <c r="U161" s="166"/>
      <c r="V161" s="166"/>
      <c r="W161" s="166"/>
      <c r="X161" s="166"/>
      <c r="Y161" s="166"/>
      <c r="Z161" s="166"/>
      <c r="AA161" s="166"/>
      <c r="AB161" s="166"/>
      <c r="AC161" s="166"/>
      <c r="AD161" s="166"/>
      <c r="AE161" s="166"/>
      <c r="AF161" s="166"/>
      <c r="AG161" s="166"/>
      <c r="AH161" s="166"/>
      <c r="AI161" s="166"/>
      <c r="AJ161" s="166"/>
      <c r="AK161" s="166"/>
      <c r="AL161" s="166"/>
      <c r="AM161" s="166"/>
      <c r="AN161" s="166"/>
      <c r="AO161" s="166"/>
      <c r="AP161" s="166"/>
      <c r="AQ161" s="169"/>
      <c r="AR161" s="169"/>
      <c r="AS161" s="166"/>
      <c r="AT161" s="166"/>
      <c r="AU161" s="166"/>
      <c r="AV161" s="166"/>
      <c r="AW161" s="166"/>
      <c r="AX161" s="166"/>
      <c r="AY161" s="166"/>
      <c r="AZ161" s="166"/>
      <c r="BA161" s="166"/>
      <c r="BB161" s="166"/>
      <c r="BC161" s="166"/>
      <c r="BD161" s="166" t="s">
        <v>199</v>
      </c>
      <c r="BE161" s="164"/>
      <c r="BF161" s="164"/>
      <c r="BG161" s="164"/>
      <c r="BH161" s="784" t="s">
        <v>1164</v>
      </c>
    </row>
    <row r="162" spans="1:60" s="185" customFormat="1" ht="14.7" customHeight="1" outlineLevel="1" x14ac:dyDescent="0.3">
      <c r="A162" s="183"/>
      <c r="B162" s="183"/>
      <c r="C162" s="161" t="s">
        <v>51</v>
      </c>
      <c r="D162" s="843"/>
      <c r="E162" s="843"/>
      <c r="F162" s="163" t="s">
        <v>149</v>
      </c>
      <c r="G162" s="164">
        <v>0</v>
      </c>
      <c r="H162" s="163" t="s">
        <v>149</v>
      </c>
      <c r="I162" s="164" t="s">
        <v>150</v>
      </c>
      <c r="J162" s="179" t="s">
        <v>149</v>
      </c>
      <c r="K162" s="163" t="s">
        <v>340</v>
      </c>
      <c r="L162" s="164" t="s">
        <v>149</v>
      </c>
      <c r="M162" s="163"/>
      <c r="N162" s="164" t="s">
        <v>151</v>
      </c>
      <c r="O162" s="718"/>
      <c r="P162" s="164"/>
      <c r="Q162" s="184"/>
      <c r="R162" s="166"/>
      <c r="S162" s="166"/>
      <c r="T162" s="166"/>
      <c r="U162" s="166"/>
      <c r="V162" s="166"/>
      <c r="W162" s="166"/>
      <c r="X162" s="166"/>
      <c r="Y162" s="166"/>
      <c r="Z162" s="166"/>
      <c r="AA162" s="166"/>
      <c r="AB162" s="166"/>
      <c r="AC162" s="166"/>
      <c r="AD162" s="166"/>
      <c r="AE162" s="166"/>
      <c r="AF162" s="166"/>
      <c r="AG162" s="166"/>
      <c r="AH162" s="166"/>
      <c r="AI162" s="166"/>
      <c r="AJ162" s="166"/>
      <c r="AK162" s="166"/>
      <c r="AL162" s="166"/>
      <c r="AM162" s="166"/>
      <c r="AN162" s="166" t="s">
        <v>199</v>
      </c>
      <c r="AO162" s="166"/>
      <c r="AP162" s="166"/>
      <c r="AQ162" s="166" t="s">
        <v>199</v>
      </c>
      <c r="AR162" s="169"/>
      <c r="AS162" s="166"/>
      <c r="AT162" s="166"/>
      <c r="AU162" s="166"/>
      <c r="AV162" s="166"/>
      <c r="AW162" s="166"/>
      <c r="AX162" s="166"/>
      <c r="AY162" s="166"/>
      <c r="AZ162" s="166"/>
      <c r="BA162" s="166"/>
      <c r="BB162" s="166"/>
      <c r="BC162" s="166"/>
      <c r="BD162" s="166"/>
      <c r="BE162" s="164"/>
      <c r="BF162" s="164"/>
      <c r="BG162" s="164"/>
      <c r="BH162" s="784"/>
    </row>
    <row r="163" spans="1:60" s="185" customFormat="1" ht="14.7" customHeight="1" outlineLevel="1" x14ac:dyDescent="0.3">
      <c r="A163" s="183"/>
      <c r="B163" s="183"/>
      <c r="C163" s="161" t="s">
        <v>51</v>
      </c>
      <c r="D163" s="161" t="s">
        <v>655</v>
      </c>
      <c r="E163" s="162" t="s">
        <v>148</v>
      </c>
      <c r="F163" s="163" t="s">
        <v>149</v>
      </c>
      <c r="G163" s="164">
        <v>0</v>
      </c>
      <c r="H163" s="163" t="s">
        <v>149</v>
      </c>
      <c r="I163" s="164" t="s">
        <v>150</v>
      </c>
      <c r="J163" s="179" t="s">
        <v>149</v>
      </c>
      <c r="K163" s="163" t="s">
        <v>149</v>
      </c>
      <c r="L163" s="164" t="s">
        <v>149</v>
      </c>
      <c r="M163" s="163"/>
      <c r="N163" s="164" t="s">
        <v>151</v>
      </c>
      <c r="O163" s="164" t="s">
        <v>582</v>
      </c>
      <c r="P163" s="164"/>
      <c r="Q163" s="184"/>
      <c r="R163" s="166"/>
      <c r="S163" s="169"/>
      <c r="T163" s="166"/>
      <c r="U163" s="166"/>
      <c r="V163" s="166"/>
      <c r="W163" s="166"/>
      <c r="X163" s="166"/>
      <c r="Y163" s="166"/>
      <c r="Z163" s="166"/>
      <c r="AA163" s="166"/>
      <c r="AB163" s="166"/>
      <c r="AC163" s="166"/>
      <c r="AD163" s="166"/>
      <c r="AE163" s="166"/>
      <c r="AF163" s="166"/>
      <c r="AG163" s="166"/>
      <c r="AH163" s="166"/>
      <c r="AI163" s="166"/>
      <c r="AJ163" s="166"/>
      <c r="AK163" s="166"/>
      <c r="AL163" s="166"/>
      <c r="AM163" s="166"/>
      <c r="AN163" s="166" t="s">
        <v>199</v>
      </c>
      <c r="AO163" s="166"/>
      <c r="AP163" s="166"/>
      <c r="AQ163" s="169" t="s">
        <v>14</v>
      </c>
      <c r="AR163" s="169"/>
      <c r="AS163" s="166"/>
      <c r="AT163" s="166"/>
      <c r="AU163" s="166"/>
      <c r="AV163" s="166"/>
      <c r="AW163" s="166"/>
      <c r="AX163" s="166"/>
      <c r="AY163" s="166"/>
      <c r="AZ163" s="166"/>
      <c r="BA163" s="166"/>
      <c r="BB163" s="166"/>
      <c r="BC163" s="166"/>
      <c r="BD163" s="166"/>
      <c r="BE163" s="164"/>
      <c r="BF163" s="164"/>
      <c r="BG163" s="164"/>
      <c r="BH163" s="302"/>
    </row>
    <row r="164" spans="1:60" s="185" customFormat="1" ht="14.7" customHeight="1" outlineLevel="1" x14ac:dyDescent="0.3">
      <c r="A164" s="183"/>
      <c r="B164" s="183"/>
      <c r="C164" s="161" t="s">
        <v>51</v>
      </c>
      <c r="D164" s="184" t="s">
        <v>641</v>
      </c>
      <c r="E164" s="162" t="s">
        <v>148</v>
      </c>
      <c r="F164" s="164" t="s">
        <v>1165</v>
      </c>
      <c r="G164" s="164" t="s">
        <v>1010</v>
      </c>
      <c r="H164" s="164" t="s">
        <v>36</v>
      </c>
      <c r="I164" s="164" t="s">
        <v>300</v>
      </c>
      <c r="J164" s="179" t="s">
        <v>149</v>
      </c>
      <c r="K164" s="164" t="s">
        <v>149</v>
      </c>
      <c r="L164" s="164" t="s">
        <v>149</v>
      </c>
      <c r="M164" s="163"/>
      <c r="N164" s="163" t="s">
        <v>151</v>
      </c>
      <c r="O164" s="164" t="s">
        <v>1016</v>
      </c>
      <c r="P164" s="164"/>
      <c r="Q164" s="184"/>
      <c r="R164" s="166"/>
      <c r="S164" s="166"/>
      <c r="T164" s="166"/>
      <c r="U164" s="166"/>
      <c r="V164" s="166"/>
      <c r="W164" s="166"/>
      <c r="X164" s="166"/>
      <c r="Y164" s="166"/>
      <c r="Z164" s="166"/>
      <c r="AA164" s="166"/>
      <c r="AB164" s="166"/>
      <c r="AC164" s="166"/>
      <c r="AD164" s="166"/>
      <c r="AE164" s="166"/>
      <c r="AF164" s="166"/>
      <c r="AG164" s="166"/>
      <c r="AH164" s="166"/>
      <c r="AI164" s="166"/>
      <c r="AJ164" s="166"/>
      <c r="AK164" s="166"/>
      <c r="AL164" s="166"/>
      <c r="AM164" s="166"/>
      <c r="AN164" s="166" t="s">
        <v>199</v>
      </c>
      <c r="AO164" s="166"/>
      <c r="AP164" s="166"/>
      <c r="AQ164" s="166" t="s">
        <v>199</v>
      </c>
      <c r="AR164" s="166"/>
      <c r="AS164" s="166"/>
      <c r="AT164" s="166"/>
      <c r="AU164" s="166"/>
      <c r="AV164" s="166"/>
      <c r="AW164" s="166"/>
      <c r="AX164" s="166"/>
      <c r="AY164" s="166"/>
      <c r="AZ164" s="166"/>
      <c r="BA164" s="166"/>
      <c r="BB164" s="166"/>
      <c r="BC164" s="166"/>
      <c r="BD164" s="166"/>
      <c r="BE164" s="164" t="s">
        <v>642</v>
      </c>
      <c r="BF164" s="164"/>
      <c r="BG164" s="164"/>
      <c r="BH164" s="300"/>
    </row>
    <row r="165" spans="1:60" s="185" customFormat="1" ht="14.7" customHeight="1" outlineLevel="1" x14ac:dyDescent="0.3">
      <c r="A165" s="183"/>
      <c r="B165" s="183"/>
      <c r="C165" s="161" t="s">
        <v>51</v>
      </c>
      <c r="D165" s="184" t="s">
        <v>657</v>
      </c>
      <c r="E165" s="162" t="s">
        <v>148</v>
      </c>
      <c r="F165" s="164" t="s">
        <v>149</v>
      </c>
      <c r="G165" s="164">
        <v>0</v>
      </c>
      <c r="H165" s="164" t="s">
        <v>149</v>
      </c>
      <c r="I165" s="164" t="s">
        <v>150</v>
      </c>
      <c r="J165" s="179" t="s">
        <v>149</v>
      </c>
      <c r="K165" s="164" t="s">
        <v>149</v>
      </c>
      <c r="L165" s="164" t="s">
        <v>149</v>
      </c>
      <c r="M165" s="163"/>
      <c r="N165" s="163" t="s">
        <v>151</v>
      </c>
      <c r="O165" s="164" t="s">
        <v>548</v>
      </c>
      <c r="P165" s="164"/>
      <c r="Q165" s="184"/>
      <c r="R165" s="166"/>
      <c r="S165" s="169"/>
      <c r="T165" s="166"/>
      <c r="U165" s="166"/>
      <c r="V165" s="166"/>
      <c r="W165" s="166"/>
      <c r="X165" s="166"/>
      <c r="Y165" s="166"/>
      <c r="Z165" s="166"/>
      <c r="AA165" s="166"/>
      <c r="AB165" s="166"/>
      <c r="AC165" s="166"/>
      <c r="AD165" s="166"/>
      <c r="AE165" s="166"/>
      <c r="AF165" s="166"/>
      <c r="AG165" s="166"/>
      <c r="AH165" s="166"/>
      <c r="AI165" s="166"/>
      <c r="AJ165" s="166"/>
      <c r="AK165" s="166"/>
      <c r="AL165" s="166"/>
      <c r="AM165" s="166"/>
      <c r="AN165" s="166"/>
      <c r="AO165" s="166"/>
      <c r="AP165" s="166"/>
      <c r="AQ165" s="169" t="s">
        <v>14</v>
      </c>
      <c r="AR165" s="166" t="s">
        <v>199</v>
      </c>
      <c r="AS165" s="166"/>
      <c r="AT165" s="166"/>
      <c r="AU165" s="166"/>
      <c r="AV165" s="166"/>
      <c r="AW165" s="166"/>
      <c r="AX165" s="166"/>
      <c r="AY165" s="166"/>
      <c r="AZ165" s="166"/>
      <c r="BA165" s="166"/>
      <c r="BB165" s="166"/>
      <c r="BC165" s="166"/>
      <c r="BD165" s="166"/>
      <c r="BE165" s="164"/>
      <c r="BF165" s="164"/>
      <c r="BG165" s="164"/>
      <c r="BH165" s="301"/>
    </row>
    <row r="166" spans="1:60" s="185" customFormat="1" ht="14.7" customHeight="1" outlineLevel="1" x14ac:dyDescent="0.3">
      <c r="A166" s="183"/>
      <c r="B166" s="183"/>
      <c r="C166" s="161" t="s">
        <v>51</v>
      </c>
      <c r="D166" s="161" t="s">
        <v>665</v>
      </c>
      <c r="E166" s="162" t="s">
        <v>148</v>
      </c>
      <c r="F166" s="163" t="s">
        <v>149</v>
      </c>
      <c r="G166" s="164">
        <v>0</v>
      </c>
      <c r="H166" s="163" t="s">
        <v>149</v>
      </c>
      <c r="I166" s="164" t="s">
        <v>150</v>
      </c>
      <c r="J166" s="179" t="s">
        <v>149</v>
      </c>
      <c r="K166" s="163" t="s">
        <v>149</v>
      </c>
      <c r="L166" s="164" t="s">
        <v>149</v>
      </c>
      <c r="M166" s="163"/>
      <c r="N166" s="164" t="s">
        <v>151</v>
      </c>
      <c r="O166" s="164" t="s">
        <v>569</v>
      </c>
      <c r="P166" s="164"/>
      <c r="Q166" s="184"/>
      <c r="R166" s="166"/>
      <c r="S166" s="169"/>
      <c r="T166" s="166"/>
      <c r="U166" s="166"/>
      <c r="V166" s="166"/>
      <c r="W166" s="166"/>
      <c r="X166" s="166"/>
      <c r="Y166" s="166"/>
      <c r="Z166" s="166"/>
      <c r="AA166" s="166"/>
      <c r="AB166" s="166"/>
      <c r="AC166" s="166"/>
      <c r="AD166" s="166"/>
      <c r="AE166" s="166"/>
      <c r="AF166" s="166"/>
      <c r="AG166" s="166"/>
      <c r="AH166" s="166"/>
      <c r="AI166" s="166"/>
      <c r="AJ166" s="166"/>
      <c r="AK166" s="166"/>
      <c r="AL166" s="166"/>
      <c r="AM166" s="166"/>
      <c r="AN166" s="166"/>
      <c r="AO166" s="166"/>
      <c r="AP166" s="166"/>
      <c r="AQ166" s="169" t="s">
        <v>14</v>
      </c>
      <c r="AR166" s="166" t="s">
        <v>199</v>
      </c>
      <c r="AS166" s="166"/>
      <c r="AT166" s="166"/>
      <c r="AU166" s="166"/>
      <c r="AV166" s="166"/>
      <c r="AW166" s="166"/>
      <c r="AX166" s="166"/>
      <c r="AY166" s="166"/>
      <c r="AZ166" s="166"/>
      <c r="BA166" s="166"/>
      <c r="BB166" s="166"/>
      <c r="BC166" s="166"/>
      <c r="BD166" s="166"/>
      <c r="BE166" s="164"/>
      <c r="BF166" s="164"/>
      <c r="BG166" s="164"/>
      <c r="BH166" s="301"/>
    </row>
    <row r="167" spans="1:60" s="185" customFormat="1" ht="14.7" customHeight="1" outlineLevel="1" x14ac:dyDescent="0.3">
      <c r="A167" s="183"/>
      <c r="B167" s="183"/>
      <c r="C167" s="161" t="s">
        <v>51</v>
      </c>
      <c r="D167" s="161" t="s">
        <v>663</v>
      </c>
      <c r="E167" s="162" t="s">
        <v>374</v>
      </c>
      <c r="F167" s="163" t="s">
        <v>149</v>
      </c>
      <c r="G167" s="164">
        <v>0</v>
      </c>
      <c r="H167" s="163" t="s">
        <v>149</v>
      </c>
      <c r="I167" s="164" t="s">
        <v>150</v>
      </c>
      <c r="J167" s="179" t="s">
        <v>149</v>
      </c>
      <c r="K167" s="163" t="s">
        <v>149</v>
      </c>
      <c r="L167" s="164" t="s">
        <v>149</v>
      </c>
      <c r="M167" s="163"/>
      <c r="N167" s="164" t="s">
        <v>151</v>
      </c>
      <c r="O167" s="164" t="s">
        <v>1161</v>
      </c>
      <c r="P167" s="164"/>
      <c r="Q167" s="184"/>
      <c r="R167" s="166"/>
      <c r="S167" s="169"/>
      <c r="T167" s="166"/>
      <c r="U167" s="166"/>
      <c r="V167" s="166"/>
      <c r="W167" s="166"/>
      <c r="X167" s="166"/>
      <c r="Y167" s="166"/>
      <c r="Z167" s="166"/>
      <c r="AA167" s="166"/>
      <c r="AB167" s="166"/>
      <c r="AC167" s="166"/>
      <c r="AD167" s="166"/>
      <c r="AE167" s="166"/>
      <c r="AF167" s="166"/>
      <c r="AG167" s="166"/>
      <c r="AH167" s="166"/>
      <c r="AI167" s="166"/>
      <c r="AJ167" s="166"/>
      <c r="AK167" s="166"/>
      <c r="AL167" s="166"/>
      <c r="AM167" s="166"/>
      <c r="AN167" s="166"/>
      <c r="AO167" s="166"/>
      <c r="AP167" s="166"/>
      <c r="AQ167" s="169" t="s">
        <v>14</v>
      </c>
      <c r="AR167" s="166" t="s">
        <v>199</v>
      </c>
      <c r="AS167" s="166"/>
      <c r="AT167" s="166"/>
      <c r="AU167" s="166"/>
      <c r="AV167" s="166"/>
      <c r="AW167" s="166"/>
      <c r="AX167" s="166"/>
      <c r="AY167" s="166"/>
      <c r="AZ167" s="166"/>
      <c r="BA167" s="166"/>
      <c r="BB167" s="166"/>
      <c r="BC167" s="166"/>
      <c r="BD167" s="166"/>
      <c r="BE167" s="164"/>
      <c r="BF167" s="164"/>
      <c r="BG167" s="164"/>
      <c r="BH167" s="784" t="s">
        <v>1164</v>
      </c>
    </row>
    <row r="168" spans="1:60" s="185" customFormat="1" ht="14.7" customHeight="1" outlineLevel="1" x14ac:dyDescent="0.3">
      <c r="A168" s="183"/>
      <c r="B168" s="183"/>
      <c r="C168" s="161" t="s">
        <v>51</v>
      </c>
      <c r="D168" s="842" t="s">
        <v>661</v>
      </c>
      <c r="E168" s="842" t="s">
        <v>148</v>
      </c>
      <c r="F168" s="163" t="s">
        <v>149</v>
      </c>
      <c r="G168" s="164">
        <v>0</v>
      </c>
      <c r="H168" s="163" t="s">
        <v>149</v>
      </c>
      <c r="I168" s="164" t="s">
        <v>150</v>
      </c>
      <c r="J168" s="179" t="s">
        <v>149</v>
      </c>
      <c r="K168" s="163" t="s">
        <v>149</v>
      </c>
      <c r="L168" s="164" t="s">
        <v>149</v>
      </c>
      <c r="M168" s="163"/>
      <c r="N168" s="164" t="s">
        <v>151</v>
      </c>
      <c r="O168" s="716" t="s">
        <v>1162</v>
      </c>
      <c r="P168" s="164" t="s">
        <v>1163</v>
      </c>
      <c r="Q168" s="184"/>
      <c r="R168" s="166"/>
      <c r="S168" s="169"/>
      <c r="T168" s="166"/>
      <c r="U168" s="166"/>
      <c r="V168" s="166"/>
      <c r="W168" s="166"/>
      <c r="X168" s="166"/>
      <c r="Y168" s="166"/>
      <c r="Z168" s="166"/>
      <c r="AA168" s="166"/>
      <c r="AB168" s="166"/>
      <c r="AC168" s="166"/>
      <c r="AD168" s="166"/>
      <c r="AE168" s="166"/>
      <c r="AF168" s="166"/>
      <c r="AG168" s="166"/>
      <c r="AH168" s="166"/>
      <c r="AI168" s="166"/>
      <c r="AJ168" s="166"/>
      <c r="AK168" s="166"/>
      <c r="AL168" s="166"/>
      <c r="AM168" s="166"/>
      <c r="AN168" s="166"/>
      <c r="AO168" s="166"/>
      <c r="AP168" s="166"/>
      <c r="AQ168" s="169"/>
      <c r="AR168" s="166"/>
      <c r="AS168" s="166"/>
      <c r="AT168" s="166"/>
      <c r="AU168" s="166"/>
      <c r="AV168" s="166"/>
      <c r="AW168" s="166"/>
      <c r="AX168" s="166"/>
      <c r="AY168" s="166"/>
      <c r="AZ168" s="166"/>
      <c r="BA168" s="166"/>
      <c r="BB168" s="166"/>
      <c r="BC168" s="166"/>
      <c r="BD168" s="166" t="s">
        <v>199</v>
      </c>
      <c r="BE168" s="164"/>
      <c r="BF168" s="164"/>
      <c r="BG168" s="164"/>
      <c r="BH168" s="784"/>
    </row>
    <row r="169" spans="1:60" s="185" customFormat="1" ht="14.7" customHeight="1" outlineLevel="1" x14ac:dyDescent="0.3">
      <c r="A169" s="183"/>
      <c r="B169" s="183"/>
      <c r="C169" s="161" t="s">
        <v>51</v>
      </c>
      <c r="D169" s="843"/>
      <c r="E169" s="843"/>
      <c r="F169" s="163" t="s">
        <v>149</v>
      </c>
      <c r="G169" s="164">
        <v>0</v>
      </c>
      <c r="H169" s="163" t="s">
        <v>149</v>
      </c>
      <c r="I169" s="164" t="s">
        <v>150</v>
      </c>
      <c r="J169" s="179" t="s">
        <v>149</v>
      </c>
      <c r="K169" s="163" t="s">
        <v>340</v>
      </c>
      <c r="L169" s="164" t="s">
        <v>149</v>
      </c>
      <c r="M169" s="163"/>
      <c r="N169" s="164" t="s">
        <v>151</v>
      </c>
      <c r="O169" s="718"/>
      <c r="P169" s="164"/>
      <c r="Q169" s="184"/>
      <c r="R169" s="166"/>
      <c r="S169" s="166"/>
      <c r="T169" s="166"/>
      <c r="U169" s="166"/>
      <c r="V169" s="166"/>
      <c r="W169" s="166"/>
      <c r="X169" s="166"/>
      <c r="Y169" s="166"/>
      <c r="Z169" s="166"/>
      <c r="AA169" s="166"/>
      <c r="AB169" s="166"/>
      <c r="AC169" s="166"/>
      <c r="AD169" s="166"/>
      <c r="AE169" s="166"/>
      <c r="AF169" s="166"/>
      <c r="AG169" s="166"/>
      <c r="AH169" s="166"/>
      <c r="AI169" s="166"/>
      <c r="AJ169" s="166"/>
      <c r="AK169" s="166"/>
      <c r="AL169" s="166"/>
      <c r="AM169" s="166"/>
      <c r="AN169" s="166"/>
      <c r="AO169" s="166"/>
      <c r="AP169" s="166"/>
      <c r="AQ169" s="166" t="s">
        <v>199</v>
      </c>
      <c r="AR169" s="166" t="s">
        <v>199</v>
      </c>
      <c r="AS169" s="166"/>
      <c r="AT169" s="166"/>
      <c r="AU169" s="166"/>
      <c r="AV169" s="166"/>
      <c r="AW169" s="166"/>
      <c r="AX169" s="166"/>
      <c r="AY169" s="166"/>
      <c r="AZ169" s="166"/>
      <c r="BA169" s="166"/>
      <c r="BB169" s="166"/>
      <c r="BC169" s="166"/>
      <c r="BD169" s="166"/>
      <c r="BE169" s="164"/>
      <c r="BF169" s="164"/>
      <c r="BG169" s="164"/>
      <c r="BH169" s="302"/>
    </row>
    <row r="170" spans="1:60" s="185" customFormat="1" ht="14.7" customHeight="1" outlineLevel="1" x14ac:dyDescent="0.3">
      <c r="A170" s="183"/>
      <c r="B170" s="183"/>
      <c r="C170" s="161" t="s">
        <v>51</v>
      </c>
      <c r="D170" s="161" t="s">
        <v>670</v>
      </c>
      <c r="E170" s="162" t="s">
        <v>148</v>
      </c>
      <c r="F170" s="163" t="s">
        <v>149</v>
      </c>
      <c r="G170" s="164">
        <v>0</v>
      </c>
      <c r="H170" s="163" t="s">
        <v>149</v>
      </c>
      <c r="I170" s="164" t="s">
        <v>150</v>
      </c>
      <c r="J170" s="179" t="s">
        <v>149</v>
      </c>
      <c r="K170" s="163" t="s">
        <v>149</v>
      </c>
      <c r="L170" s="164" t="s">
        <v>149</v>
      </c>
      <c r="M170" s="163"/>
      <c r="N170" s="164" t="s">
        <v>151</v>
      </c>
      <c r="O170" s="164" t="s">
        <v>582</v>
      </c>
      <c r="P170" s="164"/>
      <c r="Q170" s="184"/>
      <c r="R170" s="166"/>
      <c r="S170" s="169"/>
      <c r="T170" s="166"/>
      <c r="U170" s="166"/>
      <c r="V170" s="166"/>
      <c r="W170" s="166"/>
      <c r="X170" s="166"/>
      <c r="Y170" s="166"/>
      <c r="Z170" s="166"/>
      <c r="AA170" s="166"/>
      <c r="AB170" s="166"/>
      <c r="AC170" s="166"/>
      <c r="AD170" s="166"/>
      <c r="AE170" s="166"/>
      <c r="AF170" s="166"/>
      <c r="AG170" s="166"/>
      <c r="AH170" s="166"/>
      <c r="AI170" s="166"/>
      <c r="AJ170" s="166"/>
      <c r="AK170" s="166"/>
      <c r="AL170" s="166"/>
      <c r="AM170" s="166"/>
      <c r="AN170" s="166"/>
      <c r="AO170" s="166"/>
      <c r="AP170" s="166"/>
      <c r="AQ170" s="169" t="s">
        <v>14</v>
      </c>
      <c r="AR170" s="166" t="s">
        <v>199</v>
      </c>
      <c r="AS170" s="166"/>
      <c r="AT170" s="166"/>
      <c r="AU170" s="166"/>
      <c r="AV170" s="166"/>
      <c r="AW170" s="166"/>
      <c r="AX170" s="166"/>
      <c r="AY170" s="166"/>
      <c r="AZ170" s="166"/>
      <c r="BA170" s="166"/>
      <c r="BB170" s="166"/>
      <c r="BC170" s="166"/>
      <c r="BD170" s="166"/>
      <c r="BE170" s="164"/>
      <c r="BF170" s="164"/>
      <c r="BG170" s="164"/>
      <c r="BH170" s="302"/>
    </row>
    <row r="171" spans="1:60" s="185" customFormat="1" ht="14.7" customHeight="1" outlineLevel="1" x14ac:dyDescent="0.3">
      <c r="A171" s="183"/>
      <c r="B171" s="183"/>
      <c r="C171" s="161" t="s">
        <v>51</v>
      </c>
      <c r="D171" s="184" t="s">
        <v>658</v>
      </c>
      <c r="E171" s="184" t="s">
        <v>193</v>
      </c>
      <c r="F171" s="164" t="s">
        <v>1165</v>
      </c>
      <c r="G171" s="164" t="s">
        <v>1010</v>
      </c>
      <c r="H171" s="164" t="s">
        <v>36</v>
      </c>
      <c r="I171" s="164" t="s">
        <v>300</v>
      </c>
      <c r="J171" s="179" t="s">
        <v>149</v>
      </c>
      <c r="K171" s="164" t="s">
        <v>149</v>
      </c>
      <c r="L171" s="164" t="s">
        <v>149</v>
      </c>
      <c r="M171" s="163"/>
      <c r="N171" s="163" t="s">
        <v>151</v>
      </c>
      <c r="O171" s="164" t="s">
        <v>1016</v>
      </c>
      <c r="P171" s="164"/>
      <c r="Q171" s="184"/>
      <c r="R171" s="166"/>
      <c r="S171" s="166"/>
      <c r="T171" s="166"/>
      <c r="U171" s="166"/>
      <c r="V171" s="166"/>
      <c r="W171" s="166"/>
      <c r="X171" s="166"/>
      <c r="Y171" s="166"/>
      <c r="Z171" s="166"/>
      <c r="AA171" s="166"/>
      <c r="AB171" s="166"/>
      <c r="AC171" s="166"/>
      <c r="AD171" s="166"/>
      <c r="AE171" s="166"/>
      <c r="AF171" s="166"/>
      <c r="AG171" s="166"/>
      <c r="AH171" s="166"/>
      <c r="AI171" s="166"/>
      <c r="AJ171" s="166"/>
      <c r="AK171" s="166"/>
      <c r="AL171" s="166"/>
      <c r="AM171" s="166"/>
      <c r="AN171" s="166"/>
      <c r="AO171" s="166"/>
      <c r="AP171" s="166"/>
      <c r="AQ171" s="166" t="s">
        <v>199</v>
      </c>
      <c r="AR171" s="166" t="s">
        <v>199</v>
      </c>
      <c r="AS171" s="166"/>
      <c r="AT171" s="166"/>
      <c r="AU171" s="166"/>
      <c r="AV171" s="166"/>
      <c r="AW171" s="166"/>
      <c r="AX171" s="166"/>
      <c r="AY171" s="166"/>
      <c r="AZ171" s="166"/>
      <c r="BA171" s="166"/>
      <c r="BB171" s="166"/>
      <c r="BC171" s="166"/>
      <c r="BD171" s="166"/>
      <c r="BE171" s="164" t="s">
        <v>642</v>
      </c>
      <c r="BF171" s="164"/>
      <c r="BG171" s="164"/>
      <c r="BH171" s="302"/>
    </row>
    <row r="172" spans="1:60" s="27" customFormat="1" ht="14.7" customHeight="1" outlineLevel="1" x14ac:dyDescent="0.3">
      <c r="A172" s="77" t="s">
        <v>1166</v>
      </c>
      <c r="B172" s="154"/>
      <c r="C172" s="69"/>
      <c r="D172" s="69"/>
      <c r="E172" s="69"/>
      <c r="F172" s="70"/>
      <c r="G172" s="70"/>
      <c r="H172" s="70"/>
      <c r="I172" s="70"/>
      <c r="J172" s="71"/>
      <c r="K172" s="71"/>
      <c r="L172" s="71"/>
      <c r="M172" s="70"/>
      <c r="N172" s="70"/>
      <c r="O172" s="70"/>
      <c r="P172" s="70"/>
      <c r="Q172" s="69"/>
      <c r="R172" s="69"/>
      <c r="S172" s="69"/>
      <c r="T172" s="72"/>
      <c r="U172" s="72"/>
      <c r="V172" s="72"/>
      <c r="W172" s="72"/>
      <c r="X172" s="72"/>
      <c r="Y172" s="69"/>
      <c r="Z172" s="72"/>
      <c r="AA172" s="72"/>
      <c r="AB172" s="72"/>
      <c r="AC172" s="72"/>
      <c r="AD172" s="72"/>
      <c r="AE172" s="72"/>
      <c r="AF172" s="72"/>
      <c r="AG172" s="72"/>
      <c r="AH172" s="72"/>
      <c r="AI172" s="72"/>
      <c r="AJ172" s="72"/>
      <c r="AK172" s="72"/>
      <c r="AL172" s="72"/>
      <c r="AM172" s="72"/>
      <c r="AN172" s="72"/>
      <c r="AO172" s="72"/>
      <c r="AP172" s="69"/>
      <c r="AQ172" s="69"/>
      <c r="AR172" s="72"/>
      <c r="AS172" s="72"/>
      <c r="AT172" s="72"/>
      <c r="AU172" s="72"/>
      <c r="AV172" s="72"/>
      <c r="AW172" s="72"/>
      <c r="AX172" s="72"/>
      <c r="AY172" s="72"/>
      <c r="AZ172" s="72"/>
      <c r="BA172" s="72"/>
      <c r="BB172" s="72"/>
      <c r="BC172" s="72"/>
      <c r="BD172" s="72"/>
      <c r="BE172" s="78"/>
      <c r="BH172" s="303"/>
    </row>
    <row r="173" spans="1:60" s="185" customFormat="1" ht="14.7" customHeight="1" outlineLevel="1" x14ac:dyDescent="0.3">
      <c r="A173" s="183"/>
      <c r="B173" s="183"/>
      <c r="C173" s="161" t="s">
        <v>51</v>
      </c>
      <c r="D173" s="179" t="s">
        <v>1027</v>
      </c>
      <c r="E173" s="179" t="s">
        <v>790</v>
      </c>
      <c r="F173" s="164">
        <v>0</v>
      </c>
      <c r="G173" s="164">
        <v>0</v>
      </c>
      <c r="H173" s="164" t="s">
        <v>149</v>
      </c>
      <c r="I173" s="164" t="s">
        <v>150</v>
      </c>
      <c r="J173" s="179" t="s">
        <v>149</v>
      </c>
      <c r="K173" s="164" t="s">
        <v>149</v>
      </c>
      <c r="L173" s="164" t="s">
        <v>149</v>
      </c>
      <c r="M173" s="164"/>
      <c r="N173" s="164" t="s">
        <v>151</v>
      </c>
      <c r="O173" s="164" t="s">
        <v>1028</v>
      </c>
      <c r="P173" s="164" t="s">
        <v>1167</v>
      </c>
      <c r="Q173" s="179"/>
      <c r="R173" s="166"/>
      <c r="S173" s="257"/>
      <c r="T173" s="257"/>
      <c r="U173" s="166"/>
      <c r="V173" s="166"/>
      <c r="W173" s="166"/>
      <c r="X173" s="166"/>
      <c r="Y173" s="166"/>
      <c r="Z173" s="166"/>
      <c r="AA173" s="166"/>
      <c r="AB173" s="166"/>
      <c r="AC173" s="166"/>
      <c r="AD173" s="166"/>
      <c r="AE173" s="166"/>
      <c r="AF173" s="166"/>
      <c r="AG173" s="166"/>
      <c r="AH173" s="166"/>
      <c r="AI173" s="166"/>
      <c r="AJ173" s="166"/>
      <c r="AK173" s="166"/>
      <c r="AL173" s="166"/>
      <c r="AM173" s="166"/>
      <c r="AN173" s="166"/>
      <c r="AO173" s="166"/>
      <c r="AP173" s="166" t="s">
        <v>199</v>
      </c>
      <c r="AQ173" s="257"/>
      <c r="AR173" s="166"/>
      <c r="AS173" s="166"/>
      <c r="AT173" s="166"/>
      <c r="AU173" s="166"/>
      <c r="AV173" s="166"/>
      <c r="AW173" s="166"/>
      <c r="AX173" s="166"/>
      <c r="AY173" s="166"/>
      <c r="AZ173" s="166"/>
      <c r="BA173" s="166"/>
      <c r="BB173" s="166"/>
      <c r="BC173" s="166"/>
      <c r="BD173" s="356"/>
      <c r="BE173" s="187"/>
      <c r="BF173" s="303"/>
    </row>
    <row r="174" spans="1:60" s="185" customFormat="1" ht="14.7" customHeight="1" outlineLevel="1" x14ac:dyDescent="0.3">
      <c r="A174" s="183"/>
      <c r="B174" s="183"/>
      <c r="C174" s="161" t="s">
        <v>51</v>
      </c>
      <c r="D174" s="179" t="s">
        <v>1168</v>
      </c>
      <c r="E174" s="179" t="s">
        <v>790</v>
      </c>
      <c r="F174" s="164">
        <v>0</v>
      </c>
      <c r="G174" s="164">
        <v>0</v>
      </c>
      <c r="H174" s="164" t="s">
        <v>149</v>
      </c>
      <c r="I174" s="164" t="s">
        <v>150</v>
      </c>
      <c r="J174" s="179" t="s">
        <v>149</v>
      </c>
      <c r="K174" s="164" t="s">
        <v>149</v>
      </c>
      <c r="L174" s="164" t="s">
        <v>149</v>
      </c>
      <c r="M174" s="164"/>
      <c r="N174" s="164" t="s">
        <v>151</v>
      </c>
      <c r="O174" s="164" t="s">
        <v>1028</v>
      </c>
      <c r="P174" s="164" t="s">
        <v>1169</v>
      </c>
      <c r="Q174" s="179"/>
      <c r="R174" s="166"/>
      <c r="S174" s="257"/>
      <c r="T174" s="257"/>
      <c r="U174" s="166"/>
      <c r="V174" s="166"/>
      <c r="W174" s="166"/>
      <c r="X174" s="166"/>
      <c r="Y174" s="166"/>
      <c r="Z174" s="166"/>
      <c r="AA174" s="166"/>
      <c r="AB174" s="166"/>
      <c r="AC174" s="166"/>
      <c r="AD174" s="166"/>
      <c r="AE174" s="166"/>
      <c r="AF174" s="166"/>
      <c r="AG174" s="166"/>
      <c r="AH174" s="166"/>
      <c r="AI174" s="166"/>
      <c r="AJ174" s="166"/>
      <c r="AK174" s="166"/>
      <c r="AL174" s="166"/>
      <c r="AM174" s="166"/>
      <c r="AN174" s="166"/>
      <c r="AO174" s="166"/>
      <c r="AP174" s="166" t="s">
        <v>199</v>
      </c>
      <c r="AQ174" s="257"/>
      <c r="AR174" s="166"/>
      <c r="AS174" s="166"/>
      <c r="AT174" s="166"/>
      <c r="AU174" s="166"/>
      <c r="AV174" s="166"/>
      <c r="AW174" s="166"/>
      <c r="AX174" s="166"/>
      <c r="AY174" s="166"/>
      <c r="AZ174" s="166"/>
      <c r="BA174" s="166"/>
      <c r="BB174" s="166"/>
      <c r="BC174" s="166"/>
      <c r="BD174" s="356"/>
      <c r="BE174" s="187"/>
      <c r="BF174" s="303"/>
    </row>
    <row r="175" spans="1:60" s="27" customFormat="1" ht="14.7" customHeight="1" outlineLevel="1" x14ac:dyDescent="0.3">
      <c r="A175" s="77" t="s">
        <v>1170</v>
      </c>
      <c r="B175" s="154"/>
      <c r="C175" s="69"/>
      <c r="D175" s="69"/>
      <c r="E175" s="69"/>
      <c r="F175" s="70"/>
      <c r="G175" s="70"/>
      <c r="H175" s="70"/>
      <c r="I175" s="70"/>
      <c r="J175" s="71"/>
      <c r="K175" s="71"/>
      <c r="L175" s="71"/>
      <c r="M175" s="70"/>
      <c r="N175" s="70"/>
      <c r="O175" s="70"/>
      <c r="P175" s="70"/>
      <c r="Q175" s="69"/>
      <c r="R175" s="69"/>
      <c r="S175" s="69"/>
      <c r="T175" s="72"/>
      <c r="U175" s="72"/>
      <c r="V175" s="72"/>
      <c r="W175" s="72"/>
      <c r="X175" s="72"/>
      <c r="Y175" s="69"/>
      <c r="Z175" s="72"/>
      <c r="AA175" s="72"/>
      <c r="AB175" s="72"/>
      <c r="AC175" s="72"/>
      <c r="AD175" s="72"/>
      <c r="AE175" s="72"/>
      <c r="AF175" s="72"/>
      <c r="AG175" s="72"/>
      <c r="AH175" s="72"/>
      <c r="AI175" s="72"/>
      <c r="AJ175" s="72"/>
      <c r="AK175" s="72"/>
      <c r="AL175" s="72"/>
      <c r="AM175" s="72"/>
      <c r="AN175" s="72"/>
      <c r="AO175" s="72"/>
      <c r="AP175" s="69"/>
      <c r="AQ175" s="69"/>
      <c r="AR175" s="72"/>
      <c r="AS175" s="72"/>
      <c r="AT175" s="72"/>
      <c r="AU175" s="72"/>
      <c r="AV175" s="72"/>
      <c r="AW175" s="72"/>
      <c r="AX175" s="72"/>
      <c r="AY175" s="72"/>
      <c r="AZ175" s="72"/>
      <c r="BA175" s="72"/>
      <c r="BB175" s="72"/>
      <c r="BC175" s="72"/>
      <c r="BD175" s="72"/>
      <c r="BE175" s="261"/>
      <c r="BF175" s="72"/>
      <c r="BG175" s="72"/>
      <c r="BH175" s="281"/>
    </row>
    <row r="176" spans="1:60" s="180" customFormat="1" ht="25.5" customHeight="1" outlineLevel="1" x14ac:dyDescent="0.3">
      <c r="A176" s="176"/>
      <c r="B176" s="177"/>
      <c r="C176" s="161" t="s">
        <v>51</v>
      </c>
      <c r="D176" s="161" t="s">
        <v>1171</v>
      </c>
      <c r="E176" s="161" t="s">
        <v>1105</v>
      </c>
      <c r="F176" s="164" t="s">
        <v>149</v>
      </c>
      <c r="G176" s="164">
        <v>1</v>
      </c>
      <c r="H176" s="164" t="s">
        <v>149</v>
      </c>
      <c r="I176" s="164" t="s">
        <v>150</v>
      </c>
      <c r="J176" s="179" t="s">
        <v>149</v>
      </c>
      <c r="K176" s="179" t="s">
        <v>149</v>
      </c>
      <c r="L176" s="179" t="s">
        <v>149</v>
      </c>
      <c r="M176" s="163"/>
      <c r="N176" s="163" t="s">
        <v>151</v>
      </c>
      <c r="O176" s="163" t="s">
        <v>1172</v>
      </c>
      <c r="P176" s="164" t="s">
        <v>1107</v>
      </c>
      <c r="Q176" s="161"/>
      <c r="R176" s="166"/>
      <c r="S176" s="166"/>
      <c r="T176" s="166"/>
      <c r="U176" s="164"/>
      <c r="V176" s="164"/>
      <c r="W176" s="164"/>
      <c r="X176" s="164"/>
      <c r="Y176" s="164"/>
      <c r="Z176" s="164"/>
      <c r="AA176" s="164"/>
      <c r="AB176" s="164"/>
      <c r="AC176" s="164"/>
      <c r="AD176" s="164"/>
      <c r="AE176" s="164"/>
      <c r="AF176" s="164"/>
      <c r="AG176" s="164"/>
      <c r="AH176" s="164"/>
      <c r="AI176" s="164"/>
      <c r="AJ176" s="164"/>
      <c r="AK176" s="164"/>
      <c r="AL176" s="164"/>
      <c r="AM176" s="164"/>
      <c r="AN176" s="164"/>
      <c r="AO176" s="164"/>
      <c r="AP176" s="166"/>
      <c r="AQ176" s="166"/>
      <c r="AR176" s="164"/>
      <c r="AS176" s="164"/>
      <c r="AT176" s="164"/>
      <c r="AU176" s="164"/>
      <c r="AV176" s="164"/>
      <c r="AW176" s="164" t="s">
        <v>14</v>
      </c>
      <c r="AX176" s="164" t="s">
        <v>14</v>
      </c>
      <c r="AY176" s="164"/>
      <c r="AZ176" s="164"/>
      <c r="BA176" s="166" t="s">
        <v>14</v>
      </c>
      <c r="BB176" s="166"/>
      <c r="BC176" s="164"/>
      <c r="BD176" s="164"/>
      <c r="BE176" s="804" t="s">
        <v>1173</v>
      </c>
      <c r="BF176" s="766" t="s">
        <v>1174</v>
      </c>
    </row>
    <row r="177" spans="1:60" s="180" customFormat="1" ht="25.5" customHeight="1" outlineLevel="1" x14ac:dyDescent="0.3">
      <c r="A177" s="176"/>
      <c r="B177" s="177"/>
      <c r="C177" s="161" t="s">
        <v>51</v>
      </c>
      <c r="D177" s="161" t="s">
        <v>1175</v>
      </c>
      <c r="E177" s="161" t="s">
        <v>1105</v>
      </c>
      <c r="F177" s="164" t="s">
        <v>149</v>
      </c>
      <c r="G177" s="164">
        <v>1</v>
      </c>
      <c r="H177" s="164" t="s">
        <v>149</v>
      </c>
      <c r="I177" s="164" t="s">
        <v>150</v>
      </c>
      <c r="J177" s="179" t="s">
        <v>149</v>
      </c>
      <c r="K177" s="179" t="s">
        <v>149</v>
      </c>
      <c r="L177" s="179" t="s">
        <v>149</v>
      </c>
      <c r="M177" s="163"/>
      <c r="N177" s="163" t="s">
        <v>151</v>
      </c>
      <c r="O177" s="163" t="s">
        <v>1172</v>
      </c>
      <c r="P177" s="164" t="s">
        <v>1107</v>
      </c>
      <c r="Q177" s="161"/>
      <c r="R177" s="166"/>
      <c r="S177" s="166"/>
      <c r="T177" s="166"/>
      <c r="U177" s="164"/>
      <c r="V177" s="164"/>
      <c r="W177" s="164"/>
      <c r="X177" s="164"/>
      <c r="Y177" s="164"/>
      <c r="Z177" s="164"/>
      <c r="AA177" s="164"/>
      <c r="AB177" s="164"/>
      <c r="AC177" s="164"/>
      <c r="AD177" s="164"/>
      <c r="AE177" s="164"/>
      <c r="AF177" s="164"/>
      <c r="AG177" s="164"/>
      <c r="AH177" s="164"/>
      <c r="AI177" s="164"/>
      <c r="AJ177" s="164"/>
      <c r="AK177" s="164"/>
      <c r="AL177" s="164"/>
      <c r="AM177" s="164"/>
      <c r="AN177" s="164"/>
      <c r="AO177" s="164"/>
      <c r="AP177" s="166"/>
      <c r="AQ177" s="166"/>
      <c r="AR177" s="164"/>
      <c r="AS177" s="164"/>
      <c r="AT177" s="164"/>
      <c r="AU177" s="164"/>
      <c r="AV177" s="164"/>
      <c r="AW177" s="164"/>
      <c r="AX177" s="164"/>
      <c r="AY177" s="164" t="s">
        <v>14</v>
      </c>
      <c r="AZ177" s="164" t="s">
        <v>14</v>
      </c>
      <c r="BA177" s="166"/>
      <c r="BB177" s="166" t="s">
        <v>14</v>
      </c>
      <c r="BC177" s="164"/>
      <c r="BD177" s="164"/>
      <c r="BE177" s="805"/>
      <c r="BF177" s="796"/>
    </row>
    <row r="178" spans="1:60" s="27" customFormat="1" ht="14.7" customHeight="1" outlineLevel="1" x14ac:dyDescent="0.3">
      <c r="A178" s="77" t="s">
        <v>1176</v>
      </c>
      <c r="B178" s="154"/>
      <c r="C178" s="69"/>
      <c r="D178" s="69"/>
      <c r="E178" s="69"/>
      <c r="F178" s="70"/>
      <c r="G178" s="70"/>
      <c r="H178" s="70"/>
      <c r="I178" s="70"/>
      <c r="J178" s="70"/>
      <c r="K178" s="71"/>
      <c r="L178" s="71"/>
      <c r="M178" s="70"/>
      <c r="N178" s="70"/>
      <c r="O178" s="70"/>
      <c r="P178" s="70"/>
      <c r="Q178" s="69"/>
      <c r="R178" s="69"/>
      <c r="S178" s="69"/>
      <c r="T178" s="72"/>
      <c r="U178" s="72"/>
      <c r="V178" s="72"/>
      <c r="W178" s="72"/>
      <c r="X178" s="72"/>
      <c r="Y178" s="69"/>
      <c r="Z178" s="72"/>
      <c r="AA178" s="72"/>
      <c r="AB178" s="72"/>
      <c r="AC178" s="72"/>
      <c r="AD178" s="72"/>
      <c r="AE178" s="72"/>
      <c r="AF178" s="72"/>
      <c r="AG178" s="72"/>
      <c r="AH178" s="72"/>
      <c r="AI178" s="72"/>
      <c r="AJ178" s="72"/>
      <c r="AK178" s="72"/>
      <c r="AL178" s="72"/>
      <c r="AM178" s="72"/>
      <c r="AN178" s="72"/>
      <c r="AO178" s="72"/>
      <c r="AP178" s="69"/>
      <c r="AQ178" s="69"/>
      <c r="AR178" s="72"/>
      <c r="AS178" s="72"/>
      <c r="AT178" s="72"/>
      <c r="AU178" s="72"/>
      <c r="AV178" s="72"/>
      <c r="AW178" s="72"/>
      <c r="AX178" s="72"/>
      <c r="AY178" s="72"/>
      <c r="AZ178" s="72"/>
      <c r="BA178" s="72"/>
      <c r="BB178" s="72"/>
      <c r="BC178" s="72"/>
      <c r="BD178" s="72"/>
      <c r="BE178" s="261"/>
      <c r="BF178" s="72"/>
      <c r="BG178" s="72"/>
      <c r="BH178" s="281"/>
    </row>
    <row r="179" spans="1:60" s="180" customFormat="1" ht="24" customHeight="1" outlineLevel="1" x14ac:dyDescent="0.3">
      <c r="A179" s="176"/>
      <c r="B179" s="177"/>
      <c r="C179" s="161" t="s">
        <v>51</v>
      </c>
      <c r="D179" s="161" t="s">
        <v>1177</v>
      </c>
      <c r="E179" s="161" t="s">
        <v>1033</v>
      </c>
      <c r="F179" s="175" t="s">
        <v>149</v>
      </c>
      <c r="G179" s="164">
        <v>1</v>
      </c>
      <c r="H179" s="164" t="s">
        <v>149</v>
      </c>
      <c r="I179" s="164" t="s">
        <v>150</v>
      </c>
      <c r="J179" s="179" t="s">
        <v>149</v>
      </c>
      <c r="K179" s="179" t="s">
        <v>149</v>
      </c>
      <c r="L179" s="164" t="s">
        <v>149</v>
      </c>
      <c r="M179" s="163"/>
      <c r="N179" s="173" t="s">
        <v>151</v>
      </c>
      <c r="O179" s="163" t="s">
        <v>1178</v>
      </c>
      <c r="P179" s="173" t="s">
        <v>1035</v>
      </c>
      <c r="Q179" s="161"/>
      <c r="R179" s="166"/>
      <c r="S179" s="166"/>
      <c r="T179" s="164"/>
      <c r="U179" s="164"/>
      <c r="V179" s="164"/>
      <c r="W179" s="164"/>
      <c r="X179" s="164"/>
      <c r="Y179" s="164"/>
      <c r="Z179" s="164"/>
      <c r="AA179" s="164"/>
      <c r="AB179" s="164"/>
      <c r="AC179" s="164"/>
      <c r="AD179" s="164"/>
      <c r="AE179" s="164"/>
      <c r="AF179" s="164"/>
      <c r="AG179" s="164"/>
      <c r="AH179" s="164"/>
      <c r="AI179" s="164"/>
      <c r="AJ179" s="164"/>
      <c r="AK179" s="164"/>
      <c r="AL179" s="164"/>
      <c r="AM179" s="164"/>
      <c r="AN179" s="164"/>
      <c r="AO179" s="164"/>
      <c r="AP179" s="166" t="s">
        <v>1159</v>
      </c>
      <c r="AQ179" s="166" t="s">
        <v>1159</v>
      </c>
      <c r="AR179" s="164"/>
      <c r="AS179" s="164"/>
      <c r="AT179" s="164"/>
      <c r="AU179" s="164"/>
      <c r="AV179" s="164"/>
      <c r="AW179" s="164"/>
      <c r="AX179" s="164"/>
      <c r="AY179" s="164"/>
      <c r="AZ179" s="164"/>
      <c r="BA179" s="164"/>
      <c r="BB179" s="164"/>
      <c r="BC179" s="164"/>
      <c r="BD179" s="164"/>
      <c r="BE179" s="803" t="s">
        <v>1179</v>
      </c>
      <c r="BF179" s="264"/>
      <c r="BG179" s="264"/>
      <c r="BH179" s="785"/>
    </row>
    <row r="180" spans="1:60" s="180" customFormat="1" ht="47.25" customHeight="1" outlineLevel="1" x14ac:dyDescent="0.3">
      <c r="A180" s="176"/>
      <c r="B180" s="177"/>
      <c r="C180" s="161" t="s">
        <v>51</v>
      </c>
      <c r="D180" s="161" t="s">
        <v>1180</v>
      </c>
      <c r="E180" s="161" t="s">
        <v>1033</v>
      </c>
      <c r="F180" s="175" t="s">
        <v>149</v>
      </c>
      <c r="G180" s="164">
        <v>1</v>
      </c>
      <c r="H180" s="164" t="s">
        <v>149</v>
      </c>
      <c r="I180" s="164" t="s">
        <v>150</v>
      </c>
      <c r="J180" s="179" t="s">
        <v>149</v>
      </c>
      <c r="K180" s="179" t="s">
        <v>149</v>
      </c>
      <c r="L180" s="164" t="s">
        <v>149</v>
      </c>
      <c r="M180" s="163"/>
      <c r="N180" s="173" t="s">
        <v>151</v>
      </c>
      <c r="O180" s="163" t="s">
        <v>1181</v>
      </c>
      <c r="P180" s="173" t="s">
        <v>1035</v>
      </c>
      <c r="Q180" s="161"/>
      <c r="R180" s="166"/>
      <c r="S180" s="166"/>
      <c r="T180" s="164"/>
      <c r="U180" s="164"/>
      <c r="V180" s="164"/>
      <c r="W180" s="164"/>
      <c r="X180" s="164"/>
      <c r="Y180" s="164"/>
      <c r="Z180" s="164"/>
      <c r="AA180" s="164"/>
      <c r="AB180" s="164"/>
      <c r="AC180" s="164"/>
      <c r="AD180" s="164"/>
      <c r="AE180" s="164"/>
      <c r="AF180" s="164"/>
      <c r="AG180" s="164"/>
      <c r="AH180" s="164"/>
      <c r="AI180" s="164"/>
      <c r="AJ180" s="164"/>
      <c r="AK180" s="164"/>
      <c r="AL180" s="164"/>
      <c r="AM180" s="164"/>
      <c r="AN180" s="164"/>
      <c r="AO180" s="164"/>
      <c r="AP180" s="166"/>
      <c r="AQ180" s="166" t="s">
        <v>1159</v>
      </c>
      <c r="AR180" s="164"/>
      <c r="AS180" s="164"/>
      <c r="AT180" s="164"/>
      <c r="AU180" s="164"/>
      <c r="AV180" s="164"/>
      <c r="AW180" s="164"/>
      <c r="AX180" s="164"/>
      <c r="AY180" s="164"/>
      <c r="AZ180" s="164"/>
      <c r="BA180" s="164"/>
      <c r="BB180" s="164"/>
      <c r="BC180" s="164"/>
      <c r="BD180" s="164"/>
      <c r="BE180" s="773"/>
      <c r="BF180" s="264"/>
      <c r="BG180" s="264"/>
      <c r="BH180" s="784"/>
    </row>
    <row r="181" spans="1:60" s="180" customFormat="1" ht="34.5" customHeight="1" outlineLevel="1" x14ac:dyDescent="0.3">
      <c r="A181" s="176"/>
      <c r="B181" s="177"/>
      <c r="C181" s="161" t="s">
        <v>51</v>
      </c>
      <c r="D181" s="161" t="s">
        <v>1182</v>
      </c>
      <c r="E181" s="161" t="s">
        <v>148</v>
      </c>
      <c r="F181" s="175" t="s">
        <v>149</v>
      </c>
      <c r="G181" s="164">
        <v>1</v>
      </c>
      <c r="H181" s="164" t="s">
        <v>149</v>
      </c>
      <c r="I181" s="164" t="s">
        <v>150</v>
      </c>
      <c r="J181" s="179" t="s">
        <v>149</v>
      </c>
      <c r="K181" s="179" t="s">
        <v>149</v>
      </c>
      <c r="L181" s="164" t="s">
        <v>149</v>
      </c>
      <c r="M181" s="163"/>
      <c r="N181" s="173" t="s">
        <v>151</v>
      </c>
      <c r="O181" s="163" t="s">
        <v>1183</v>
      </c>
      <c r="P181" s="173" t="s">
        <v>1040</v>
      </c>
      <c r="Q181" s="161"/>
      <c r="R181" s="166"/>
      <c r="S181" s="166"/>
      <c r="T181" s="164"/>
      <c r="U181" s="164"/>
      <c r="V181" s="164"/>
      <c r="W181" s="164"/>
      <c r="X181" s="164"/>
      <c r="Y181" s="164"/>
      <c r="Z181" s="164"/>
      <c r="AA181" s="164"/>
      <c r="AB181" s="164"/>
      <c r="AC181" s="164"/>
      <c r="AD181" s="164"/>
      <c r="AE181" s="164"/>
      <c r="AF181" s="164"/>
      <c r="AG181" s="164"/>
      <c r="AH181" s="164"/>
      <c r="AI181" s="164"/>
      <c r="AJ181" s="164"/>
      <c r="AK181" s="164"/>
      <c r="AL181" s="164"/>
      <c r="AM181" s="164"/>
      <c r="AN181" s="164"/>
      <c r="AO181" s="164"/>
      <c r="AP181" s="166"/>
      <c r="AQ181" s="166" t="s">
        <v>199</v>
      </c>
      <c r="AR181" s="164"/>
      <c r="AS181" s="164"/>
      <c r="AT181" s="164"/>
      <c r="AU181" s="164"/>
      <c r="AV181" s="164"/>
      <c r="AW181" s="164"/>
      <c r="AX181" s="164"/>
      <c r="AY181" s="164"/>
      <c r="AZ181" s="164"/>
      <c r="BA181" s="164"/>
      <c r="BB181" s="164"/>
      <c r="BC181" s="164"/>
      <c r="BD181" s="164"/>
      <c r="BE181" s="772" t="s">
        <v>1184</v>
      </c>
      <c r="BF181" s="264"/>
      <c r="BG181" s="264"/>
      <c r="BH181" s="785"/>
    </row>
    <row r="182" spans="1:60" s="180" customFormat="1" ht="33" customHeight="1" outlineLevel="1" x14ac:dyDescent="0.3">
      <c r="A182" s="176"/>
      <c r="B182" s="177"/>
      <c r="C182" s="161" t="s">
        <v>51</v>
      </c>
      <c r="D182" s="161" t="s">
        <v>1185</v>
      </c>
      <c r="E182" s="161" t="s">
        <v>148</v>
      </c>
      <c r="F182" s="175" t="s">
        <v>149</v>
      </c>
      <c r="G182" s="164">
        <v>1</v>
      </c>
      <c r="H182" s="164" t="s">
        <v>149</v>
      </c>
      <c r="I182" s="164" t="s">
        <v>150</v>
      </c>
      <c r="J182" s="179" t="s">
        <v>149</v>
      </c>
      <c r="K182" s="179" t="s">
        <v>149</v>
      </c>
      <c r="L182" s="164" t="s">
        <v>149</v>
      </c>
      <c r="M182" s="163"/>
      <c r="N182" s="173" t="s">
        <v>151</v>
      </c>
      <c r="O182" s="163" t="s">
        <v>1186</v>
      </c>
      <c r="P182" s="173" t="s">
        <v>1040</v>
      </c>
      <c r="Q182" s="161"/>
      <c r="R182" s="166"/>
      <c r="S182" s="166"/>
      <c r="T182" s="164"/>
      <c r="U182" s="164"/>
      <c r="V182" s="164"/>
      <c r="W182" s="164"/>
      <c r="X182" s="164"/>
      <c r="Y182" s="164"/>
      <c r="Z182" s="164"/>
      <c r="AA182" s="164"/>
      <c r="AB182" s="164"/>
      <c r="AC182" s="164"/>
      <c r="AD182" s="164"/>
      <c r="AE182" s="164"/>
      <c r="AF182" s="164"/>
      <c r="AG182" s="164"/>
      <c r="AH182" s="164"/>
      <c r="AI182" s="164"/>
      <c r="AJ182" s="164"/>
      <c r="AK182" s="164"/>
      <c r="AL182" s="164"/>
      <c r="AM182" s="164"/>
      <c r="AN182" s="164"/>
      <c r="AO182" s="164"/>
      <c r="AP182" s="166"/>
      <c r="AQ182" s="166" t="s">
        <v>199</v>
      </c>
      <c r="AR182" s="164"/>
      <c r="AS182" s="164"/>
      <c r="AT182" s="164"/>
      <c r="AU182" s="164"/>
      <c r="AV182" s="164"/>
      <c r="AW182" s="164"/>
      <c r="AX182" s="164"/>
      <c r="AY182" s="164"/>
      <c r="AZ182" s="164"/>
      <c r="BA182" s="164"/>
      <c r="BB182" s="164"/>
      <c r="BC182" s="164"/>
      <c r="BD182" s="164"/>
      <c r="BE182" s="773"/>
      <c r="BF182" s="264"/>
      <c r="BG182" s="264"/>
      <c r="BH182" s="784"/>
    </row>
    <row r="183" spans="1:60" s="180" customFormat="1" ht="14.4" customHeight="1" outlineLevel="1" x14ac:dyDescent="0.3">
      <c r="A183" s="176"/>
      <c r="B183" s="177"/>
      <c r="C183" s="161" t="s">
        <v>51</v>
      </c>
      <c r="D183" s="197" t="s">
        <v>1187</v>
      </c>
      <c r="E183" s="163" t="s">
        <v>1074</v>
      </c>
      <c r="F183" s="164"/>
      <c r="G183" s="164">
        <v>0</v>
      </c>
      <c r="H183" s="164"/>
      <c r="I183" s="164" t="s">
        <v>150</v>
      </c>
      <c r="J183" s="164" t="s">
        <v>149</v>
      </c>
      <c r="K183" s="164"/>
      <c r="L183" s="164"/>
      <c r="M183" s="163"/>
      <c r="N183" s="163" t="s">
        <v>151</v>
      </c>
      <c r="O183" s="164" t="s">
        <v>1188</v>
      </c>
      <c r="P183" s="164" t="s">
        <v>1076</v>
      </c>
      <c r="Q183" s="163"/>
      <c r="R183" s="166"/>
      <c r="S183" s="166"/>
      <c r="T183" s="164"/>
      <c r="U183" s="164"/>
      <c r="V183" s="164"/>
      <c r="W183" s="164"/>
      <c r="X183" s="164"/>
      <c r="Y183" s="164"/>
      <c r="Z183" s="164"/>
      <c r="AA183" s="164"/>
      <c r="AB183" s="164"/>
      <c r="AC183" s="164"/>
      <c r="AD183" s="164"/>
      <c r="AE183" s="164"/>
      <c r="AF183" s="164"/>
      <c r="AG183" s="164"/>
      <c r="AH183" s="164"/>
      <c r="AI183" s="164"/>
      <c r="AJ183" s="164"/>
      <c r="AK183" s="164"/>
      <c r="AL183" s="164"/>
      <c r="AM183" s="164"/>
      <c r="AN183" s="164"/>
      <c r="AO183" s="164"/>
      <c r="AP183" s="166"/>
      <c r="AQ183" s="166" t="s">
        <v>199</v>
      </c>
      <c r="AR183" s="164"/>
      <c r="AS183" s="164"/>
      <c r="AT183" s="164"/>
      <c r="AU183" s="164"/>
      <c r="AV183" s="164"/>
      <c r="AW183" s="164"/>
      <c r="AX183" s="164"/>
      <c r="AY183" s="164"/>
      <c r="AZ183" s="164"/>
      <c r="BA183" s="164"/>
      <c r="BB183" s="164"/>
      <c r="BC183" s="164"/>
      <c r="BD183" s="164"/>
      <c r="BE183" s="768"/>
      <c r="BF183" s="164"/>
      <c r="BG183" s="164"/>
      <c r="BH183" s="774"/>
    </row>
    <row r="184" spans="1:60" s="180" customFormat="1" ht="14.4" customHeight="1" outlineLevel="1" x14ac:dyDescent="0.3">
      <c r="A184" s="176"/>
      <c r="B184" s="177"/>
      <c r="C184" s="161" t="s">
        <v>51</v>
      </c>
      <c r="D184" s="197" t="s">
        <v>1189</v>
      </c>
      <c r="E184" s="163" t="s">
        <v>1074</v>
      </c>
      <c r="F184" s="164"/>
      <c r="G184" s="164">
        <v>0</v>
      </c>
      <c r="H184" s="164"/>
      <c r="I184" s="164" t="s">
        <v>150</v>
      </c>
      <c r="J184" s="164" t="s">
        <v>149</v>
      </c>
      <c r="K184" s="164"/>
      <c r="L184" s="164"/>
      <c r="M184" s="163"/>
      <c r="N184" s="163" t="s">
        <v>151</v>
      </c>
      <c r="O184" s="164" t="s">
        <v>1190</v>
      </c>
      <c r="P184" s="164" t="s">
        <v>1076</v>
      </c>
      <c r="Q184" s="163"/>
      <c r="R184" s="166"/>
      <c r="S184" s="166"/>
      <c r="T184" s="164"/>
      <c r="U184" s="164"/>
      <c r="V184" s="164"/>
      <c r="W184" s="164"/>
      <c r="X184" s="164"/>
      <c r="Y184" s="164"/>
      <c r="Z184" s="164"/>
      <c r="AA184" s="164"/>
      <c r="AB184" s="164"/>
      <c r="AC184" s="164"/>
      <c r="AD184" s="164"/>
      <c r="AE184" s="164"/>
      <c r="AF184" s="164"/>
      <c r="AG184" s="164"/>
      <c r="AH184" s="164"/>
      <c r="AI184" s="164"/>
      <c r="AJ184" s="164"/>
      <c r="AK184" s="164"/>
      <c r="AL184" s="164"/>
      <c r="AM184" s="164"/>
      <c r="AN184" s="164"/>
      <c r="AO184" s="164"/>
      <c r="AP184" s="166"/>
      <c r="AQ184" s="166" t="s">
        <v>199</v>
      </c>
      <c r="AR184" s="164"/>
      <c r="AS184" s="164"/>
      <c r="AT184" s="164"/>
      <c r="AU184" s="164"/>
      <c r="AV184" s="164"/>
      <c r="AW184" s="164"/>
      <c r="AX184" s="164"/>
      <c r="AY184" s="164"/>
      <c r="AZ184" s="164"/>
      <c r="BA184" s="164"/>
      <c r="BB184" s="164"/>
      <c r="BC184" s="164"/>
      <c r="BD184" s="164"/>
      <c r="BE184" s="768"/>
      <c r="BF184" s="164"/>
      <c r="BG184" s="164"/>
      <c r="BH184" s="775"/>
    </row>
    <row r="185" spans="1:60" s="180" customFormat="1" ht="14.7" customHeight="1" outlineLevel="1" x14ac:dyDescent="0.3">
      <c r="A185" s="181"/>
      <c r="B185" s="181"/>
      <c r="C185" s="161" t="s">
        <v>51</v>
      </c>
      <c r="D185" s="165" t="s">
        <v>1187</v>
      </c>
      <c r="E185" s="164" t="s">
        <v>193</v>
      </c>
      <c r="F185" s="163" t="s">
        <v>1191</v>
      </c>
      <c r="G185" s="163" t="s">
        <v>1192</v>
      </c>
      <c r="H185" s="163" t="s">
        <v>267</v>
      </c>
      <c r="I185" s="163" t="s">
        <v>1081</v>
      </c>
      <c r="J185" s="164" t="s">
        <v>149</v>
      </c>
      <c r="K185" s="164" t="s">
        <v>372</v>
      </c>
      <c r="L185" s="163" t="s">
        <v>149</v>
      </c>
      <c r="M185" s="163"/>
      <c r="N185" s="163" t="s">
        <v>151</v>
      </c>
      <c r="O185" s="163" t="s">
        <v>1193</v>
      </c>
      <c r="P185" s="163" t="s">
        <v>1083</v>
      </c>
      <c r="Q185" s="164"/>
      <c r="R185" s="164"/>
      <c r="S185" s="164"/>
      <c r="T185" s="164"/>
      <c r="U185" s="164"/>
      <c r="V185" s="164"/>
      <c r="W185" s="164"/>
      <c r="X185" s="164"/>
      <c r="Y185" s="164"/>
      <c r="Z185" s="164"/>
      <c r="AA185" s="164"/>
      <c r="AB185" s="164"/>
      <c r="AC185" s="164"/>
      <c r="AD185" s="164"/>
      <c r="AE185" s="164"/>
      <c r="AF185" s="164"/>
      <c r="AG185" s="164"/>
      <c r="AH185" s="164"/>
      <c r="AI185" s="164"/>
      <c r="AJ185" s="164"/>
      <c r="AK185" s="164"/>
      <c r="AL185" s="164"/>
      <c r="AM185" s="164"/>
      <c r="AN185" s="164"/>
      <c r="AO185" s="164"/>
      <c r="AP185" s="164"/>
      <c r="AQ185" s="164" t="s">
        <v>199</v>
      </c>
      <c r="AR185" s="164"/>
      <c r="AS185" s="164"/>
      <c r="AT185" s="164"/>
      <c r="AU185" s="164"/>
      <c r="AV185" s="164"/>
      <c r="AW185" s="164"/>
      <c r="AX185" s="164"/>
      <c r="AY185" s="164"/>
      <c r="AZ185" s="164"/>
      <c r="BA185" s="164"/>
      <c r="BB185" s="164"/>
      <c r="BC185" s="164"/>
      <c r="BD185" s="164"/>
      <c r="BE185" s="769" t="s">
        <v>1194</v>
      </c>
      <c r="BF185" s="265"/>
      <c r="BG185" s="265"/>
      <c r="BH185" s="766"/>
    </row>
    <row r="186" spans="1:60" s="180" customFormat="1" ht="14.7" customHeight="1" outlineLevel="1" x14ac:dyDescent="0.3">
      <c r="A186" s="181"/>
      <c r="B186" s="181"/>
      <c r="C186" s="161" t="s">
        <v>51</v>
      </c>
      <c r="D186" s="165" t="s">
        <v>1189</v>
      </c>
      <c r="E186" s="164" t="s">
        <v>193</v>
      </c>
      <c r="F186" s="163" t="s">
        <v>1191</v>
      </c>
      <c r="G186" s="163" t="s">
        <v>1192</v>
      </c>
      <c r="H186" s="163" t="s">
        <v>267</v>
      </c>
      <c r="I186" s="163" t="s">
        <v>1081</v>
      </c>
      <c r="J186" s="164" t="s">
        <v>149</v>
      </c>
      <c r="K186" s="164" t="s">
        <v>372</v>
      </c>
      <c r="L186" s="163" t="s">
        <v>149</v>
      </c>
      <c r="M186" s="163"/>
      <c r="N186" s="163" t="s">
        <v>151</v>
      </c>
      <c r="O186" s="163" t="s">
        <v>1195</v>
      </c>
      <c r="P186" s="163" t="s">
        <v>1083</v>
      </c>
      <c r="Q186" s="164"/>
      <c r="R186" s="164"/>
      <c r="S186" s="166"/>
      <c r="T186" s="164"/>
      <c r="U186" s="164"/>
      <c r="V186" s="164"/>
      <c r="W186" s="164"/>
      <c r="X186" s="164"/>
      <c r="Y186" s="164"/>
      <c r="Z186" s="164"/>
      <c r="AA186" s="164"/>
      <c r="AB186" s="164"/>
      <c r="AC186" s="164"/>
      <c r="AD186" s="164"/>
      <c r="AE186" s="164"/>
      <c r="AF186" s="164"/>
      <c r="AG186" s="164"/>
      <c r="AH186" s="164"/>
      <c r="AI186" s="164"/>
      <c r="AJ186" s="164"/>
      <c r="AK186" s="164"/>
      <c r="AL186" s="164"/>
      <c r="AM186" s="164"/>
      <c r="AN186" s="164"/>
      <c r="AO186" s="164"/>
      <c r="AP186" s="164"/>
      <c r="AQ186" s="166" t="s">
        <v>199</v>
      </c>
      <c r="AR186" s="164"/>
      <c r="AS186" s="164"/>
      <c r="AT186" s="164"/>
      <c r="AU186" s="164"/>
      <c r="AV186" s="164"/>
      <c r="AW186" s="164"/>
      <c r="AX186" s="164"/>
      <c r="AY186" s="164"/>
      <c r="AZ186" s="164"/>
      <c r="BA186" s="164"/>
      <c r="BB186" s="164"/>
      <c r="BC186" s="164"/>
      <c r="BD186" s="164"/>
      <c r="BE186" s="770"/>
      <c r="BF186" s="182"/>
      <c r="BG186" s="182"/>
      <c r="BH186" s="767"/>
    </row>
    <row r="187" spans="1:60" s="180" customFormat="1" ht="15" customHeight="1" outlineLevel="1" x14ac:dyDescent="0.3">
      <c r="A187" s="840"/>
      <c r="B187" s="834"/>
      <c r="C187" s="161" t="s">
        <v>51</v>
      </c>
      <c r="D187" s="164" t="s">
        <v>1196</v>
      </c>
      <c r="E187" s="164" t="s">
        <v>363</v>
      </c>
      <c r="F187" s="178" t="s">
        <v>149</v>
      </c>
      <c r="G187" s="163">
        <v>0</v>
      </c>
      <c r="H187" s="178" t="s">
        <v>149</v>
      </c>
      <c r="I187" s="163" t="s">
        <v>150</v>
      </c>
      <c r="J187" s="193" t="s">
        <v>149</v>
      </c>
      <c r="K187" s="193" t="s">
        <v>149</v>
      </c>
      <c r="L187" s="193" t="s">
        <v>149</v>
      </c>
      <c r="M187" s="193"/>
      <c r="N187" s="801" t="s">
        <v>676</v>
      </c>
      <c r="O187" s="801" t="s">
        <v>1197</v>
      </c>
      <c r="P187" s="801" t="s">
        <v>1198</v>
      </c>
      <c r="Q187" s="801"/>
      <c r="R187" s="801"/>
      <c r="S187" s="800"/>
      <c r="T187" s="722" t="s">
        <v>14</v>
      </c>
      <c r="U187" s="820"/>
      <c r="V187" s="820"/>
      <c r="W187" s="716"/>
      <c r="X187" s="716"/>
      <c r="Y187" s="716"/>
      <c r="Z187" s="716"/>
      <c r="AA187" s="716"/>
      <c r="AB187" s="716"/>
      <c r="AC187" s="716"/>
      <c r="AD187" s="716"/>
      <c r="AE187" s="716"/>
      <c r="AF187" s="716"/>
      <c r="AG187" s="716"/>
      <c r="AH187" s="716"/>
      <c r="AI187" s="716"/>
      <c r="AJ187" s="716"/>
      <c r="AK187" s="716"/>
      <c r="AL187" s="716"/>
      <c r="AM187" s="716"/>
      <c r="AN187" s="716"/>
      <c r="AO187" s="716"/>
      <c r="AP187" s="801"/>
      <c r="AQ187" s="800"/>
      <c r="AR187" s="716"/>
      <c r="AS187" s="722"/>
      <c r="AT187" s="722"/>
      <c r="AU187" s="722"/>
      <c r="AV187" s="722"/>
      <c r="AW187" s="771" t="s">
        <v>14</v>
      </c>
      <c r="AX187" s="771" t="s">
        <v>14</v>
      </c>
      <c r="AY187" s="771"/>
      <c r="AZ187" s="771"/>
      <c r="BA187" s="722" t="s">
        <v>199</v>
      </c>
      <c r="BB187" s="800"/>
      <c r="BC187" s="722"/>
      <c r="BD187" s="722"/>
      <c r="BE187" s="769" t="s">
        <v>1199</v>
      </c>
      <c r="BF187" s="163"/>
      <c r="BG187" s="163"/>
      <c r="BH187" s="766" t="s">
        <v>1200</v>
      </c>
    </row>
    <row r="188" spans="1:60" s="180" customFormat="1" ht="15" customHeight="1" outlineLevel="1" x14ac:dyDescent="0.3">
      <c r="A188" s="841"/>
      <c r="B188" s="835"/>
      <c r="C188" s="161" t="s">
        <v>51</v>
      </c>
      <c r="D188" s="164" t="s">
        <v>1201</v>
      </c>
      <c r="E188" s="164" t="s">
        <v>363</v>
      </c>
      <c r="F188" s="178" t="s">
        <v>149</v>
      </c>
      <c r="G188" s="163">
        <v>0</v>
      </c>
      <c r="H188" s="178" t="s">
        <v>149</v>
      </c>
      <c r="I188" s="163" t="s">
        <v>150</v>
      </c>
      <c r="J188" s="193" t="s">
        <v>149</v>
      </c>
      <c r="K188" s="193" t="s">
        <v>149</v>
      </c>
      <c r="L188" s="193" t="s">
        <v>149</v>
      </c>
      <c r="M188" s="193"/>
      <c r="N188" s="802"/>
      <c r="O188" s="802"/>
      <c r="P188" s="802"/>
      <c r="Q188" s="802"/>
      <c r="R188" s="802"/>
      <c r="S188" s="800"/>
      <c r="T188" s="722"/>
      <c r="U188" s="821"/>
      <c r="V188" s="821"/>
      <c r="W188" s="717"/>
      <c r="X188" s="717"/>
      <c r="Y188" s="717"/>
      <c r="Z188" s="717"/>
      <c r="AA188" s="717"/>
      <c r="AB188" s="717"/>
      <c r="AC188" s="717"/>
      <c r="AD188" s="717"/>
      <c r="AE188" s="717"/>
      <c r="AF188" s="717"/>
      <c r="AG188" s="717"/>
      <c r="AH188" s="717"/>
      <c r="AI188" s="717"/>
      <c r="AJ188" s="717"/>
      <c r="AK188" s="717"/>
      <c r="AL188" s="717"/>
      <c r="AM188" s="717"/>
      <c r="AN188" s="717"/>
      <c r="AO188" s="717"/>
      <c r="AP188" s="802"/>
      <c r="AQ188" s="800"/>
      <c r="AR188" s="717"/>
      <c r="AS188" s="722"/>
      <c r="AT188" s="722"/>
      <c r="AU188" s="722"/>
      <c r="AV188" s="722"/>
      <c r="AW188" s="771"/>
      <c r="AX188" s="771"/>
      <c r="AY188" s="771"/>
      <c r="AZ188" s="771"/>
      <c r="BA188" s="722"/>
      <c r="BB188" s="800"/>
      <c r="BC188" s="722"/>
      <c r="BD188" s="722"/>
      <c r="BE188" s="770"/>
      <c r="BF188" s="163"/>
      <c r="BG188" s="163"/>
      <c r="BH188" s="767"/>
    </row>
    <row r="189" spans="1:60" s="180" customFormat="1" ht="14.4" customHeight="1" outlineLevel="1" x14ac:dyDescent="0.3">
      <c r="A189" s="841"/>
      <c r="B189" s="835"/>
      <c r="C189" s="161" t="s">
        <v>51</v>
      </c>
      <c r="D189" s="164" t="s">
        <v>1202</v>
      </c>
      <c r="E189" s="164" t="s">
        <v>363</v>
      </c>
      <c r="F189" s="178" t="s">
        <v>149</v>
      </c>
      <c r="G189" s="163">
        <v>0</v>
      </c>
      <c r="H189" s="178" t="s">
        <v>149</v>
      </c>
      <c r="I189" s="163" t="s">
        <v>150</v>
      </c>
      <c r="J189" s="193" t="s">
        <v>149</v>
      </c>
      <c r="K189" s="193" t="s">
        <v>149</v>
      </c>
      <c r="L189" s="193" t="s">
        <v>149</v>
      </c>
      <c r="M189" s="193"/>
      <c r="N189" s="802"/>
      <c r="O189" s="802"/>
      <c r="P189" s="802"/>
      <c r="Q189" s="802"/>
      <c r="R189" s="802"/>
      <c r="S189" s="800"/>
      <c r="T189" s="722"/>
      <c r="U189" s="821"/>
      <c r="V189" s="821"/>
      <c r="W189" s="717"/>
      <c r="X189" s="717"/>
      <c r="Y189" s="717"/>
      <c r="Z189" s="717"/>
      <c r="AA189" s="717"/>
      <c r="AB189" s="717"/>
      <c r="AC189" s="717"/>
      <c r="AD189" s="717"/>
      <c r="AE189" s="717"/>
      <c r="AF189" s="717"/>
      <c r="AG189" s="717"/>
      <c r="AH189" s="717"/>
      <c r="AI189" s="717"/>
      <c r="AJ189" s="717"/>
      <c r="AK189" s="717"/>
      <c r="AL189" s="717"/>
      <c r="AM189" s="717"/>
      <c r="AN189" s="717"/>
      <c r="AO189" s="717"/>
      <c r="AP189" s="802"/>
      <c r="AQ189" s="800"/>
      <c r="AR189" s="717"/>
      <c r="AS189" s="722"/>
      <c r="AT189" s="722"/>
      <c r="AU189" s="722"/>
      <c r="AV189" s="722"/>
      <c r="AW189" s="771"/>
      <c r="AX189" s="771"/>
      <c r="AY189" s="771"/>
      <c r="AZ189" s="771"/>
      <c r="BA189" s="722"/>
      <c r="BB189" s="800"/>
      <c r="BC189" s="722"/>
      <c r="BD189" s="722"/>
      <c r="BE189" s="770"/>
      <c r="BF189" s="163"/>
      <c r="BG189" s="163"/>
      <c r="BH189" s="767"/>
    </row>
    <row r="190" spans="1:60" s="180" customFormat="1" ht="15" customHeight="1" outlineLevel="1" x14ac:dyDescent="0.3">
      <c r="A190" s="841"/>
      <c r="B190" s="835"/>
      <c r="C190" s="161" t="s">
        <v>51</v>
      </c>
      <c r="D190" s="164" t="s">
        <v>1203</v>
      </c>
      <c r="E190" s="164" t="s">
        <v>363</v>
      </c>
      <c r="F190" s="178" t="s">
        <v>149</v>
      </c>
      <c r="G190" s="163">
        <v>0</v>
      </c>
      <c r="H190" s="178" t="s">
        <v>149</v>
      </c>
      <c r="I190" s="163" t="s">
        <v>150</v>
      </c>
      <c r="J190" s="193" t="s">
        <v>149</v>
      </c>
      <c r="K190" s="193" t="s">
        <v>149</v>
      </c>
      <c r="L190" s="193" t="s">
        <v>149</v>
      </c>
      <c r="M190" s="193"/>
      <c r="N190" s="802"/>
      <c r="O190" s="802"/>
      <c r="P190" s="802"/>
      <c r="Q190" s="802"/>
      <c r="R190" s="802"/>
      <c r="S190" s="800"/>
      <c r="T190" s="722"/>
      <c r="U190" s="821"/>
      <c r="V190" s="821"/>
      <c r="W190" s="717"/>
      <c r="X190" s="717"/>
      <c r="Y190" s="717"/>
      <c r="Z190" s="717"/>
      <c r="AA190" s="717"/>
      <c r="AB190" s="717"/>
      <c r="AC190" s="717"/>
      <c r="AD190" s="717"/>
      <c r="AE190" s="717"/>
      <c r="AF190" s="717"/>
      <c r="AG190" s="717"/>
      <c r="AH190" s="717"/>
      <c r="AI190" s="717"/>
      <c r="AJ190" s="717"/>
      <c r="AK190" s="717"/>
      <c r="AL190" s="717"/>
      <c r="AM190" s="717"/>
      <c r="AN190" s="717"/>
      <c r="AO190" s="717"/>
      <c r="AP190" s="802"/>
      <c r="AQ190" s="800"/>
      <c r="AR190" s="717"/>
      <c r="AS190" s="722"/>
      <c r="AT190" s="722"/>
      <c r="AU190" s="722"/>
      <c r="AV190" s="722"/>
      <c r="AW190" s="771"/>
      <c r="AX190" s="771"/>
      <c r="AY190" s="771"/>
      <c r="AZ190" s="771"/>
      <c r="BA190" s="722"/>
      <c r="BB190" s="800"/>
      <c r="BC190" s="722"/>
      <c r="BD190" s="722"/>
      <c r="BE190" s="770"/>
      <c r="BF190" s="163"/>
      <c r="BG190" s="163"/>
      <c r="BH190" s="767"/>
    </row>
    <row r="191" spans="1:60" s="180" customFormat="1" ht="15" customHeight="1" outlineLevel="1" x14ac:dyDescent="0.3">
      <c r="A191" s="840"/>
      <c r="B191" s="834"/>
      <c r="C191" s="161" t="s">
        <v>51</v>
      </c>
      <c r="D191" s="164" t="s">
        <v>1204</v>
      </c>
      <c r="E191" s="164" t="s">
        <v>363</v>
      </c>
      <c r="F191" s="178" t="s">
        <v>149</v>
      </c>
      <c r="G191" s="163">
        <v>0</v>
      </c>
      <c r="H191" s="178" t="s">
        <v>149</v>
      </c>
      <c r="I191" s="163" t="s">
        <v>150</v>
      </c>
      <c r="J191" s="193" t="s">
        <v>149</v>
      </c>
      <c r="K191" s="193" t="s">
        <v>149</v>
      </c>
      <c r="L191" s="193" t="s">
        <v>149</v>
      </c>
      <c r="M191" s="193"/>
      <c r="N191" s="801" t="s">
        <v>676</v>
      </c>
      <c r="O191" s="801" t="s">
        <v>1205</v>
      </c>
      <c r="P191" s="802"/>
      <c r="Q191" s="801"/>
      <c r="R191" s="801"/>
      <c r="S191" s="829"/>
      <c r="T191" s="722"/>
      <c r="U191" s="820"/>
      <c r="V191" s="820"/>
      <c r="W191" s="716"/>
      <c r="X191" s="716"/>
      <c r="Y191" s="716"/>
      <c r="Z191" s="716"/>
      <c r="AA191" s="716"/>
      <c r="AB191" s="716"/>
      <c r="AC191" s="716"/>
      <c r="AD191" s="716"/>
      <c r="AE191" s="716"/>
      <c r="AF191" s="716"/>
      <c r="AG191" s="716"/>
      <c r="AH191" s="716"/>
      <c r="AI191" s="716"/>
      <c r="AJ191" s="716"/>
      <c r="AK191" s="716"/>
      <c r="AL191" s="716"/>
      <c r="AM191" s="716"/>
      <c r="AN191" s="716"/>
      <c r="AO191" s="716"/>
      <c r="AP191" s="801"/>
      <c r="AQ191" s="829" t="s">
        <v>199</v>
      </c>
      <c r="AR191" s="716"/>
      <c r="AS191" s="722"/>
      <c r="AT191" s="722"/>
      <c r="AU191" s="722"/>
      <c r="AV191" s="722"/>
      <c r="AW191" s="771"/>
      <c r="AX191" s="771"/>
      <c r="AY191" s="771" t="s">
        <v>14</v>
      </c>
      <c r="AZ191" s="771" t="s">
        <v>14</v>
      </c>
      <c r="BA191" s="800"/>
      <c r="BB191" s="722" t="s">
        <v>199</v>
      </c>
      <c r="BC191" s="722"/>
      <c r="BD191" s="722"/>
      <c r="BE191" s="770"/>
      <c r="BF191" s="163"/>
      <c r="BG191" s="163"/>
      <c r="BH191" s="767"/>
    </row>
    <row r="192" spans="1:60" s="180" customFormat="1" ht="14.4" customHeight="1" outlineLevel="1" x14ac:dyDescent="0.3">
      <c r="A192" s="841"/>
      <c r="B192" s="835"/>
      <c r="C192" s="161" t="s">
        <v>51</v>
      </c>
      <c r="D192" s="164" t="s">
        <v>1206</v>
      </c>
      <c r="E192" s="164" t="s">
        <v>363</v>
      </c>
      <c r="F192" s="178" t="s">
        <v>149</v>
      </c>
      <c r="G192" s="163">
        <v>0</v>
      </c>
      <c r="H192" s="178" t="s">
        <v>149</v>
      </c>
      <c r="I192" s="163" t="s">
        <v>150</v>
      </c>
      <c r="J192" s="193" t="s">
        <v>149</v>
      </c>
      <c r="K192" s="193" t="s">
        <v>149</v>
      </c>
      <c r="L192" s="193" t="s">
        <v>149</v>
      </c>
      <c r="M192" s="193"/>
      <c r="N192" s="802"/>
      <c r="O192" s="802"/>
      <c r="P192" s="802"/>
      <c r="Q192" s="802"/>
      <c r="R192" s="802"/>
      <c r="S192" s="829"/>
      <c r="T192" s="722"/>
      <c r="U192" s="821"/>
      <c r="V192" s="821"/>
      <c r="W192" s="717"/>
      <c r="X192" s="717"/>
      <c r="Y192" s="717"/>
      <c r="Z192" s="717"/>
      <c r="AA192" s="717"/>
      <c r="AB192" s="717"/>
      <c r="AC192" s="717"/>
      <c r="AD192" s="717"/>
      <c r="AE192" s="717"/>
      <c r="AF192" s="717"/>
      <c r="AG192" s="717"/>
      <c r="AH192" s="717"/>
      <c r="AI192" s="717"/>
      <c r="AJ192" s="717"/>
      <c r="AK192" s="717"/>
      <c r="AL192" s="717"/>
      <c r="AM192" s="717"/>
      <c r="AN192" s="717"/>
      <c r="AO192" s="717"/>
      <c r="AP192" s="802"/>
      <c r="AQ192" s="829"/>
      <c r="AR192" s="717"/>
      <c r="AS192" s="722"/>
      <c r="AT192" s="722"/>
      <c r="AU192" s="722"/>
      <c r="AV192" s="722"/>
      <c r="AW192" s="771"/>
      <c r="AX192" s="771"/>
      <c r="AY192" s="771"/>
      <c r="AZ192" s="771"/>
      <c r="BA192" s="800"/>
      <c r="BB192" s="722"/>
      <c r="BC192" s="722"/>
      <c r="BD192" s="722"/>
      <c r="BE192" s="770"/>
      <c r="BF192" s="163"/>
      <c r="BG192" s="163"/>
      <c r="BH192" s="767"/>
    </row>
    <row r="193" spans="1:60" s="180" customFormat="1" ht="15" customHeight="1" outlineLevel="1" x14ac:dyDescent="0.3">
      <c r="A193" s="841"/>
      <c r="B193" s="835"/>
      <c r="C193" s="161" t="s">
        <v>51</v>
      </c>
      <c r="D193" s="164" t="s">
        <v>1207</v>
      </c>
      <c r="E193" s="164" t="s">
        <v>363</v>
      </c>
      <c r="F193" s="178" t="s">
        <v>149</v>
      </c>
      <c r="G193" s="163">
        <v>0</v>
      </c>
      <c r="H193" s="178" t="s">
        <v>149</v>
      </c>
      <c r="I193" s="163" t="s">
        <v>150</v>
      </c>
      <c r="J193" s="193" t="s">
        <v>149</v>
      </c>
      <c r="K193" s="193" t="s">
        <v>149</v>
      </c>
      <c r="L193" s="193" t="s">
        <v>149</v>
      </c>
      <c r="M193" s="193"/>
      <c r="N193" s="802"/>
      <c r="O193" s="802"/>
      <c r="P193" s="802"/>
      <c r="Q193" s="802"/>
      <c r="R193" s="802"/>
      <c r="S193" s="829"/>
      <c r="T193" s="722"/>
      <c r="U193" s="821"/>
      <c r="V193" s="821"/>
      <c r="W193" s="717"/>
      <c r="X193" s="717"/>
      <c r="Y193" s="717"/>
      <c r="Z193" s="717"/>
      <c r="AA193" s="717"/>
      <c r="AB193" s="717"/>
      <c r="AC193" s="717"/>
      <c r="AD193" s="717"/>
      <c r="AE193" s="717"/>
      <c r="AF193" s="717"/>
      <c r="AG193" s="717"/>
      <c r="AH193" s="717"/>
      <c r="AI193" s="717"/>
      <c r="AJ193" s="717"/>
      <c r="AK193" s="717"/>
      <c r="AL193" s="717"/>
      <c r="AM193" s="717"/>
      <c r="AN193" s="717"/>
      <c r="AO193" s="717"/>
      <c r="AP193" s="802"/>
      <c r="AQ193" s="829"/>
      <c r="AR193" s="717"/>
      <c r="AS193" s="722"/>
      <c r="AT193" s="722"/>
      <c r="AU193" s="722"/>
      <c r="AV193" s="722"/>
      <c r="AW193" s="771"/>
      <c r="AX193" s="771"/>
      <c r="AY193" s="771"/>
      <c r="AZ193" s="771"/>
      <c r="BA193" s="800"/>
      <c r="BB193" s="722"/>
      <c r="BC193" s="722"/>
      <c r="BD193" s="722"/>
      <c r="BE193" s="770"/>
      <c r="BF193" s="163"/>
      <c r="BG193" s="163"/>
      <c r="BH193" s="767"/>
    </row>
    <row r="194" spans="1:60" s="180" customFormat="1" ht="14.4" customHeight="1" outlineLevel="1" x14ac:dyDescent="0.3">
      <c r="A194" s="847"/>
      <c r="B194" s="862"/>
      <c r="C194" s="161" t="s">
        <v>51</v>
      </c>
      <c r="D194" s="164" t="s">
        <v>1208</v>
      </c>
      <c r="E194" s="164" t="s">
        <v>363</v>
      </c>
      <c r="F194" s="178" t="s">
        <v>149</v>
      </c>
      <c r="G194" s="163">
        <v>0</v>
      </c>
      <c r="H194" s="178" t="s">
        <v>149</v>
      </c>
      <c r="I194" s="163" t="s">
        <v>150</v>
      </c>
      <c r="J194" s="193" t="s">
        <v>149</v>
      </c>
      <c r="K194" s="193" t="s">
        <v>149</v>
      </c>
      <c r="L194" s="193" t="s">
        <v>149</v>
      </c>
      <c r="M194" s="193"/>
      <c r="N194" s="802"/>
      <c r="O194" s="802"/>
      <c r="P194" s="861"/>
      <c r="Q194" s="861"/>
      <c r="R194" s="861"/>
      <c r="S194" s="829"/>
      <c r="T194" s="722"/>
      <c r="U194" s="936"/>
      <c r="V194" s="936"/>
      <c r="W194" s="718"/>
      <c r="X194" s="718"/>
      <c r="Y194" s="718"/>
      <c r="Z194" s="718"/>
      <c r="AA194" s="718"/>
      <c r="AB194" s="718"/>
      <c r="AC194" s="718"/>
      <c r="AD194" s="718"/>
      <c r="AE194" s="718"/>
      <c r="AF194" s="718"/>
      <c r="AG194" s="718"/>
      <c r="AH194" s="718"/>
      <c r="AI194" s="718"/>
      <c r="AJ194" s="718"/>
      <c r="AK194" s="718"/>
      <c r="AL194" s="718"/>
      <c r="AM194" s="718"/>
      <c r="AN194" s="718"/>
      <c r="AO194" s="718"/>
      <c r="AP194" s="861"/>
      <c r="AQ194" s="829"/>
      <c r="AR194" s="718"/>
      <c r="AS194" s="722"/>
      <c r="AT194" s="722"/>
      <c r="AU194" s="722"/>
      <c r="AV194" s="722"/>
      <c r="AW194" s="771"/>
      <c r="AX194" s="771"/>
      <c r="AY194" s="771"/>
      <c r="AZ194" s="771"/>
      <c r="BA194" s="800"/>
      <c r="BB194" s="722"/>
      <c r="BC194" s="722"/>
      <c r="BD194" s="722"/>
      <c r="BE194" s="797"/>
      <c r="BF194" s="163"/>
      <c r="BG194" s="163"/>
      <c r="BH194" s="796"/>
    </row>
    <row r="195" spans="1:60" s="180" customFormat="1" ht="28.95" customHeight="1" outlineLevel="1" x14ac:dyDescent="0.3">
      <c r="A195" s="840"/>
      <c r="B195" s="834"/>
      <c r="C195" s="161" t="s">
        <v>51</v>
      </c>
      <c r="D195" s="164" t="s">
        <v>1196</v>
      </c>
      <c r="E195" s="164" t="s">
        <v>674</v>
      </c>
      <c r="F195" s="178" t="s">
        <v>149</v>
      </c>
      <c r="G195" s="163">
        <v>1</v>
      </c>
      <c r="H195" s="178" t="s">
        <v>149</v>
      </c>
      <c r="I195" s="163" t="s">
        <v>150</v>
      </c>
      <c r="J195" s="178" t="s">
        <v>149</v>
      </c>
      <c r="K195" s="178" t="s">
        <v>149</v>
      </c>
      <c r="L195" s="178" t="s">
        <v>149</v>
      </c>
      <c r="M195" s="178" t="s">
        <v>149</v>
      </c>
      <c r="N195" s="801" t="s">
        <v>676</v>
      </c>
      <c r="O195" s="163" t="s">
        <v>1209</v>
      </c>
      <c r="P195" s="801" t="s">
        <v>1210</v>
      </c>
      <c r="Q195" s="716"/>
      <c r="R195" s="716"/>
      <c r="S195" s="722"/>
      <c r="T195" s="722" t="s">
        <v>14</v>
      </c>
      <c r="U195" s="716"/>
      <c r="V195" s="716"/>
      <c r="W195" s="716"/>
      <c r="X195" s="716"/>
      <c r="Y195" s="716"/>
      <c r="Z195" s="716"/>
      <c r="AA195" s="716"/>
      <c r="AB195" s="716"/>
      <c r="AC195" s="716"/>
      <c r="AD195" s="716"/>
      <c r="AE195" s="716"/>
      <c r="AF195" s="716"/>
      <c r="AG195" s="716"/>
      <c r="AH195" s="716"/>
      <c r="AI195" s="716"/>
      <c r="AJ195" s="716"/>
      <c r="AK195" s="716"/>
      <c r="AL195" s="716"/>
      <c r="AM195" s="716"/>
      <c r="AN195" s="716"/>
      <c r="AO195" s="716"/>
      <c r="AP195" s="716"/>
      <c r="AQ195" s="722"/>
      <c r="AR195" s="716"/>
      <c r="AS195" s="722"/>
      <c r="AT195" s="722"/>
      <c r="AU195" s="722"/>
      <c r="AV195" s="722"/>
      <c r="AW195" s="771" t="s">
        <v>14</v>
      </c>
      <c r="AX195" s="771" t="s">
        <v>14</v>
      </c>
      <c r="AY195" s="771"/>
      <c r="AZ195" s="771"/>
      <c r="BA195" s="722" t="s">
        <v>199</v>
      </c>
      <c r="BB195" s="800"/>
      <c r="BC195" s="722"/>
      <c r="BD195" s="722"/>
      <c r="BE195" s="814" t="s">
        <v>1199</v>
      </c>
      <c r="BF195" s="163"/>
      <c r="BG195" s="163"/>
      <c r="BH195" s="766" t="s">
        <v>1211</v>
      </c>
    </row>
    <row r="196" spans="1:60" s="180" customFormat="1" ht="28.95" customHeight="1" outlineLevel="1" x14ac:dyDescent="0.3">
      <c r="A196" s="841"/>
      <c r="B196" s="835"/>
      <c r="C196" s="161" t="s">
        <v>51</v>
      </c>
      <c r="D196" s="164" t="s">
        <v>1202</v>
      </c>
      <c r="E196" s="164" t="s">
        <v>674</v>
      </c>
      <c r="F196" s="178" t="s">
        <v>149</v>
      </c>
      <c r="G196" s="163">
        <v>1</v>
      </c>
      <c r="H196" s="178" t="s">
        <v>149</v>
      </c>
      <c r="I196" s="163" t="s">
        <v>150</v>
      </c>
      <c r="J196" s="178" t="s">
        <v>149</v>
      </c>
      <c r="K196" s="178" t="s">
        <v>149</v>
      </c>
      <c r="L196" s="178" t="s">
        <v>149</v>
      </c>
      <c r="M196" s="178" t="s">
        <v>149</v>
      </c>
      <c r="N196" s="802"/>
      <c r="O196" s="163" t="s">
        <v>1212</v>
      </c>
      <c r="P196" s="802"/>
      <c r="Q196" s="717"/>
      <c r="R196" s="717"/>
      <c r="S196" s="722"/>
      <c r="T196" s="722"/>
      <c r="U196" s="717"/>
      <c r="V196" s="717"/>
      <c r="W196" s="717"/>
      <c r="X196" s="717"/>
      <c r="Y196" s="717"/>
      <c r="Z196" s="717"/>
      <c r="AA196" s="717"/>
      <c r="AB196" s="717"/>
      <c r="AC196" s="717"/>
      <c r="AD196" s="717"/>
      <c r="AE196" s="717"/>
      <c r="AF196" s="717"/>
      <c r="AG196" s="717"/>
      <c r="AH196" s="717"/>
      <c r="AI196" s="717"/>
      <c r="AJ196" s="717"/>
      <c r="AK196" s="717"/>
      <c r="AL196" s="717"/>
      <c r="AM196" s="717"/>
      <c r="AN196" s="717"/>
      <c r="AO196" s="717"/>
      <c r="AP196" s="717"/>
      <c r="AQ196" s="722"/>
      <c r="AR196" s="717"/>
      <c r="AS196" s="722"/>
      <c r="AT196" s="722"/>
      <c r="AU196" s="722"/>
      <c r="AV196" s="722"/>
      <c r="AW196" s="771"/>
      <c r="AX196" s="771"/>
      <c r="AY196" s="771"/>
      <c r="AZ196" s="771"/>
      <c r="BA196" s="722"/>
      <c r="BB196" s="800"/>
      <c r="BC196" s="722"/>
      <c r="BD196" s="722"/>
      <c r="BE196" s="815"/>
      <c r="BF196" s="163"/>
      <c r="BG196" s="163"/>
      <c r="BH196" s="767"/>
    </row>
    <row r="197" spans="1:60" s="180" customFormat="1" ht="28.95" customHeight="1" outlineLevel="1" x14ac:dyDescent="0.3">
      <c r="A197" s="841"/>
      <c r="B197" s="835"/>
      <c r="C197" s="161" t="s">
        <v>51</v>
      </c>
      <c r="D197" s="164" t="s">
        <v>1201</v>
      </c>
      <c r="E197" s="164" t="s">
        <v>674</v>
      </c>
      <c r="F197" s="178" t="s">
        <v>149</v>
      </c>
      <c r="G197" s="163">
        <v>1</v>
      </c>
      <c r="H197" s="178" t="s">
        <v>149</v>
      </c>
      <c r="I197" s="163" t="s">
        <v>150</v>
      </c>
      <c r="J197" s="178" t="s">
        <v>149</v>
      </c>
      <c r="K197" s="178" t="s">
        <v>149</v>
      </c>
      <c r="L197" s="178" t="s">
        <v>149</v>
      </c>
      <c r="M197" s="178" t="s">
        <v>149</v>
      </c>
      <c r="N197" s="802"/>
      <c r="O197" s="163" t="s">
        <v>1213</v>
      </c>
      <c r="P197" s="802"/>
      <c r="Q197" s="717"/>
      <c r="R197" s="717"/>
      <c r="S197" s="722"/>
      <c r="T197" s="722"/>
      <c r="U197" s="717"/>
      <c r="V197" s="717"/>
      <c r="W197" s="717"/>
      <c r="X197" s="717"/>
      <c r="Y197" s="717"/>
      <c r="Z197" s="717"/>
      <c r="AA197" s="717"/>
      <c r="AB197" s="717"/>
      <c r="AC197" s="717"/>
      <c r="AD197" s="717"/>
      <c r="AE197" s="717"/>
      <c r="AF197" s="717"/>
      <c r="AG197" s="717"/>
      <c r="AH197" s="717"/>
      <c r="AI197" s="717"/>
      <c r="AJ197" s="717"/>
      <c r="AK197" s="717"/>
      <c r="AL197" s="717"/>
      <c r="AM197" s="717"/>
      <c r="AN197" s="717"/>
      <c r="AO197" s="717"/>
      <c r="AP197" s="717"/>
      <c r="AQ197" s="722"/>
      <c r="AR197" s="717"/>
      <c r="AS197" s="722"/>
      <c r="AT197" s="722"/>
      <c r="AU197" s="722"/>
      <c r="AV197" s="722"/>
      <c r="AW197" s="771"/>
      <c r="AX197" s="771"/>
      <c r="AY197" s="771"/>
      <c r="AZ197" s="771"/>
      <c r="BA197" s="722"/>
      <c r="BB197" s="800"/>
      <c r="BC197" s="722"/>
      <c r="BD197" s="722"/>
      <c r="BE197" s="815"/>
      <c r="BF197" s="163"/>
      <c r="BG197" s="163"/>
      <c r="BH197" s="767"/>
    </row>
    <row r="198" spans="1:60" s="180" customFormat="1" ht="28.95" customHeight="1" outlineLevel="1" x14ac:dyDescent="0.3">
      <c r="A198" s="841"/>
      <c r="B198" s="835"/>
      <c r="C198" s="161" t="s">
        <v>51</v>
      </c>
      <c r="D198" s="164" t="s">
        <v>1203</v>
      </c>
      <c r="E198" s="164" t="s">
        <v>674</v>
      </c>
      <c r="F198" s="178" t="s">
        <v>149</v>
      </c>
      <c r="G198" s="163">
        <v>1</v>
      </c>
      <c r="H198" s="178" t="s">
        <v>149</v>
      </c>
      <c r="I198" s="163" t="s">
        <v>150</v>
      </c>
      <c r="J198" s="178" t="s">
        <v>149</v>
      </c>
      <c r="K198" s="178" t="s">
        <v>149</v>
      </c>
      <c r="L198" s="178" t="s">
        <v>149</v>
      </c>
      <c r="M198" s="178" t="s">
        <v>149</v>
      </c>
      <c r="N198" s="802"/>
      <c r="O198" s="163" t="s">
        <v>1214</v>
      </c>
      <c r="P198" s="802"/>
      <c r="Q198" s="718"/>
      <c r="R198" s="718"/>
      <c r="S198" s="722"/>
      <c r="T198" s="722"/>
      <c r="U198" s="718"/>
      <c r="V198" s="718"/>
      <c r="W198" s="718"/>
      <c r="X198" s="718"/>
      <c r="Y198" s="718"/>
      <c r="Z198" s="718"/>
      <c r="AA198" s="718"/>
      <c r="AB198" s="718"/>
      <c r="AC198" s="718"/>
      <c r="AD198" s="718"/>
      <c r="AE198" s="718"/>
      <c r="AF198" s="718"/>
      <c r="AG198" s="718"/>
      <c r="AH198" s="718"/>
      <c r="AI198" s="718"/>
      <c r="AJ198" s="718"/>
      <c r="AK198" s="718"/>
      <c r="AL198" s="718"/>
      <c r="AM198" s="718"/>
      <c r="AN198" s="718"/>
      <c r="AO198" s="718"/>
      <c r="AP198" s="718"/>
      <c r="AQ198" s="722"/>
      <c r="AR198" s="718"/>
      <c r="AS198" s="722"/>
      <c r="AT198" s="722"/>
      <c r="AU198" s="722"/>
      <c r="AV198" s="722"/>
      <c r="AW198" s="771"/>
      <c r="AX198" s="771"/>
      <c r="AY198" s="771"/>
      <c r="AZ198" s="771"/>
      <c r="BA198" s="722"/>
      <c r="BB198" s="800"/>
      <c r="BC198" s="722"/>
      <c r="BD198" s="722"/>
      <c r="BE198" s="815"/>
      <c r="BF198" s="163"/>
      <c r="BG198" s="163"/>
      <c r="BH198" s="767"/>
    </row>
    <row r="199" spans="1:60" s="180" customFormat="1" ht="28.95" customHeight="1" outlineLevel="1" x14ac:dyDescent="0.3">
      <c r="A199" s="840"/>
      <c r="B199" s="834"/>
      <c r="C199" s="161" t="s">
        <v>51</v>
      </c>
      <c r="D199" s="164" t="s">
        <v>1204</v>
      </c>
      <c r="E199" s="164" t="s">
        <v>674</v>
      </c>
      <c r="F199" s="178" t="s">
        <v>149</v>
      </c>
      <c r="G199" s="163">
        <v>1</v>
      </c>
      <c r="H199" s="178" t="s">
        <v>149</v>
      </c>
      <c r="I199" s="163" t="s">
        <v>150</v>
      </c>
      <c r="J199" s="178" t="s">
        <v>149</v>
      </c>
      <c r="K199" s="178" t="s">
        <v>149</v>
      </c>
      <c r="L199" s="178" t="s">
        <v>149</v>
      </c>
      <c r="M199" s="178" t="s">
        <v>149</v>
      </c>
      <c r="N199" s="801" t="s">
        <v>676</v>
      </c>
      <c r="O199" s="163" t="s">
        <v>1215</v>
      </c>
      <c r="P199" s="802"/>
      <c r="Q199" s="716"/>
      <c r="R199" s="716"/>
      <c r="S199" s="829"/>
      <c r="T199" s="722"/>
      <c r="U199" s="716"/>
      <c r="V199" s="716"/>
      <c r="W199" s="716"/>
      <c r="X199" s="716"/>
      <c r="Y199" s="716"/>
      <c r="Z199" s="716"/>
      <c r="AA199" s="716"/>
      <c r="AB199" s="716"/>
      <c r="AC199" s="716"/>
      <c r="AD199" s="716"/>
      <c r="AE199" s="716"/>
      <c r="AF199" s="716"/>
      <c r="AG199" s="716"/>
      <c r="AH199" s="716"/>
      <c r="AI199" s="716"/>
      <c r="AJ199" s="716"/>
      <c r="AK199" s="716"/>
      <c r="AL199" s="716"/>
      <c r="AM199" s="716"/>
      <c r="AN199" s="716"/>
      <c r="AO199" s="716"/>
      <c r="AP199" s="716"/>
      <c r="AQ199" s="829" t="s">
        <v>199</v>
      </c>
      <c r="AR199" s="716"/>
      <c r="AS199" s="722"/>
      <c r="AT199" s="722"/>
      <c r="AU199" s="722"/>
      <c r="AV199" s="722"/>
      <c r="AW199" s="771"/>
      <c r="AX199" s="771"/>
      <c r="AY199" s="771" t="s">
        <v>14</v>
      </c>
      <c r="AZ199" s="771" t="s">
        <v>14</v>
      </c>
      <c r="BA199" s="800"/>
      <c r="BB199" s="722" t="s">
        <v>199</v>
      </c>
      <c r="BC199" s="722"/>
      <c r="BD199" s="722"/>
      <c r="BE199" s="815"/>
      <c r="BF199" s="163"/>
      <c r="BG199" s="163"/>
      <c r="BH199" s="767"/>
    </row>
    <row r="200" spans="1:60" s="209" customFormat="1" ht="28.95" customHeight="1" outlineLevel="1" x14ac:dyDescent="0.3">
      <c r="A200" s="841"/>
      <c r="B200" s="835"/>
      <c r="C200" s="161" t="s">
        <v>51</v>
      </c>
      <c r="D200" s="164" t="s">
        <v>1207</v>
      </c>
      <c r="E200" s="164" t="s">
        <v>674</v>
      </c>
      <c r="F200" s="178" t="s">
        <v>149</v>
      </c>
      <c r="G200" s="163">
        <v>1</v>
      </c>
      <c r="H200" s="178" t="s">
        <v>149</v>
      </c>
      <c r="I200" s="163" t="s">
        <v>150</v>
      </c>
      <c r="J200" s="178" t="s">
        <v>149</v>
      </c>
      <c r="K200" s="178" t="s">
        <v>149</v>
      </c>
      <c r="L200" s="178" t="s">
        <v>149</v>
      </c>
      <c r="M200" s="178" t="s">
        <v>149</v>
      </c>
      <c r="N200" s="802"/>
      <c r="O200" s="163" t="s">
        <v>1216</v>
      </c>
      <c r="P200" s="802"/>
      <c r="Q200" s="717"/>
      <c r="R200" s="717"/>
      <c r="S200" s="829"/>
      <c r="T200" s="722"/>
      <c r="U200" s="717"/>
      <c r="V200" s="717"/>
      <c r="W200" s="717"/>
      <c r="X200" s="717"/>
      <c r="Y200" s="717"/>
      <c r="Z200" s="717"/>
      <c r="AA200" s="717"/>
      <c r="AB200" s="717"/>
      <c r="AC200" s="717"/>
      <c r="AD200" s="717"/>
      <c r="AE200" s="717"/>
      <c r="AF200" s="717"/>
      <c r="AG200" s="717"/>
      <c r="AH200" s="717"/>
      <c r="AI200" s="717"/>
      <c r="AJ200" s="717"/>
      <c r="AK200" s="717"/>
      <c r="AL200" s="717"/>
      <c r="AM200" s="717"/>
      <c r="AN200" s="717"/>
      <c r="AO200" s="717"/>
      <c r="AP200" s="717"/>
      <c r="AQ200" s="829"/>
      <c r="AR200" s="717"/>
      <c r="AS200" s="722"/>
      <c r="AT200" s="722"/>
      <c r="AU200" s="722"/>
      <c r="AV200" s="722"/>
      <c r="AW200" s="771"/>
      <c r="AX200" s="771"/>
      <c r="AY200" s="771"/>
      <c r="AZ200" s="771"/>
      <c r="BA200" s="800"/>
      <c r="BB200" s="722"/>
      <c r="BC200" s="722"/>
      <c r="BD200" s="722"/>
      <c r="BE200" s="815"/>
      <c r="BF200" s="163"/>
      <c r="BG200" s="163"/>
      <c r="BH200" s="767"/>
    </row>
    <row r="201" spans="1:60" s="180" customFormat="1" ht="28.95" customHeight="1" outlineLevel="1" x14ac:dyDescent="0.3">
      <c r="A201" s="841"/>
      <c r="B201" s="835"/>
      <c r="C201" s="161" t="s">
        <v>51</v>
      </c>
      <c r="D201" s="164" t="s">
        <v>1206</v>
      </c>
      <c r="E201" s="164" t="s">
        <v>674</v>
      </c>
      <c r="F201" s="178" t="s">
        <v>149</v>
      </c>
      <c r="G201" s="163">
        <v>1</v>
      </c>
      <c r="H201" s="178" t="s">
        <v>149</v>
      </c>
      <c r="I201" s="163" t="s">
        <v>150</v>
      </c>
      <c r="J201" s="178" t="s">
        <v>149</v>
      </c>
      <c r="K201" s="178" t="s">
        <v>149</v>
      </c>
      <c r="L201" s="178" t="s">
        <v>149</v>
      </c>
      <c r="M201" s="178" t="s">
        <v>149</v>
      </c>
      <c r="N201" s="802"/>
      <c r="O201" s="163" t="s">
        <v>1217</v>
      </c>
      <c r="P201" s="802"/>
      <c r="Q201" s="717"/>
      <c r="R201" s="717"/>
      <c r="S201" s="829"/>
      <c r="T201" s="722"/>
      <c r="U201" s="717"/>
      <c r="V201" s="717"/>
      <c r="W201" s="717"/>
      <c r="X201" s="717"/>
      <c r="Y201" s="717"/>
      <c r="Z201" s="717"/>
      <c r="AA201" s="717"/>
      <c r="AB201" s="717"/>
      <c r="AC201" s="717"/>
      <c r="AD201" s="717"/>
      <c r="AE201" s="717"/>
      <c r="AF201" s="717"/>
      <c r="AG201" s="717"/>
      <c r="AH201" s="717"/>
      <c r="AI201" s="717"/>
      <c r="AJ201" s="717"/>
      <c r="AK201" s="717"/>
      <c r="AL201" s="717"/>
      <c r="AM201" s="717"/>
      <c r="AN201" s="717"/>
      <c r="AO201" s="717"/>
      <c r="AP201" s="717"/>
      <c r="AQ201" s="829"/>
      <c r="AR201" s="717"/>
      <c r="AS201" s="722"/>
      <c r="AT201" s="722"/>
      <c r="AU201" s="722"/>
      <c r="AV201" s="722"/>
      <c r="AW201" s="771"/>
      <c r="AX201" s="771"/>
      <c r="AY201" s="771"/>
      <c r="AZ201" s="771"/>
      <c r="BA201" s="800"/>
      <c r="BB201" s="722"/>
      <c r="BC201" s="722"/>
      <c r="BD201" s="722"/>
      <c r="BE201" s="815"/>
      <c r="BF201" s="163"/>
      <c r="BG201" s="163"/>
      <c r="BH201" s="767"/>
    </row>
    <row r="202" spans="1:60" s="180" customFormat="1" ht="28.95" customHeight="1" outlineLevel="1" x14ac:dyDescent="0.3">
      <c r="A202" s="841"/>
      <c r="B202" s="835"/>
      <c r="C202" s="161" t="s">
        <v>51</v>
      </c>
      <c r="D202" s="165" t="s">
        <v>1208</v>
      </c>
      <c r="E202" s="165" t="s">
        <v>674</v>
      </c>
      <c r="F202" s="193" t="s">
        <v>149</v>
      </c>
      <c r="G202" s="173">
        <v>1</v>
      </c>
      <c r="H202" s="193" t="s">
        <v>149</v>
      </c>
      <c r="I202" s="173" t="s">
        <v>150</v>
      </c>
      <c r="J202" s="193" t="s">
        <v>149</v>
      </c>
      <c r="K202" s="193" t="s">
        <v>149</v>
      </c>
      <c r="L202" s="193" t="s">
        <v>149</v>
      </c>
      <c r="M202" s="193" t="s">
        <v>149</v>
      </c>
      <c r="N202" s="802"/>
      <c r="O202" s="173" t="s">
        <v>1218</v>
      </c>
      <c r="P202" s="802"/>
      <c r="Q202" s="718"/>
      <c r="R202" s="718"/>
      <c r="S202" s="829"/>
      <c r="T202" s="722"/>
      <c r="U202" s="718"/>
      <c r="V202" s="718"/>
      <c r="W202" s="718"/>
      <c r="X202" s="718"/>
      <c r="Y202" s="718"/>
      <c r="Z202" s="718"/>
      <c r="AA202" s="718"/>
      <c r="AB202" s="718"/>
      <c r="AC202" s="718"/>
      <c r="AD202" s="718"/>
      <c r="AE202" s="718"/>
      <c r="AF202" s="718"/>
      <c r="AG202" s="718"/>
      <c r="AH202" s="718"/>
      <c r="AI202" s="718"/>
      <c r="AJ202" s="718"/>
      <c r="AK202" s="718"/>
      <c r="AL202" s="718"/>
      <c r="AM202" s="717"/>
      <c r="AN202" s="718"/>
      <c r="AO202" s="718"/>
      <c r="AP202" s="718"/>
      <c r="AQ202" s="829"/>
      <c r="AR202" s="718"/>
      <c r="AS202" s="722"/>
      <c r="AT202" s="722"/>
      <c r="AU202" s="722"/>
      <c r="AV202" s="722"/>
      <c r="AW202" s="771"/>
      <c r="AX202" s="771"/>
      <c r="AY202" s="771"/>
      <c r="AZ202" s="771"/>
      <c r="BA202" s="800"/>
      <c r="BB202" s="722"/>
      <c r="BC202" s="722"/>
      <c r="BD202" s="722"/>
      <c r="BE202" s="816"/>
      <c r="BF202" s="163"/>
      <c r="BG202" s="163"/>
      <c r="BH202" s="796"/>
    </row>
    <row r="203" spans="1:60" s="269" customFormat="1" ht="14.4" customHeight="1" outlineLevel="1" x14ac:dyDescent="0.3">
      <c r="A203" s="163"/>
      <c r="B203" s="357"/>
      <c r="C203" s="161" t="s">
        <v>51</v>
      </c>
      <c r="D203" s="164" t="s">
        <v>1219</v>
      </c>
      <c r="E203" s="164" t="s">
        <v>193</v>
      </c>
      <c r="F203" s="163" t="s">
        <v>1100</v>
      </c>
      <c r="G203" s="163" t="s">
        <v>1101</v>
      </c>
      <c r="H203" s="178" t="s">
        <v>1102</v>
      </c>
      <c r="I203" s="163" t="s">
        <v>477</v>
      </c>
      <c r="J203" s="178" t="s">
        <v>149</v>
      </c>
      <c r="K203" s="178"/>
      <c r="L203" s="178" t="s">
        <v>1220</v>
      </c>
      <c r="M203" s="178"/>
      <c r="N203" s="163"/>
      <c r="O203" s="163"/>
      <c r="P203" s="182" t="s">
        <v>1221</v>
      </c>
      <c r="Q203" s="716"/>
      <c r="R203" s="164"/>
      <c r="S203" s="164"/>
      <c r="T203" s="164"/>
      <c r="U203" s="164"/>
      <c r="V203" s="164"/>
      <c r="W203" s="164"/>
      <c r="X203" s="164"/>
      <c r="Y203" s="164"/>
      <c r="Z203" s="164"/>
      <c r="AA203" s="164"/>
      <c r="AB203" s="164"/>
      <c r="AC203" s="164"/>
      <c r="AD203" s="164"/>
      <c r="AE203" s="164"/>
      <c r="AF203" s="164"/>
      <c r="AG203" s="164"/>
      <c r="AH203" s="164"/>
      <c r="AI203" s="164"/>
      <c r="AJ203" s="164"/>
      <c r="AK203" s="164"/>
      <c r="AL203" s="164"/>
      <c r="AM203" s="164"/>
      <c r="AN203" s="164"/>
      <c r="AO203" s="164"/>
      <c r="AP203" s="164"/>
      <c r="AQ203" s="164"/>
      <c r="AR203" s="164"/>
      <c r="AS203" s="164"/>
      <c r="AT203" s="164"/>
      <c r="AU203" s="164"/>
      <c r="AV203" s="164"/>
      <c r="AW203" s="164"/>
      <c r="AX203" s="164"/>
      <c r="AY203" s="164"/>
      <c r="AZ203" s="164"/>
      <c r="BA203" s="164"/>
      <c r="BB203" s="164"/>
      <c r="BC203" s="164"/>
      <c r="BD203" s="164"/>
      <c r="BE203" s="815"/>
      <c r="BF203" s="215"/>
      <c r="BG203" s="215"/>
      <c r="BH203" s="774"/>
    </row>
    <row r="204" spans="1:60" s="180" customFormat="1" ht="43.2" customHeight="1" outlineLevel="1" x14ac:dyDescent="0.3">
      <c r="A204" s="198"/>
      <c r="B204" s="198"/>
      <c r="C204" s="161" t="s">
        <v>51</v>
      </c>
      <c r="D204" s="196" t="s">
        <v>1222</v>
      </c>
      <c r="E204" s="196" t="s">
        <v>193</v>
      </c>
      <c r="F204" s="197" t="s">
        <v>1100</v>
      </c>
      <c r="G204" s="197" t="s">
        <v>1101</v>
      </c>
      <c r="H204" s="199" t="s">
        <v>1102</v>
      </c>
      <c r="I204" s="197" t="s">
        <v>477</v>
      </c>
      <c r="J204" s="199" t="s">
        <v>149</v>
      </c>
      <c r="K204" s="199"/>
      <c r="L204" s="199" t="s">
        <v>1220</v>
      </c>
      <c r="M204" s="199"/>
      <c r="N204" s="197"/>
      <c r="O204" s="197"/>
      <c r="P204" s="182" t="s">
        <v>1223</v>
      </c>
      <c r="Q204" s="717"/>
      <c r="R204" s="164"/>
      <c r="S204" s="164"/>
      <c r="T204" s="164"/>
      <c r="U204" s="164"/>
      <c r="V204" s="164"/>
      <c r="W204" s="164"/>
      <c r="X204" s="164"/>
      <c r="Y204" s="164"/>
      <c r="Z204" s="164"/>
      <c r="AA204" s="164"/>
      <c r="AB204" s="164"/>
      <c r="AC204" s="164"/>
      <c r="AD204" s="164"/>
      <c r="AE204" s="164"/>
      <c r="AF204" s="164"/>
      <c r="AG204" s="164"/>
      <c r="AH204" s="164"/>
      <c r="AI204" s="164"/>
      <c r="AJ204" s="164"/>
      <c r="AK204" s="164"/>
      <c r="AL204" s="164"/>
      <c r="AM204" s="164"/>
      <c r="AN204" s="164"/>
      <c r="AO204" s="164"/>
      <c r="AP204" s="164"/>
      <c r="AQ204" s="164"/>
      <c r="AR204" s="164"/>
      <c r="AS204" s="164"/>
      <c r="AT204" s="164"/>
      <c r="AU204" s="164"/>
      <c r="AV204" s="164"/>
      <c r="AW204" s="164"/>
      <c r="AX204" s="164"/>
      <c r="AY204" s="164"/>
      <c r="AZ204" s="164"/>
      <c r="BA204" s="164"/>
      <c r="BB204" s="164"/>
      <c r="BC204" s="164"/>
      <c r="BD204" s="164"/>
      <c r="BE204" s="816"/>
      <c r="BF204" s="163"/>
      <c r="BG204" s="163"/>
      <c r="BH204" s="775"/>
    </row>
    <row r="205" spans="1:60" s="180" customFormat="1" ht="44.4" customHeight="1" outlineLevel="1" x14ac:dyDescent="0.3">
      <c r="A205" s="840"/>
      <c r="B205" s="858"/>
      <c r="C205" s="161" t="s">
        <v>51</v>
      </c>
      <c r="D205" s="161" t="s">
        <v>1196</v>
      </c>
      <c r="E205" s="162" t="s">
        <v>790</v>
      </c>
      <c r="F205" s="163" t="s">
        <v>149</v>
      </c>
      <c r="G205" s="164">
        <v>0</v>
      </c>
      <c r="H205" s="163" t="s">
        <v>149</v>
      </c>
      <c r="I205" s="164" t="s">
        <v>150</v>
      </c>
      <c r="J205" s="163" t="s">
        <v>149</v>
      </c>
      <c r="K205" s="801"/>
      <c r="L205" s="801"/>
      <c r="M205" s="716"/>
      <c r="N205" s="801" t="s">
        <v>301</v>
      </c>
      <c r="O205" s="716" t="s">
        <v>1224</v>
      </c>
      <c r="P205" s="716" t="s">
        <v>1225</v>
      </c>
      <c r="Q205" s="718"/>
      <c r="R205" s="722"/>
      <c r="S205" s="722"/>
      <c r="T205" s="722"/>
      <c r="U205" s="722"/>
      <c r="V205" s="722"/>
      <c r="W205" s="722"/>
      <c r="X205" s="722"/>
      <c r="Y205" s="722"/>
      <c r="Z205" s="722"/>
      <c r="AA205" s="722"/>
      <c r="AB205" s="722"/>
      <c r="AC205" s="722"/>
      <c r="AD205" s="722"/>
      <c r="AE205" s="722"/>
      <c r="AF205" s="722"/>
      <c r="AG205" s="722"/>
      <c r="AH205" s="722"/>
      <c r="AI205" s="722"/>
      <c r="AJ205" s="722"/>
      <c r="AK205" s="722"/>
      <c r="AL205" s="722"/>
      <c r="AM205" s="722"/>
      <c r="AN205" s="722"/>
      <c r="AO205" s="722"/>
      <c r="AP205" s="722"/>
      <c r="AQ205" s="722"/>
      <c r="AR205" s="722"/>
      <c r="AS205" s="722"/>
      <c r="AT205" s="722"/>
      <c r="AU205" s="722"/>
      <c r="AV205" s="722"/>
      <c r="AW205" s="722"/>
      <c r="AX205" s="722"/>
      <c r="AY205" s="722"/>
      <c r="AZ205" s="722"/>
      <c r="BA205" s="722" t="s">
        <v>199</v>
      </c>
      <c r="BB205" s="722"/>
      <c r="BC205" s="722"/>
      <c r="BD205" s="722"/>
      <c r="BE205" s="1022" t="s">
        <v>1226</v>
      </c>
      <c r="BF205" s="163"/>
      <c r="BG205" s="163"/>
      <c r="BH205" s="775"/>
    </row>
    <row r="206" spans="1:60" s="269" customFormat="1" ht="14.4" customHeight="1" outlineLevel="1" x14ac:dyDescent="0.3">
      <c r="A206" s="847"/>
      <c r="B206" s="860"/>
      <c r="C206" s="161" t="s">
        <v>51</v>
      </c>
      <c r="D206" s="161" t="s">
        <v>1201</v>
      </c>
      <c r="E206" s="162" t="s">
        <v>790</v>
      </c>
      <c r="F206" s="163" t="s">
        <v>149</v>
      </c>
      <c r="G206" s="164">
        <v>0</v>
      </c>
      <c r="H206" s="163" t="s">
        <v>149</v>
      </c>
      <c r="I206" s="164" t="s">
        <v>150</v>
      </c>
      <c r="J206" s="163" t="s">
        <v>149</v>
      </c>
      <c r="K206" s="861"/>
      <c r="L206" s="861"/>
      <c r="M206" s="718"/>
      <c r="N206" s="861"/>
      <c r="O206" s="718"/>
      <c r="P206" s="717"/>
      <c r="Q206" s="716"/>
      <c r="R206" s="722"/>
      <c r="S206" s="722"/>
      <c r="T206" s="722"/>
      <c r="U206" s="722"/>
      <c r="V206" s="722"/>
      <c r="W206" s="722"/>
      <c r="X206" s="722"/>
      <c r="Y206" s="722"/>
      <c r="Z206" s="722"/>
      <c r="AA206" s="722"/>
      <c r="AB206" s="722"/>
      <c r="AC206" s="722"/>
      <c r="AD206" s="722"/>
      <c r="AE206" s="722"/>
      <c r="AF206" s="722"/>
      <c r="AG206" s="722"/>
      <c r="AH206" s="722"/>
      <c r="AI206" s="722"/>
      <c r="AJ206" s="722"/>
      <c r="AK206" s="722"/>
      <c r="AL206" s="722"/>
      <c r="AM206" s="722"/>
      <c r="AN206" s="722"/>
      <c r="AO206" s="722"/>
      <c r="AP206" s="722"/>
      <c r="AQ206" s="722"/>
      <c r="AR206" s="722"/>
      <c r="AS206" s="722"/>
      <c r="AT206" s="722"/>
      <c r="AU206" s="722"/>
      <c r="AV206" s="722"/>
      <c r="AW206" s="722"/>
      <c r="AX206" s="722"/>
      <c r="AY206" s="722"/>
      <c r="AZ206" s="722"/>
      <c r="BA206" s="722"/>
      <c r="BB206" s="722"/>
      <c r="BC206" s="722"/>
      <c r="BD206" s="722"/>
      <c r="BE206" s="815"/>
      <c r="BF206" s="215"/>
      <c r="BG206" s="215"/>
      <c r="BH206" s="775"/>
    </row>
    <row r="207" spans="1:60" s="180" customFormat="1" ht="14.4" customHeight="1" outlineLevel="1" x14ac:dyDescent="0.3">
      <c r="A207" s="840"/>
      <c r="B207" s="858"/>
      <c r="C207" s="161" t="s">
        <v>51</v>
      </c>
      <c r="D207" s="161" t="s">
        <v>1204</v>
      </c>
      <c r="E207" s="162" t="s">
        <v>790</v>
      </c>
      <c r="F207" s="163" t="s">
        <v>149</v>
      </c>
      <c r="G207" s="164">
        <v>0</v>
      </c>
      <c r="H207" s="163" t="s">
        <v>149</v>
      </c>
      <c r="I207" s="164" t="s">
        <v>150</v>
      </c>
      <c r="J207" s="163" t="s">
        <v>149</v>
      </c>
      <c r="K207" s="801"/>
      <c r="L207" s="801"/>
      <c r="M207" s="716"/>
      <c r="N207" s="801" t="s">
        <v>301</v>
      </c>
      <c r="O207" s="716" t="s">
        <v>1227</v>
      </c>
      <c r="P207" s="717"/>
      <c r="Q207" s="717"/>
      <c r="R207" s="722"/>
      <c r="S207" s="722"/>
      <c r="T207" s="722"/>
      <c r="U207" s="722"/>
      <c r="V207" s="722"/>
      <c r="W207" s="722"/>
      <c r="X207" s="722"/>
      <c r="Y207" s="722"/>
      <c r="Z207" s="722"/>
      <c r="AA207" s="722"/>
      <c r="AB207" s="722"/>
      <c r="AC207" s="722"/>
      <c r="AD207" s="722"/>
      <c r="AE207" s="722"/>
      <c r="AF207" s="722"/>
      <c r="AG207" s="722"/>
      <c r="AH207" s="722"/>
      <c r="AI207" s="722"/>
      <c r="AJ207" s="722"/>
      <c r="AK207" s="722"/>
      <c r="AL207" s="722"/>
      <c r="AM207" s="722"/>
      <c r="AN207" s="722"/>
      <c r="AO207" s="722"/>
      <c r="AP207" s="722"/>
      <c r="AQ207" s="722"/>
      <c r="AR207" s="722"/>
      <c r="AS207" s="722"/>
      <c r="AT207" s="722"/>
      <c r="AU207" s="722"/>
      <c r="AV207" s="722"/>
      <c r="AW207" s="722"/>
      <c r="AX207" s="722"/>
      <c r="AY207" s="722"/>
      <c r="AZ207" s="722"/>
      <c r="BA207" s="722"/>
      <c r="BB207" s="722" t="s">
        <v>199</v>
      </c>
      <c r="BC207" s="722"/>
      <c r="BD207" s="722"/>
      <c r="BE207" s="815"/>
      <c r="BF207" s="163"/>
      <c r="BG207" s="163"/>
      <c r="BH207" s="775"/>
    </row>
    <row r="208" spans="1:60" s="180" customFormat="1" ht="44.4" customHeight="1" outlineLevel="1" x14ac:dyDescent="0.3">
      <c r="A208" s="847"/>
      <c r="B208" s="860"/>
      <c r="C208" s="161" t="s">
        <v>51</v>
      </c>
      <c r="D208" s="161" t="s">
        <v>1206</v>
      </c>
      <c r="E208" s="162" t="s">
        <v>790</v>
      </c>
      <c r="F208" s="163" t="s">
        <v>149</v>
      </c>
      <c r="G208" s="164">
        <v>0</v>
      </c>
      <c r="H208" s="163" t="s">
        <v>149</v>
      </c>
      <c r="I208" s="164" t="s">
        <v>150</v>
      </c>
      <c r="J208" s="163" t="s">
        <v>149</v>
      </c>
      <c r="K208" s="861"/>
      <c r="L208" s="861"/>
      <c r="M208" s="718"/>
      <c r="N208" s="861"/>
      <c r="O208" s="718"/>
      <c r="P208" s="717"/>
      <c r="Q208" s="718"/>
      <c r="R208" s="722"/>
      <c r="S208" s="722"/>
      <c r="T208" s="722"/>
      <c r="U208" s="722"/>
      <c r="V208" s="722"/>
      <c r="W208" s="722"/>
      <c r="X208" s="722"/>
      <c r="Y208" s="722"/>
      <c r="Z208" s="722"/>
      <c r="AA208" s="722"/>
      <c r="AB208" s="722"/>
      <c r="AC208" s="722"/>
      <c r="AD208" s="722"/>
      <c r="AE208" s="722"/>
      <c r="AF208" s="722"/>
      <c r="AG208" s="722"/>
      <c r="AH208" s="722"/>
      <c r="AI208" s="722"/>
      <c r="AJ208" s="722"/>
      <c r="AK208" s="722"/>
      <c r="AL208" s="722"/>
      <c r="AM208" s="722"/>
      <c r="AN208" s="722"/>
      <c r="AO208" s="722"/>
      <c r="AP208" s="722"/>
      <c r="AQ208" s="722"/>
      <c r="AR208" s="722"/>
      <c r="AS208" s="722"/>
      <c r="AT208" s="722"/>
      <c r="AU208" s="722"/>
      <c r="AV208" s="722"/>
      <c r="AW208" s="722"/>
      <c r="AX208" s="722"/>
      <c r="AY208" s="722"/>
      <c r="AZ208" s="722"/>
      <c r="BA208" s="722"/>
      <c r="BB208" s="722"/>
      <c r="BC208" s="722"/>
      <c r="BD208" s="722"/>
      <c r="BE208" s="815"/>
      <c r="BF208" s="163"/>
      <c r="BG208" s="163"/>
      <c r="BH208" s="813"/>
    </row>
    <row r="209" spans="1:61" s="180" customFormat="1" ht="14.4" customHeight="1" outlineLevel="1" x14ac:dyDescent="0.3">
      <c r="A209" s="225"/>
      <c r="B209" s="223"/>
      <c r="C209" s="161" t="s">
        <v>51</v>
      </c>
      <c r="D209" s="207" t="s">
        <v>673</v>
      </c>
      <c r="E209" s="208" t="s">
        <v>790</v>
      </c>
      <c r="F209" s="163" t="s">
        <v>149</v>
      </c>
      <c r="G209" s="164">
        <v>0</v>
      </c>
      <c r="H209" s="163" t="s">
        <v>149</v>
      </c>
      <c r="I209" s="164" t="s">
        <v>150</v>
      </c>
      <c r="J209" s="163" t="s">
        <v>149</v>
      </c>
      <c r="K209" s="224"/>
      <c r="L209" s="224"/>
      <c r="M209" s="195"/>
      <c r="N209" s="227" t="s">
        <v>151</v>
      </c>
      <c r="O209" s="229" t="s">
        <v>1228</v>
      </c>
      <c r="P209" s="939" t="s">
        <v>1229</v>
      </c>
      <c r="Q209" s="716"/>
      <c r="R209" s="716"/>
      <c r="S209" s="722"/>
      <c r="T209" s="722" t="s">
        <v>14</v>
      </c>
      <c r="U209" s="716"/>
      <c r="V209" s="716"/>
      <c r="W209" s="716"/>
      <c r="X209" s="716"/>
      <c r="Y209" s="716"/>
      <c r="Z209" s="716"/>
      <c r="AA209" s="716"/>
      <c r="AB209" s="716"/>
      <c r="AC209" s="716"/>
      <c r="AD209" s="716"/>
      <c r="AE209" s="716"/>
      <c r="AF209" s="716"/>
      <c r="AG209" s="716"/>
      <c r="AH209" s="716"/>
      <c r="AI209" s="716"/>
      <c r="AJ209" s="716"/>
      <c r="AK209" s="716"/>
      <c r="AL209" s="716"/>
      <c r="AM209" s="716"/>
      <c r="AN209" s="716"/>
      <c r="AO209" s="716"/>
      <c r="AP209" s="716"/>
      <c r="AQ209" s="722"/>
      <c r="AR209" s="716"/>
      <c r="AS209" s="722"/>
      <c r="AT209" s="722"/>
      <c r="AU209" s="722"/>
      <c r="AV209" s="722"/>
      <c r="AW209" s="771" t="s">
        <v>14</v>
      </c>
      <c r="AX209" s="771" t="s">
        <v>14</v>
      </c>
      <c r="AY209" s="771"/>
      <c r="AZ209" s="771"/>
      <c r="BA209" s="722" t="s">
        <v>199</v>
      </c>
      <c r="BB209" s="800"/>
      <c r="BC209" s="722"/>
      <c r="BD209" s="722"/>
      <c r="BE209" s="996" t="s">
        <v>1230</v>
      </c>
      <c r="BF209" s="266"/>
      <c r="BG209" s="266"/>
      <c r="BH209" s="774"/>
    </row>
    <row r="210" spans="1:61" s="180" customFormat="1" ht="14.4" customHeight="1" outlineLevel="1" x14ac:dyDescent="0.3">
      <c r="A210" s="225"/>
      <c r="B210" s="223"/>
      <c r="C210" s="161" t="s">
        <v>51</v>
      </c>
      <c r="D210" s="161" t="s">
        <v>680</v>
      </c>
      <c r="E210" s="162" t="s">
        <v>790</v>
      </c>
      <c r="F210" s="163" t="s">
        <v>149</v>
      </c>
      <c r="G210" s="164">
        <v>0</v>
      </c>
      <c r="H210" s="163" t="s">
        <v>149</v>
      </c>
      <c r="I210" s="164" t="s">
        <v>150</v>
      </c>
      <c r="J210" s="163" t="s">
        <v>149</v>
      </c>
      <c r="K210" s="224"/>
      <c r="L210" s="224"/>
      <c r="M210" s="195"/>
      <c r="N210" s="227" t="s">
        <v>151</v>
      </c>
      <c r="O210" s="229" t="s">
        <v>1231</v>
      </c>
      <c r="P210" s="940"/>
      <c r="Q210" s="718"/>
      <c r="R210" s="718"/>
      <c r="S210" s="722"/>
      <c r="T210" s="722"/>
      <c r="U210" s="718"/>
      <c r="V210" s="718"/>
      <c r="W210" s="718"/>
      <c r="X210" s="718"/>
      <c r="Y210" s="718"/>
      <c r="Z210" s="718"/>
      <c r="AA210" s="718"/>
      <c r="AB210" s="718"/>
      <c r="AC210" s="718"/>
      <c r="AD210" s="718"/>
      <c r="AE210" s="718"/>
      <c r="AF210" s="718"/>
      <c r="AG210" s="718"/>
      <c r="AH210" s="718"/>
      <c r="AI210" s="718"/>
      <c r="AJ210" s="718"/>
      <c r="AK210" s="718"/>
      <c r="AL210" s="718"/>
      <c r="AM210" s="718"/>
      <c r="AN210" s="718"/>
      <c r="AO210" s="718"/>
      <c r="AP210" s="718"/>
      <c r="AQ210" s="722"/>
      <c r="AR210" s="718"/>
      <c r="AS210" s="722"/>
      <c r="AT210" s="722"/>
      <c r="AU210" s="722"/>
      <c r="AV210" s="722"/>
      <c r="AW210" s="771"/>
      <c r="AX210" s="771"/>
      <c r="AY210" s="771"/>
      <c r="AZ210" s="771"/>
      <c r="BA210" s="722"/>
      <c r="BB210" s="800"/>
      <c r="BC210" s="722"/>
      <c r="BD210" s="722"/>
      <c r="BE210" s="997"/>
      <c r="BF210" s="163"/>
      <c r="BG210" s="163"/>
      <c r="BH210" s="775"/>
    </row>
    <row r="211" spans="1:61" s="180" customFormat="1" ht="14.4" customHeight="1" outlineLevel="1" x14ac:dyDescent="0.3">
      <c r="A211" s="225"/>
      <c r="B211" s="223"/>
      <c r="C211" s="161" t="s">
        <v>51</v>
      </c>
      <c r="D211" s="207" t="s">
        <v>681</v>
      </c>
      <c r="E211" s="208" t="s">
        <v>790</v>
      </c>
      <c r="F211" s="163" t="s">
        <v>149</v>
      </c>
      <c r="G211" s="164">
        <v>0</v>
      </c>
      <c r="H211" s="163" t="s">
        <v>149</v>
      </c>
      <c r="I211" s="164" t="s">
        <v>150</v>
      </c>
      <c r="J211" s="163" t="s">
        <v>149</v>
      </c>
      <c r="K211" s="224"/>
      <c r="L211" s="224"/>
      <c r="M211" s="195"/>
      <c r="N211" s="227" t="s">
        <v>151</v>
      </c>
      <c r="O211" s="229" t="s">
        <v>1232</v>
      </c>
      <c r="P211" s="940"/>
      <c r="Q211" s="716"/>
      <c r="R211" s="716"/>
      <c r="S211" s="722"/>
      <c r="T211" s="722"/>
      <c r="U211" s="716"/>
      <c r="V211" s="716"/>
      <c r="W211" s="716"/>
      <c r="X211" s="716"/>
      <c r="Y211" s="716"/>
      <c r="Z211" s="716"/>
      <c r="AA211" s="716"/>
      <c r="AB211" s="716"/>
      <c r="AC211" s="716"/>
      <c r="AD211" s="716"/>
      <c r="AE211" s="716"/>
      <c r="AF211" s="716"/>
      <c r="AG211" s="716"/>
      <c r="AH211" s="716"/>
      <c r="AI211" s="716"/>
      <c r="AJ211" s="716"/>
      <c r="AK211" s="716"/>
      <c r="AL211" s="716"/>
      <c r="AM211" s="716"/>
      <c r="AN211" s="716"/>
      <c r="AO211" s="716"/>
      <c r="AP211" s="716"/>
      <c r="AQ211" s="722"/>
      <c r="AR211" s="716"/>
      <c r="AS211" s="722"/>
      <c r="AT211" s="722"/>
      <c r="AU211" s="722"/>
      <c r="AV211" s="722"/>
      <c r="AW211" s="771"/>
      <c r="AX211" s="771"/>
      <c r="AY211" s="771"/>
      <c r="AZ211" s="771"/>
      <c r="BA211" s="722"/>
      <c r="BB211" s="800"/>
      <c r="BC211" s="722"/>
      <c r="BD211" s="722"/>
      <c r="BE211" s="997"/>
      <c r="BF211" s="163"/>
      <c r="BG211" s="163"/>
      <c r="BH211" s="775"/>
    </row>
    <row r="212" spans="1:61" s="180" customFormat="1" ht="14.4" customHeight="1" outlineLevel="1" x14ac:dyDescent="0.3">
      <c r="A212" s="225"/>
      <c r="B212" s="223"/>
      <c r="C212" s="161" t="s">
        <v>51</v>
      </c>
      <c r="D212" s="207" t="s">
        <v>682</v>
      </c>
      <c r="E212" s="208" t="s">
        <v>790</v>
      </c>
      <c r="F212" s="163" t="s">
        <v>149</v>
      </c>
      <c r="G212" s="164">
        <v>0</v>
      </c>
      <c r="H212" s="163" t="s">
        <v>149</v>
      </c>
      <c r="I212" s="164" t="s">
        <v>150</v>
      </c>
      <c r="J212" s="163" t="s">
        <v>149</v>
      </c>
      <c r="K212" s="224"/>
      <c r="L212" s="224"/>
      <c r="M212" s="195"/>
      <c r="N212" s="227" t="s">
        <v>151</v>
      </c>
      <c r="O212" s="229" t="s">
        <v>1233</v>
      </c>
      <c r="P212" s="941"/>
      <c r="Q212" s="717"/>
      <c r="R212" s="717"/>
      <c r="S212" s="722"/>
      <c r="T212" s="722"/>
      <c r="U212" s="717"/>
      <c r="V212" s="717"/>
      <c r="W212" s="717"/>
      <c r="X212" s="717"/>
      <c r="Y212" s="717"/>
      <c r="Z212" s="717"/>
      <c r="AA212" s="717"/>
      <c r="AB212" s="717"/>
      <c r="AC212" s="717"/>
      <c r="AD212" s="717"/>
      <c r="AE212" s="717"/>
      <c r="AF212" s="717"/>
      <c r="AG212" s="717"/>
      <c r="AH212" s="717"/>
      <c r="AI212" s="717"/>
      <c r="AJ212" s="717"/>
      <c r="AK212" s="717"/>
      <c r="AL212" s="717"/>
      <c r="AM212" s="717"/>
      <c r="AN212" s="717"/>
      <c r="AO212" s="717"/>
      <c r="AP212" s="717"/>
      <c r="AQ212" s="722"/>
      <c r="AR212" s="717"/>
      <c r="AS212" s="722"/>
      <c r="AT212" s="722"/>
      <c r="AU212" s="722"/>
      <c r="AV212" s="722"/>
      <c r="AW212" s="771"/>
      <c r="AX212" s="771"/>
      <c r="AY212" s="771"/>
      <c r="AZ212" s="771"/>
      <c r="BA212" s="722"/>
      <c r="BB212" s="800"/>
      <c r="BC212" s="722"/>
      <c r="BD212" s="722"/>
      <c r="BE212" s="997"/>
      <c r="BF212" s="163"/>
      <c r="BG212" s="163"/>
      <c r="BH212" s="775"/>
    </row>
    <row r="213" spans="1:61" s="180" customFormat="1" ht="28.95" customHeight="1" outlineLevel="1" x14ac:dyDescent="0.3">
      <c r="A213" s="225"/>
      <c r="B213" s="223"/>
      <c r="C213" s="161" t="s">
        <v>51</v>
      </c>
      <c r="D213" s="207" t="s">
        <v>684</v>
      </c>
      <c r="E213" s="208" t="s">
        <v>790</v>
      </c>
      <c r="F213" s="163" t="s">
        <v>149</v>
      </c>
      <c r="G213" s="164">
        <v>0</v>
      </c>
      <c r="H213" s="163" t="s">
        <v>149</v>
      </c>
      <c r="I213" s="164" t="s">
        <v>150</v>
      </c>
      <c r="J213" s="163" t="s">
        <v>149</v>
      </c>
      <c r="K213" s="224"/>
      <c r="L213" s="224"/>
      <c r="M213" s="195"/>
      <c r="N213" s="227" t="s">
        <v>151</v>
      </c>
      <c r="O213" s="226" t="s">
        <v>1234</v>
      </c>
      <c r="P213" s="939" t="s">
        <v>1235</v>
      </c>
      <c r="Q213" s="723"/>
      <c r="R213" s="723"/>
      <c r="S213" s="937"/>
      <c r="T213" s="722"/>
      <c r="U213" s="723"/>
      <c r="V213" s="723"/>
      <c r="W213" s="723"/>
      <c r="X213" s="723"/>
      <c r="Y213" s="723"/>
      <c r="Z213" s="723"/>
      <c r="AA213" s="723"/>
      <c r="AB213" s="723"/>
      <c r="AC213" s="723"/>
      <c r="AD213" s="723"/>
      <c r="AE213" s="723"/>
      <c r="AF213" s="723"/>
      <c r="AG213" s="723"/>
      <c r="AH213" s="723"/>
      <c r="AI213" s="723"/>
      <c r="AJ213" s="723"/>
      <c r="AK213" s="723"/>
      <c r="AL213" s="723"/>
      <c r="AM213" s="723"/>
      <c r="AN213" s="723"/>
      <c r="AO213" s="723"/>
      <c r="AP213" s="723"/>
      <c r="AQ213" s="937" t="s">
        <v>199</v>
      </c>
      <c r="AR213" s="723"/>
      <c r="AS213" s="722"/>
      <c r="AT213" s="722"/>
      <c r="AU213" s="722"/>
      <c r="AV213" s="722"/>
      <c r="AW213" s="771"/>
      <c r="AX213" s="771"/>
      <c r="AY213" s="771" t="s">
        <v>14</v>
      </c>
      <c r="AZ213" s="771" t="s">
        <v>14</v>
      </c>
      <c r="BA213" s="800"/>
      <c r="BB213" s="722" t="s">
        <v>199</v>
      </c>
      <c r="BC213" s="722"/>
      <c r="BD213" s="722"/>
      <c r="BE213" s="997"/>
      <c r="BF213" s="163"/>
      <c r="BG213" s="163"/>
      <c r="BH213" s="304"/>
      <c r="BI213" s="230"/>
    </row>
    <row r="214" spans="1:61" s="180" customFormat="1" ht="28.95" customHeight="1" outlineLevel="1" x14ac:dyDescent="0.3">
      <c r="A214" s="225"/>
      <c r="B214" s="223"/>
      <c r="C214" s="161" t="s">
        <v>51</v>
      </c>
      <c r="D214" s="207" t="s">
        <v>686</v>
      </c>
      <c r="E214" s="208" t="s">
        <v>790</v>
      </c>
      <c r="F214" s="163" t="s">
        <v>149</v>
      </c>
      <c r="G214" s="164">
        <v>0</v>
      </c>
      <c r="H214" s="163" t="s">
        <v>149</v>
      </c>
      <c r="I214" s="164" t="s">
        <v>150</v>
      </c>
      <c r="J214" s="163" t="s">
        <v>149</v>
      </c>
      <c r="K214" s="224"/>
      <c r="L214" s="224"/>
      <c r="M214" s="195"/>
      <c r="N214" s="227" t="s">
        <v>151</v>
      </c>
      <c r="O214" s="226" t="s">
        <v>1236</v>
      </c>
      <c r="P214" s="940"/>
      <c r="Q214" s="724"/>
      <c r="R214" s="724"/>
      <c r="S214" s="937"/>
      <c r="T214" s="722"/>
      <c r="U214" s="724"/>
      <c r="V214" s="724"/>
      <c r="W214" s="724"/>
      <c r="X214" s="724"/>
      <c r="Y214" s="724"/>
      <c r="Z214" s="724"/>
      <c r="AA214" s="724"/>
      <c r="AB214" s="724"/>
      <c r="AC214" s="724"/>
      <c r="AD214" s="724"/>
      <c r="AE214" s="724"/>
      <c r="AF214" s="724"/>
      <c r="AG214" s="724"/>
      <c r="AH214" s="724"/>
      <c r="AI214" s="724"/>
      <c r="AJ214" s="724"/>
      <c r="AK214" s="724"/>
      <c r="AL214" s="724"/>
      <c r="AM214" s="724"/>
      <c r="AN214" s="724"/>
      <c r="AO214" s="724"/>
      <c r="AP214" s="724"/>
      <c r="AQ214" s="937"/>
      <c r="AR214" s="724"/>
      <c r="AS214" s="722"/>
      <c r="AT214" s="722"/>
      <c r="AU214" s="722"/>
      <c r="AV214" s="722"/>
      <c r="AW214" s="771"/>
      <c r="AX214" s="771"/>
      <c r="AY214" s="771"/>
      <c r="AZ214" s="771"/>
      <c r="BA214" s="800"/>
      <c r="BB214" s="722"/>
      <c r="BC214" s="722"/>
      <c r="BD214" s="722"/>
      <c r="BE214" s="997"/>
      <c r="BF214" s="163"/>
      <c r="BG214" s="163"/>
      <c r="BH214" s="304"/>
      <c r="BI214" s="230"/>
    </row>
    <row r="215" spans="1:61" s="180" customFormat="1" ht="28.95" customHeight="1" outlineLevel="1" x14ac:dyDescent="0.3">
      <c r="A215" s="225"/>
      <c r="B215" s="223"/>
      <c r="C215" s="161" t="s">
        <v>51</v>
      </c>
      <c r="D215" s="207" t="s">
        <v>687</v>
      </c>
      <c r="E215" s="208" t="s">
        <v>790</v>
      </c>
      <c r="F215" s="163" t="s">
        <v>149</v>
      </c>
      <c r="G215" s="164">
        <v>0</v>
      </c>
      <c r="H215" s="163" t="s">
        <v>149</v>
      </c>
      <c r="I215" s="164" t="s">
        <v>150</v>
      </c>
      <c r="J215" s="163" t="s">
        <v>149</v>
      </c>
      <c r="K215" s="224"/>
      <c r="L215" s="224"/>
      <c r="M215" s="195"/>
      <c r="N215" s="227" t="s">
        <v>151</v>
      </c>
      <c r="O215" s="226" t="s">
        <v>1237</v>
      </c>
      <c r="P215" s="940"/>
      <c r="Q215" s="724"/>
      <c r="R215" s="724"/>
      <c r="S215" s="937"/>
      <c r="T215" s="722"/>
      <c r="U215" s="724"/>
      <c r="V215" s="724"/>
      <c r="W215" s="724"/>
      <c r="X215" s="724"/>
      <c r="Y215" s="724"/>
      <c r="Z215" s="724"/>
      <c r="AA215" s="724"/>
      <c r="AB215" s="724"/>
      <c r="AC215" s="724"/>
      <c r="AD215" s="724"/>
      <c r="AE215" s="724"/>
      <c r="AF215" s="724"/>
      <c r="AG215" s="724"/>
      <c r="AH215" s="724"/>
      <c r="AI215" s="724"/>
      <c r="AJ215" s="724"/>
      <c r="AK215" s="724"/>
      <c r="AL215" s="724"/>
      <c r="AM215" s="724"/>
      <c r="AN215" s="724"/>
      <c r="AO215" s="724"/>
      <c r="AP215" s="724"/>
      <c r="AQ215" s="937"/>
      <c r="AR215" s="724"/>
      <c r="AS215" s="722"/>
      <c r="AT215" s="722"/>
      <c r="AU215" s="722"/>
      <c r="AV215" s="722"/>
      <c r="AW215" s="771"/>
      <c r="AX215" s="771"/>
      <c r="AY215" s="771"/>
      <c r="AZ215" s="771"/>
      <c r="BA215" s="800"/>
      <c r="BB215" s="722"/>
      <c r="BC215" s="722"/>
      <c r="BD215" s="722"/>
      <c r="BE215" s="997"/>
      <c r="BF215" s="163"/>
      <c r="BG215" s="163"/>
      <c r="BH215" s="304"/>
      <c r="BI215" s="230"/>
    </row>
    <row r="216" spans="1:61" s="180" customFormat="1" ht="28.95" customHeight="1" outlineLevel="1" x14ac:dyDescent="0.3">
      <c r="A216" s="225"/>
      <c r="B216" s="223"/>
      <c r="C216" s="161" t="s">
        <v>51</v>
      </c>
      <c r="D216" s="207" t="s">
        <v>688</v>
      </c>
      <c r="E216" s="208" t="s">
        <v>790</v>
      </c>
      <c r="F216" s="163" t="s">
        <v>149</v>
      </c>
      <c r="G216" s="164">
        <v>0</v>
      </c>
      <c r="H216" s="163" t="s">
        <v>149</v>
      </c>
      <c r="I216" s="164" t="s">
        <v>150</v>
      </c>
      <c r="J216" s="163" t="s">
        <v>149</v>
      </c>
      <c r="K216" s="224"/>
      <c r="L216" s="224"/>
      <c r="M216" s="195"/>
      <c r="N216" s="224" t="s">
        <v>151</v>
      </c>
      <c r="O216" s="195" t="s">
        <v>1238</v>
      </c>
      <c r="P216" s="941"/>
      <c r="Q216" s="725"/>
      <c r="R216" s="725"/>
      <c r="S216" s="937"/>
      <c r="T216" s="722"/>
      <c r="U216" s="725"/>
      <c r="V216" s="725"/>
      <c r="W216" s="725"/>
      <c r="X216" s="725"/>
      <c r="Y216" s="725"/>
      <c r="Z216" s="725"/>
      <c r="AA216" s="725"/>
      <c r="AB216" s="725"/>
      <c r="AC216" s="725"/>
      <c r="AD216" s="725"/>
      <c r="AE216" s="725"/>
      <c r="AF216" s="725"/>
      <c r="AG216" s="725"/>
      <c r="AH216" s="725"/>
      <c r="AI216" s="725"/>
      <c r="AJ216" s="725"/>
      <c r="AK216" s="725"/>
      <c r="AL216" s="725"/>
      <c r="AM216" s="725"/>
      <c r="AN216" s="725"/>
      <c r="AO216" s="725"/>
      <c r="AP216" s="725"/>
      <c r="AQ216" s="937"/>
      <c r="AR216" s="725"/>
      <c r="AS216" s="722"/>
      <c r="AT216" s="722"/>
      <c r="AU216" s="722"/>
      <c r="AV216" s="722"/>
      <c r="AW216" s="771"/>
      <c r="AX216" s="771"/>
      <c r="AY216" s="771"/>
      <c r="AZ216" s="771"/>
      <c r="BA216" s="800"/>
      <c r="BB216" s="722"/>
      <c r="BC216" s="722"/>
      <c r="BD216" s="722"/>
      <c r="BE216" s="998"/>
      <c r="BF216" s="163"/>
      <c r="BG216" s="163"/>
      <c r="BH216" s="304"/>
      <c r="BI216" s="230"/>
    </row>
    <row r="217" spans="1:61" s="180" customFormat="1" ht="14.4" customHeight="1" outlineLevel="1" x14ac:dyDescent="0.3">
      <c r="A217" s="840"/>
      <c r="B217" s="858"/>
      <c r="C217" s="161" t="s">
        <v>51</v>
      </c>
      <c r="D217" s="161" t="s">
        <v>1239</v>
      </c>
      <c r="E217" s="162" t="s">
        <v>790</v>
      </c>
      <c r="F217" s="163" t="s">
        <v>149</v>
      </c>
      <c r="G217" s="164">
        <v>0</v>
      </c>
      <c r="H217" s="163" t="s">
        <v>149</v>
      </c>
      <c r="I217" s="164" t="s">
        <v>150</v>
      </c>
      <c r="J217" s="163" t="s">
        <v>149</v>
      </c>
      <c r="K217" s="801"/>
      <c r="L217" s="801"/>
      <c r="M217" s="801"/>
      <c r="N217" s="801" t="s">
        <v>676</v>
      </c>
      <c r="O217" s="716" t="s">
        <v>1240</v>
      </c>
      <c r="P217" s="716" t="s">
        <v>1241</v>
      </c>
      <c r="Q217" s="723"/>
      <c r="R217" s="723"/>
      <c r="S217" s="722"/>
      <c r="T217" s="722" t="s">
        <v>14</v>
      </c>
      <c r="U217" s="723"/>
      <c r="V217" s="723"/>
      <c r="W217" s="723"/>
      <c r="X217" s="723"/>
      <c r="Y217" s="723"/>
      <c r="Z217" s="723"/>
      <c r="AA217" s="723"/>
      <c r="AB217" s="723"/>
      <c r="AC217" s="723"/>
      <c r="AD217" s="723"/>
      <c r="AE217" s="723"/>
      <c r="AF217" s="723"/>
      <c r="AG217" s="723"/>
      <c r="AH217" s="723"/>
      <c r="AI217" s="723"/>
      <c r="AJ217" s="723"/>
      <c r="AK217" s="723"/>
      <c r="AL217" s="723"/>
      <c r="AM217" s="723"/>
      <c r="AN217" s="723"/>
      <c r="AO217" s="723"/>
      <c r="AP217" s="723"/>
      <c r="AQ217" s="722"/>
      <c r="AR217" s="723"/>
      <c r="AS217" s="722"/>
      <c r="AT217" s="722"/>
      <c r="AU217" s="722"/>
      <c r="AV217" s="722"/>
      <c r="AW217" s="771" t="s">
        <v>14</v>
      </c>
      <c r="AX217" s="771" t="s">
        <v>14</v>
      </c>
      <c r="AY217" s="771"/>
      <c r="AZ217" s="771"/>
      <c r="BA217" s="722" t="s">
        <v>199</v>
      </c>
      <c r="BB217" s="800"/>
      <c r="BC217" s="722"/>
      <c r="BD217" s="722"/>
      <c r="BE217" s="996" t="s">
        <v>1230</v>
      </c>
      <c r="BF217" s="163"/>
      <c r="BG217" s="163"/>
      <c r="BH217" s="304"/>
      <c r="BI217" s="230"/>
    </row>
    <row r="218" spans="1:61" s="180" customFormat="1" ht="14.4" customHeight="1" outlineLevel="1" x14ac:dyDescent="0.3">
      <c r="A218" s="841"/>
      <c r="B218" s="859"/>
      <c r="C218" s="161" t="s">
        <v>51</v>
      </c>
      <c r="D218" s="161" t="s">
        <v>1242</v>
      </c>
      <c r="E218" s="162" t="s">
        <v>790</v>
      </c>
      <c r="F218" s="163" t="s">
        <v>149</v>
      </c>
      <c r="G218" s="164">
        <v>0</v>
      </c>
      <c r="H218" s="163" t="s">
        <v>149</v>
      </c>
      <c r="I218" s="164" t="s">
        <v>150</v>
      </c>
      <c r="J218" s="163" t="s">
        <v>149</v>
      </c>
      <c r="K218" s="802"/>
      <c r="L218" s="802"/>
      <c r="M218" s="802"/>
      <c r="N218" s="802"/>
      <c r="O218" s="717"/>
      <c r="P218" s="717"/>
      <c r="Q218" s="724"/>
      <c r="R218" s="724"/>
      <c r="S218" s="722"/>
      <c r="T218" s="722"/>
      <c r="U218" s="724"/>
      <c r="V218" s="724"/>
      <c r="W218" s="724"/>
      <c r="X218" s="724"/>
      <c r="Y218" s="724"/>
      <c r="Z218" s="724"/>
      <c r="AA218" s="724"/>
      <c r="AB218" s="724"/>
      <c r="AC218" s="724"/>
      <c r="AD218" s="724"/>
      <c r="AE218" s="724"/>
      <c r="AF218" s="724"/>
      <c r="AG218" s="724"/>
      <c r="AH218" s="724"/>
      <c r="AI218" s="724"/>
      <c r="AJ218" s="724"/>
      <c r="AK218" s="724"/>
      <c r="AL218" s="724"/>
      <c r="AM218" s="724"/>
      <c r="AN218" s="724"/>
      <c r="AO218" s="724"/>
      <c r="AP218" s="724"/>
      <c r="AQ218" s="722"/>
      <c r="AR218" s="724"/>
      <c r="AS218" s="722"/>
      <c r="AT218" s="722"/>
      <c r="AU218" s="722"/>
      <c r="AV218" s="722"/>
      <c r="AW218" s="771"/>
      <c r="AX218" s="771"/>
      <c r="AY218" s="771"/>
      <c r="AZ218" s="771"/>
      <c r="BA218" s="722"/>
      <c r="BB218" s="800"/>
      <c r="BC218" s="722"/>
      <c r="BD218" s="722"/>
      <c r="BE218" s="997"/>
      <c r="BF218" s="163"/>
      <c r="BG218" s="163"/>
      <c r="BH218" s="304"/>
      <c r="BI218" s="230"/>
    </row>
    <row r="219" spans="1:61" s="180" customFormat="1" ht="14.4" customHeight="1" outlineLevel="1" x14ac:dyDescent="0.3">
      <c r="A219" s="841"/>
      <c r="B219" s="859"/>
      <c r="C219" s="161" t="s">
        <v>51</v>
      </c>
      <c r="D219" s="161" t="s">
        <v>1243</v>
      </c>
      <c r="E219" s="162" t="s">
        <v>790</v>
      </c>
      <c r="F219" s="163" t="s">
        <v>149</v>
      </c>
      <c r="G219" s="164">
        <v>0</v>
      </c>
      <c r="H219" s="163" t="s">
        <v>149</v>
      </c>
      <c r="I219" s="164" t="s">
        <v>150</v>
      </c>
      <c r="J219" s="163" t="s">
        <v>149</v>
      </c>
      <c r="K219" s="802"/>
      <c r="L219" s="802"/>
      <c r="M219" s="802"/>
      <c r="N219" s="802"/>
      <c r="O219" s="717"/>
      <c r="P219" s="717"/>
      <c r="Q219" s="724"/>
      <c r="R219" s="724"/>
      <c r="S219" s="722"/>
      <c r="T219" s="722"/>
      <c r="U219" s="724"/>
      <c r="V219" s="724"/>
      <c r="W219" s="724"/>
      <c r="X219" s="724"/>
      <c r="Y219" s="724"/>
      <c r="Z219" s="724"/>
      <c r="AA219" s="724"/>
      <c r="AB219" s="724"/>
      <c r="AC219" s="724"/>
      <c r="AD219" s="724"/>
      <c r="AE219" s="724"/>
      <c r="AF219" s="724"/>
      <c r="AG219" s="724"/>
      <c r="AH219" s="724"/>
      <c r="AI219" s="724"/>
      <c r="AJ219" s="724"/>
      <c r="AK219" s="724"/>
      <c r="AL219" s="724"/>
      <c r="AM219" s="724"/>
      <c r="AN219" s="724"/>
      <c r="AO219" s="724"/>
      <c r="AP219" s="724"/>
      <c r="AQ219" s="722"/>
      <c r="AR219" s="724"/>
      <c r="AS219" s="722"/>
      <c r="AT219" s="722"/>
      <c r="AU219" s="722"/>
      <c r="AV219" s="722"/>
      <c r="AW219" s="771"/>
      <c r="AX219" s="771"/>
      <c r="AY219" s="771"/>
      <c r="AZ219" s="771"/>
      <c r="BA219" s="722"/>
      <c r="BB219" s="800"/>
      <c r="BC219" s="722"/>
      <c r="BD219" s="722"/>
      <c r="BE219" s="997"/>
      <c r="BF219" s="163"/>
      <c r="BG219" s="163"/>
      <c r="BH219" s="304"/>
      <c r="BI219" s="230"/>
    </row>
    <row r="220" spans="1:61" s="180" customFormat="1" ht="14.4" customHeight="1" outlineLevel="1" x14ac:dyDescent="0.3">
      <c r="A220" s="847"/>
      <c r="B220" s="860"/>
      <c r="C220" s="161" t="s">
        <v>51</v>
      </c>
      <c r="D220" s="161" t="s">
        <v>1244</v>
      </c>
      <c r="E220" s="162" t="s">
        <v>790</v>
      </c>
      <c r="F220" s="163" t="s">
        <v>149</v>
      </c>
      <c r="G220" s="164">
        <v>0</v>
      </c>
      <c r="H220" s="163" t="s">
        <v>149</v>
      </c>
      <c r="I220" s="164" t="s">
        <v>150</v>
      </c>
      <c r="J220" s="163" t="s">
        <v>149</v>
      </c>
      <c r="K220" s="861"/>
      <c r="L220" s="861"/>
      <c r="M220" s="861"/>
      <c r="N220" s="861"/>
      <c r="O220" s="718"/>
      <c r="P220" s="718"/>
      <c r="Q220" s="725"/>
      <c r="R220" s="725"/>
      <c r="S220" s="722"/>
      <c r="T220" s="722"/>
      <c r="U220" s="725"/>
      <c r="V220" s="725"/>
      <c r="W220" s="725"/>
      <c r="X220" s="725"/>
      <c r="Y220" s="725"/>
      <c r="Z220" s="725"/>
      <c r="AA220" s="725"/>
      <c r="AB220" s="725"/>
      <c r="AC220" s="725"/>
      <c r="AD220" s="725"/>
      <c r="AE220" s="725"/>
      <c r="AF220" s="725"/>
      <c r="AG220" s="725"/>
      <c r="AH220" s="725"/>
      <c r="AI220" s="725"/>
      <c r="AJ220" s="725"/>
      <c r="AK220" s="725"/>
      <c r="AL220" s="725"/>
      <c r="AM220" s="725"/>
      <c r="AN220" s="725"/>
      <c r="AO220" s="725"/>
      <c r="AP220" s="725"/>
      <c r="AQ220" s="722"/>
      <c r="AR220" s="725"/>
      <c r="AS220" s="722"/>
      <c r="AT220" s="722"/>
      <c r="AU220" s="722"/>
      <c r="AV220" s="722"/>
      <c r="AW220" s="771"/>
      <c r="AX220" s="771"/>
      <c r="AY220" s="771"/>
      <c r="AZ220" s="771"/>
      <c r="BA220" s="722"/>
      <c r="BB220" s="800"/>
      <c r="BC220" s="722"/>
      <c r="BD220" s="722"/>
      <c r="BE220" s="997"/>
      <c r="BF220" s="163"/>
      <c r="BG220" s="163"/>
      <c r="BH220" s="304"/>
      <c r="BI220" s="230"/>
    </row>
    <row r="221" spans="1:61" s="180" customFormat="1" ht="14.4" customHeight="1" outlineLevel="1" x14ac:dyDescent="0.3">
      <c r="A221" s="840"/>
      <c r="B221" s="858"/>
      <c r="C221" s="161" t="s">
        <v>51</v>
      </c>
      <c r="D221" s="161" t="s">
        <v>1245</v>
      </c>
      <c r="E221" s="162" t="s">
        <v>790</v>
      </c>
      <c r="F221" s="163" t="s">
        <v>149</v>
      </c>
      <c r="G221" s="164">
        <v>0</v>
      </c>
      <c r="H221" s="163" t="s">
        <v>149</v>
      </c>
      <c r="I221" s="164" t="s">
        <v>150</v>
      </c>
      <c r="J221" s="163" t="s">
        <v>149</v>
      </c>
      <c r="K221" s="801"/>
      <c r="L221" s="801"/>
      <c r="M221" s="801"/>
      <c r="N221" s="801" t="s">
        <v>676</v>
      </c>
      <c r="O221" s="716" t="s">
        <v>1246</v>
      </c>
      <c r="P221" s="716" t="s">
        <v>1247</v>
      </c>
      <c r="Q221" s="717"/>
      <c r="R221" s="717"/>
      <c r="S221" s="937"/>
      <c r="T221" s="722"/>
      <c r="U221" s="717"/>
      <c r="V221" s="717"/>
      <c r="W221" s="717"/>
      <c r="X221" s="717"/>
      <c r="Y221" s="717"/>
      <c r="Z221" s="717"/>
      <c r="AA221" s="717"/>
      <c r="AB221" s="717"/>
      <c r="AC221" s="717"/>
      <c r="AD221" s="717"/>
      <c r="AE221" s="717"/>
      <c r="AF221" s="717"/>
      <c r="AG221" s="717"/>
      <c r="AH221" s="717"/>
      <c r="AI221" s="717"/>
      <c r="AJ221" s="717"/>
      <c r="AK221" s="717"/>
      <c r="AL221" s="717"/>
      <c r="AM221" s="717"/>
      <c r="AN221" s="717"/>
      <c r="AO221" s="717"/>
      <c r="AP221" s="717"/>
      <c r="AQ221" s="937" t="s">
        <v>199</v>
      </c>
      <c r="AR221" s="717"/>
      <c r="AS221" s="722"/>
      <c r="AT221" s="722"/>
      <c r="AU221" s="722"/>
      <c r="AV221" s="722"/>
      <c r="AW221" s="771"/>
      <c r="AX221" s="771"/>
      <c r="AY221" s="771" t="s">
        <v>14</v>
      </c>
      <c r="AZ221" s="771" t="s">
        <v>14</v>
      </c>
      <c r="BA221" s="800"/>
      <c r="BB221" s="722" t="s">
        <v>199</v>
      </c>
      <c r="BC221" s="722"/>
      <c r="BD221" s="722"/>
      <c r="BE221" s="997"/>
      <c r="BF221" s="163"/>
      <c r="BG221" s="163"/>
      <c r="BH221" s="775" t="s">
        <v>1248</v>
      </c>
    </row>
    <row r="222" spans="1:61" s="180" customFormat="1" ht="14.4" customHeight="1" outlineLevel="1" x14ac:dyDescent="0.3">
      <c r="A222" s="841"/>
      <c r="B222" s="859"/>
      <c r="C222" s="161" t="s">
        <v>51</v>
      </c>
      <c r="D222" s="161" t="s">
        <v>1249</v>
      </c>
      <c r="E222" s="162" t="s">
        <v>790</v>
      </c>
      <c r="F222" s="163" t="s">
        <v>149</v>
      </c>
      <c r="G222" s="164">
        <v>0</v>
      </c>
      <c r="H222" s="163" t="s">
        <v>149</v>
      </c>
      <c r="I222" s="164" t="s">
        <v>150</v>
      </c>
      <c r="J222" s="163" t="s">
        <v>149</v>
      </c>
      <c r="K222" s="802"/>
      <c r="L222" s="802"/>
      <c r="M222" s="802"/>
      <c r="N222" s="802"/>
      <c r="O222" s="717"/>
      <c r="P222" s="717"/>
      <c r="Q222" s="717"/>
      <c r="R222" s="717"/>
      <c r="S222" s="937"/>
      <c r="T222" s="722"/>
      <c r="U222" s="717"/>
      <c r="V222" s="717"/>
      <c r="W222" s="717"/>
      <c r="X222" s="717"/>
      <c r="Y222" s="717"/>
      <c r="Z222" s="717"/>
      <c r="AA222" s="717"/>
      <c r="AB222" s="717"/>
      <c r="AC222" s="717"/>
      <c r="AD222" s="717"/>
      <c r="AE222" s="717"/>
      <c r="AF222" s="717"/>
      <c r="AG222" s="717"/>
      <c r="AH222" s="717"/>
      <c r="AI222" s="717"/>
      <c r="AJ222" s="717"/>
      <c r="AK222" s="717"/>
      <c r="AL222" s="717"/>
      <c r="AM222" s="717"/>
      <c r="AN222" s="717"/>
      <c r="AO222" s="717"/>
      <c r="AP222" s="717"/>
      <c r="AQ222" s="937"/>
      <c r="AR222" s="717"/>
      <c r="AS222" s="722"/>
      <c r="AT222" s="722"/>
      <c r="AU222" s="722"/>
      <c r="AV222" s="722"/>
      <c r="AW222" s="771"/>
      <c r="AX222" s="771"/>
      <c r="AY222" s="771"/>
      <c r="AZ222" s="771"/>
      <c r="BA222" s="800"/>
      <c r="BB222" s="722"/>
      <c r="BC222" s="722"/>
      <c r="BD222" s="722"/>
      <c r="BE222" s="997"/>
      <c r="BF222" s="163"/>
      <c r="BG222" s="163"/>
      <c r="BH222" s="775"/>
    </row>
    <row r="223" spans="1:61" s="180" customFormat="1" ht="14.4" customHeight="1" outlineLevel="1" x14ac:dyDescent="0.3">
      <c r="A223" s="841"/>
      <c r="B223" s="859"/>
      <c r="C223" s="161" t="s">
        <v>51</v>
      </c>
      <c r="D223" s="161" t="s">
        <v>1250</v>
      </c>
      <c r="E223" s="162" t="s">
        <v>790</v>
      </c>
      <c r="F223" s="163" t="s">
        <v>149</v>
      </c>
      <c r="G223" s="164">
        <v>0</v>
      </c>
      <c r="H223" s="163" t="s">
        <v>149</v>
      </c>
      <c r="I223" s="164" t="s">
        <v>150</v>
      </c>
      <c r="J223" s="163" t="s">
        <v>149</v>
      </c>
      <c r="K223" s="802"/>
      <c r="L223" s="802"/>
      <c r="M223" s="802"/>
      <c r="N223" s="802"/>
      <c r="O223" s="717"/>
      <c r="P223" s="717"/>
      <c r="Q223" s="717"/>
      <c r="R223" s="717"/>
      <c r="S223" s="937"/>
      <c r="T223" s="722"/>
      <c r="U223" s="717"/>
      <c r="V223" s="717"/>
      <c r="W223" s="717"/>
      <c r="X223" s="717"/>
      <c r="Y223" s="717"/>
      <c r="Z223" s="717"/>
      <c r="AA223" s="717"/>
      <c r="AB223" s="717"/>
      <c r="AC223" s="717"/>
      <c r="AD223" s="717"/>
      <c r="AE223" s="717"/>
      <c r="AF223" s="717"/>
      <c r="AG223" s="717"/>
      <c r="AH223" s="717"/>
      <c r="AI223" s="717"/>
      <c r="AJ223" s="717"/>
      <c r="AK223" s="717"/>
      <c r="AL223" s="717"/>
      <c r="AM223" s="717"/>
      <c r="AN223" s="717"/>
      <c r="AO223" s="717"/>
      <c r="AP223" s="717"/>
      <c r="AQ223" s="937"/>
      <c r="AR223" s="717"/>
      <c r="AS223" s="722"/>
      <c r="AT223" s="722"/>
      <c r="AU223" s="722"/>
      <c r="AV223" s="722"/>
      <c r="AW223" s="771"/>
      <c r="AX223" s="771"/>
      <c r="AY223" s="771"/>
      <c r="AZ223" s="771"/>
      <c r="BA223" s="800"/>
      <c r="BB223" s="722"/>
      <c r="BC223" s="722"/>
      <c r="BD223" s="722"/>
      <c r="BE223" s="997"/>
      <c r="BF223" s="163"/>
      <c r="BG223" s="163"/>
      <c r="BH223" s="775"/>
    </row>
    <row r="224" spans="1:61" s="180" customFormat="1" ht="14.4" customHeight="1" outlineLevel="1" x14ac:dyDescent="0.3">
      <c r="A224" s="847"/>
      <c r="B224" s="860"/>
      <c r="C224" s="161" t="s">
        <v>51</v>
      </c>
      <c r="D224" s="161" t="s">
        <v>1251</v>
      </c>
      <c r="E224" s="162" t="s">
        <v>790</v>
      </c>
      <c r="F224" s="163" t="s">
        <v>149</v>
      </c>
      <c r="G224" s="164">
        <v>0</v>
      </c>
      <c r="H224" s="163" t="s">
        <v>149</v>
      </c>
      <c r="I224" s="164" t="s">
        <v>150</v>
      </c>
      <c r="J224" s="163" t="s">
        <v>149</v>
      </c>
      <c r="K224" s="861"/>
      <c r="L224" s="861"/>
      <c r="M224" s="861"/>
      <c r="N224" s="861"/>
      <c r="O224" s="718"/>
      <c r="P224" s="718"/>
      <c r="Q224" s="718"/>
      <c r="R224" s="718"/>
      <c r="S224" s="937"/>
      <c r="T224" s="722"/>
      <c r="U224" s="718"/>
      <c r="V224" s="718"/>
      <c r="W224" s="718"/>
      <c r="X224" s="718"/>
      <c r="Y224" s="718"/>
      <c r="Z224" s="718"/>
      <c r="AA224" s="718"/>
      <c r="AB224" s="718"/>
      <c r="AC224" s="718"/>
      <c r="AD224" s="718"/>
      <c r="AE224" s="718"/>
      <c r="AF224" s="718"/>
      <c r="AG224" s="718"/>
      <c r="AH224" s="718"/>
      <c r="AI224" s="718"/>
      <c r="AJ224" s="718"/>
      <c r="AK224" s="718"/>
      <c r="AL224" s="718"/>
      <c r="AM224" s="718"/>
      <c r="AN224" s="718"/>
      <c r="AO224" s="718"/>
      <c r="AP224" s="718"/>
      <c r="AQ224" s="937"/>
      <c r="AR224" s="718"/>
      <c r="AS224" s="722"/>
      <c r="AT224" s="722"/>
      <c r="AU224" s="722"/>
      <c r="AV224" s="722"/>
      <c r="AW224" s="771"/>
      <c r="AX224" s="771"/>
      <c r="AY224" s="771"/>
      <c r="AZ224" s="771"/>
      <c r="BA224" s="800"/>
      <c r="BB224" s="722"/>
      <c r="BC224" s="722"/>
      <c r="BD224" s="722"/>
      <c r="BE224" s="998"/>
      <c r="BF224" s="163"/>
      <c r="BG224" s="163"/>
      <c r="BH224" s="775"/>
    </row>
    <row r="225" spans="1:60" s="180" customFormat="1" ht="14.4" customHeight="1" outlineLevel="1" x14ac:dyDescent="0.3">
      <c r="A225" s="198"/>
      <c r="B225" s="198"/>
      <c r="C225" s="161" t="s">
        <v>51</v>
      </c>
      <c r="D225" s="203" t="s">
        <v>1252</v>
      </c>
      <c r="E225" s="203" t="s">
        <v>363</v>
      </c>
      <c r="F225" s="163" t="s">
        <v>149</v>
      </c>
      <c r="G225" s="204">
        <v>1</v>
      </c>
      <c r="H225" s="163" t="s">
        <v>149</v>
      </c>
      <c r="I225" s="164" t="s">
        <v>150</v>
      </c>
      <c r="J225" s="163" t="s">
        <v>149</v>
      </c>
      <c r="K225" s="163"/>
      <c r="L225" s="173"/>
      <c r="M225" s="199"/>
      <c r="N225" s="197" t="s">
        <v>151</v>
      </c>
      <c r="O225" s="165" t="s">
        <v>1253</v>
      </c>
      <c r="P225" s="205" t="s">
        <v>1254</v>
      </c>
      <c r="Q225" s="716"/>
      <c r="R225" s="716"/>
      <c r="S225" s="164"/>
      <c r="T225" s="164"/>
      <c r="U225" s="716"/>
      <c r="V225" s="716"/>
      <c r="W225" s="716"/>
      <c r="X225" s="716"/>
      <c r="Y225" s="716"/>
      <c r="Z225" s="716"/>
      <c r="AA225" s="716"/>
      <c r="AB225" s="716"/>
      <c r="AC225" s="716"/>
      <c r="AD225" s="716"/>
      <c r="AE225" s="716"/>
      <c r="AF225" s="716"/>
      <c r="AG225" s="716"/>
      <c r="AH225" s="716"/>
      <c r="AI225" s="716"/>
      <c r="AJ225" s="716"/>
      <c r="AK225" s="716"/>
      <c r="AL225" s="716"/>
      <c r="AM225" s="716"/>
      <c r="AN225" s="716"/>
      <c r="AO225" s="716"/>
      <c r="AP225" s="716"/>
      <c r="AQ225" s="164"/>
      <c r="AR225" s="716"/>
      <c r="AS225" s="166" t="s">
        <v>14</v>
      </c>
      <c r="AT225" s="166" t="s">
        <v>14</v>
      </c>
      <c r="AU225" s="166" t="s">
        <v>14</v>
      </c>
      <c r="AV225" s="166" t="s">
        <v>14</v>
      </c>
      <c r="AW225" s="166"/>
      <c r="AX225" s="166"/>
      <c r="AY225" s="166"/>
      <c r="AZ225" s="166"/>
      <c r="BA225" s="164"/>
      <c r="BB225" s="164"/>
      <c r="BC225" s="164"/>
      <c r="BD225" s="164"/>
      <c r="BE225" s="262" t="s">
        <v>1255</v>
      </c>
      <c r="BF225" s="163"/>
      <c r="BG225" s="163"/>
      <c r="BH225" s="775"/>
    </row>
    <row r="226" spans="1:60" s="180" customFormat="1" ht="28.95" customHeight="1" outlineLevel="1" x14ac:dyDescent="0.3">
      <c r="A226" s="198"/>
      <c r="B226" s="198"/>
      <c r="C226" s="161" t="s">
        <v>51</v>
      </c>
      <c r="D226" s="204" t="s">
        <v>1256</v>
      </c>
      <c r="E226" s="204" t="s">
        <v>1257</v>
      </c>
      <c r="F226" s="163" t="s">
        <v>149</v>
      </c>
      <c r="G226" s="163" t="s">
        <v>149</v>
      </c>
      <c r="H226" s="163" t="s">
        <v>149</v>
      </c>
      <c r="I226" s="163" t="s">
        <v>149</v>
      </c>
      <c r="J226" s="163" t="s">
        <v>149</v>
      </c>
      <c r="K226" s="163"/>
      <c r="L226" s="173"/>
      <c r="M226" s="199"/>
      <c r="N226" s="197" t="s">
        <v>151</v>
      </c>
      <c r="O226" s="165" t="s">
        <v>1258</v>
      </c>
      <c r="P226" s="270"/>
      <c r="Q226" s="717"/>
      <c r="R226" s="717"/>
      <c r="S226" s="92"/>
      <c r="T226" s="164"/>
      <c r="U226" s="717"/>
      <c r="V226" s="717"/>
      <c r="W226" s="717"/>
      <c r="X226" s="717"/>
      <c r="Y226" s="717"/>
      <c r="Z226" s="717"/>
      <c r="AA226" s="717"/>
      <c r="AB226" s="717"/>
      <c r="AC226" s="717"/>
      <c r="AD226" s="717"/>
      <c r="AE226" s="717"/>
      <c r="AF226" s="717"/>
      <c r="AG226" s="717"/>
      <c r="AH226" s="717"/>
      <c r="AI226" s="717"/>
      <c r="AJ226" s="717"/>
      <c r="AK226" s="717"/>
      <c r="AL226" s="717"/>
      <c r="AM226" s="717"/>
      <c r="AN226" s="717"/>
      <c r="AO226" s="717"/>
      <c r="AP226" s="717"/>
      <c r="AQ226" s="92" t="s">
        <v>199</v>
      </c>
      <c r="AR226" s="717"/>
      <c r="AS226" s="166"/>
      <c r="AT226" s="166"/>
      <c r="AU226" s="166"/>
      <c r="AV226" s="166"/>
      <c r="AW226" s="166"/>
      <c r="AX226" s="166"/>
      <c r="AY226" s="166"/>
      <c r="AZ226" s="166"/>
      <c r="BA226" s="166"/>
      <c r="BB226" s="166"/>
      <c r="BC226" s="164"/>
      <c r="BD226" s="179"/>
      <c r="BE226" s="996" t="s">
        <v>1199</v>
      </c>
      <c r="BF226" s="163"/>
      <c r="BG226" s="163"/>
      <c r="BH226" s="775"/>
    </row>
    <row r="227" spans="1:60" s="180" customFormat="1" ht="14.4" customHeight="1" outlineLevel="1" x14ac:dyDescent="0.3">
      <c r="A227" s="198"/>
      <c r="B227" s="198"/>
      <c r="C227" s="161" t="s">
        <v>51</v>
      </c>
      <c r="D227" s="204" t="s">
        <v>1259</v>
      </c>
      <c r="E227" s="271" t="s">
        <v>1257</v>
      </c>
      <c r="F227" s="272" t="s">
        <v>149</v>
      </c>
      <c r="G227" s="272" t="s">
        <v>149</v>
      </c>
      <c r="H227" s="272" t="s">
        <v>149</v>
      </c>
      <c r="I227" s="272" t="s">
        <v>149</v>
      </c>
      <c r="J227" s="272" t="s">
        <v>149</v>
      </c>
      <c r="K227" s="272"/>
      <c r="L227" s="272"/>
      <c r="M227" s="274"/>
      <c r="N227" s="227" t="s">
        <v>151</v>
      </c>
      <c r="O227" s="273" t="s">
        <v>1260</v>
      </c>
      <c r="P227" s="271"/>
      <c r="Q227" s="717"/>
      <c r="R227" s="717"/>
      <c r="S227" s="164"/>
      <c r="T227" s="164"/>
      <c r="U227" s="717"/>
      <c r="V227" s="717"/>
      <c r="W227" s="717"/>
      <c r="X227" s="717"/>
      <c r="Y227" s="717"/>
      <c r="Z227" s="717"/>
      <c r="AA227" s="717"/>
      <c r="AB227" s="717"/>
      <c r="AC227" s="717"/>
      <c r="AD227" s="717"/>
      <c r="AE227" s="717"/>
      <c r="AF227" s="717"/>
      <c r="AG227" s="717"/>
      <c r="AH227" s="717"/>
      <c r="AI227" s="717"/>
      <c r="AJ227" s="717"/>
      <c r="AK227" s="717"/>
      <c r="AL227" s="717"/>
      <c r="AM227" s="717"/>
      <c r="AN227" s="717"/>
      <c r="AO227" s="717"/>
      <c r="AP227" s="717"/>
      <c r="AQ227" s="164"/>
      <c r="AR227" s="717"/>
      <c r="AS227" s="166"/>
      <c r="AT227" s="166"/>
      <c r="AU227" s="166"/>
      <c r="AV227" s="166"/>
      <c r="AW227" s="166"/>
      <c r="AX227" s="166"/>
      <c r="AY227" s="166"/>
      <c r="AZ227" s="166"/>
      <c r="BA227" s="92" t="s">
        <v>199</v>
      </c>
      <c r="BB227" s="164"/>
      <c r="BC227" s="164"/>
      <c r="BD227" s="164"/>
      <c r="BE227" s="998"/>
      <c r="BF227" s="163"/>
      <c r="BG227" s="163"/>
      <c r="BH227" s="775"/>
    </row>
    <row r="228" spans="1:60" s="180" customFormat="1" ht="28.95" customHeight="1" outlineLevel="1" x14ac:dyDescent="0.3">
      <c r="A228" s="198"/>
      <c r="B228" s="198"/>
      <c r="C228" s="161" t="s">
        <v>51</v>
      </c>
      <c r="D228" s="204" t="s">
        <v>1261</v>
      </c>
      <c r="E228" s="204" t="s">
        <v>1257</v>
      </c>
      <c r="F228" s="163" t="s">
        <v>149</v>
      </c>
      <c r="G228" s="163" t="s">
        <v>149</v>
      </c>
      <c r="H228" s="163" t="s">
        <v>149</v>
      </c>
      <c r="I228" s="163" t="s">
        <v>149</v>
      </c>
      <c r="J228" s="163" t="s">
        <v>149</v>
      </c>
      <c r="K228" s="163"/>
      <c r="L228" s="173"/>
      <c r="M228" s="197"/>
      <c r="N228" s="197" t="s">
        <v>151</v>
      </c>
      <c r="O228" s="165" t="s">
        <v>1262</v>
      </c>
      <c r="P228" s="270"/>
      <c r="Q228" s="718"/>
      <c r="R228" s="718"/>
      <c r="S228" s="92"/>
      <c r="T228" s="164"/>
      <c r="U228" s="718"/>
      <c r="V228" s="718"/>
      <c r="W228" s="718"/>
      <c r="X228" s="718"/>
      <c r="Y228" s="718"/>
      <c r="Z228" s="718"/>
      <c r="AA228" s="718"/>
      <c r="AB228" s="718"/>
      <c r="AC228" s="718"/>
      <c r="AD228" s="718"/>
      <c r="AE228" s="718"/>
      <c r="AF228" s="718"/>
      <c r="AG228" s="718"/>
      <c r="AH228" s="718"/>
      <c r="AI228" s="718"/>
      <c r="AJ228" s="718"/>
      <c r="AK228" s="718"/>
      <c r="AL228" s="718"/>
      <c r="AM228" s="718"/>
      <c r="AN228" s="718"/>
      <c r="AO228" s="718"/>
      <c r="AP228" s="718"/>
      <c r="AQ228" s="92" t="s">
        <v>199</v>
      </c>
      <c r="AR228" s="718"/>
      <c r="AS228" s="166"/>
      <c r="AT228" s="166"/>
      <c r="AU228" s="166"/>
      <c r="AV228" s="166"/>
      <c r="AW228" s="166"/>
      <c r="AX228" s="166"/>
      <c r="AY228" s="166"/>
      <c r="AZ228" s="166"/>
      <c r="BA228" s="166"/>
      <c r="BB228" s="166"/>
      <c r="BC228" s="164"/>
      <c r="BD228" s="179"/>
      <c r="BE228" s="996" t="s">
        <v>1199</v>
      </c>
      <c r="BF228" s="163"/>
      <c r="BG228" s="163"/>
      <c r="BH228" s="813"/>
    </row>
    <row r="229" spans="1:60" s="180" customFormat="1" ht="28.95" customHeight="1" outlineLevel="1" x14ac:dyDescent="0.3">
      <c r="A229" s="198"/>
      <c r="B229" s="198"/>
      <c r="C229" s="161" t="s">
        <v>51</v>
      </c>
      <c r="D229" s="204" t="s">
        <v>1263</v>
      </c>
      <c r="E229" s="271" t="s">
        <v>1257</v>
      </c>
      <c r="F229" s="272" t="s">
        <v>149</v>
      </c>
      <c r="G229" s="272" t="s">
        <v>149</v>
      </c>
      <c r="H229" s="272" t="s">
        <v>149</v>
      </c>
      <c r="I229" s="272" t="s">
        <v>149</v>
      </c>
      <c r="J229" s="272" t="s">
        <v>149</v>
      </c>
      <c r="K229" s="272"/>
      <c r="L229" s="272"/>
      <c r="M229" s="227"/>
      <c r="N229" s="227" t="s">
        <v>151</v>
      </c>
      <c r="O229" s="273" t="s">
        <v>1264</v>
      </c>
      <c r="P229" s="271"/>
      <c r="Q229" s="196"/>
      <c r="R229" s="196"/>
      <c r="S229" s="92"/>
      <c r="T229" s="164"/>
      <c r="U229" s="196"/>
      <c r="V229" s="196"/>
      <c r="W229" s="196"/>
      <c r="X229" s="196"/>
      <c r="Y229" s="196"/>
      <c r="Z229" s="196"/>
      <c r="AA229" s="196"/>
      <c r="AB229" s="196"/>
      <c r="AC229" s="196"/>
      <c r="AD229" s="196"/>
      <c r="AE229" s="196"/>
      <c r="AF229" s="196"/>
      <c r="AG229" s="196"/>
      <c r="AH229" s="196"/>
      <c r="AI229" s="196"/>
      <c r="AJ229" s="196"/>
      <c r="AK229" s="196"/>
      <c r="AL229" s="196"/>
      <c r="AM229" s="196"/>
      <c r="AN229" s="196"/>
      <c r="AO229" s="196"/>
      <c r="AP229" s="196"/>
      <c r="AQ229" s="92" t="s">
        <v>199</v>
      </c>
      <c r="AR229" s="196"/>
      <c r="AS229" s="166"/>
      <c r="AT229" s="166"/>
      <c r="AU229" s="166"/>
      <c r="AV229" s="166"/>
      <c r="AW229" s="166"/>
      <c r="AX229" s="166"/>
      <c r="AY229" s="166"/>
      <c r="AZ229" s="166"/>
      <c r="BA229" s="166"/>
      <c r="BB229" s="92" t="s">
        <v>199</v>
      </c>
      <c r="BC229" s="164"/>
      <c r="BD229" s="164"/>
      <c r="BE229" s="998"/>
      <c r="BF229" s="163"/>
      <c r="BG229" s="163"/>
      <c r="BH229" s="297"/>
    </row>
  </sheetData>
  <autoFilter ref="A6:BH229" xr:uid="{00000000-0001-0000-0100-000000000000}"/>
  <mergeCells count="1830">
    <mergeCell ref="Y191:Y194"/>
    <mergeCell ref="Y195:Y198"/>
    <mergeCell ref="Y199:Y202"/>
    <mergeCell ref="Y205:Y206"/>
    <mergeCell ref="Y207:Y208"/>
    <mergeCell ref="Y209:Y210"/>
    <mergeCell ref="Y211:Y212"/>
    <mergeCell ref="Y213:Y216"/>
    <mergeCell ref="Y217:Y220"/>
    <mergeCell ref="Y221:Y224"/>
    <mergeCell ref="Y225:Y228"/>
    <mergeCell ref="U213:U216"/>
    <mergeCell ref="U217:U220"/>
    <mergeCell ref="U221:U224"/>
    <mergeCell ref="U225:U228"/>
    <mergeCell ref="Y15:Y20"/>
    <mergeCell ref="Y21:Y26"/>
    <mergeCell ref="Y27:Y29"/>
    <mergeCell ref="Y30:Y33"/>
    <mergeCell ref="Y37:Y40"/>
    <mergeCell ref="Y41:Y44"/>
    <mergeCell ref="Y48:Y49"/>
    <mergeCell ref="Y50:Y51"/>
    <mergeCell ref="Y56:Y57"/>
    <mergeCell ref="Y61:Y62"/>
    <mergeCell ref="Y63:Y64"/>
    <mergeCell ref="Y65:Y66"/>
    <mergeCell ref="Y67:Y68"/>
    <mergeCell ref="Y74:Y75"/>
    <mergeCell ref="Y90:Y91"/>
    <mergeCell ref="Y93:Y94"/>
    <mergeCell ref="Y95:Y98"/>
    <mergeCell ref="Y99:Y100"/>
    <mergeCell ref="Y101:Y102"/>
    <mergeCell ref="Y117:Y118"/>
    <mergeCell ref="Y121:Y122"/>
    <mergeCell ref="Y123:Y124"/>
    <mergeCell ref="Y130:Y131"/>
    <mergeCell ref="Y140:Y141"/>
    <mergeCell ref="Y142:Y144"/>
    <mergeCell ref="Y146:Y148"/>
    <mergeCell ref="Y187:Y190"/>
    <mergeCell ref="U99:U100"/>
    <mergeCell ref="U101:U102"/>
    <mergeCell ref="U117:U118"/>
    <mergeCell ref="U121:U122"/>
    <mergeCell ref="U123:U124"/>
    <mergeCell ref="U130:U131"/>
    <mergeCell ref="U140:U141"/>
    <mergeCell ref="U142:U144"/>
    <mergeCell ref="U146:U148"/>
    <mergeCell ref="U187:U190"/>
    <mergeCell ref="V101:V102"/>
    <mergeCell ref="X95:X98"/>
    <mergeCell ref="U191:U194"/>
    <mergeCell ref="U195:U198"/>
    <mergeCell ref="U199:U202"/>
    <mergeCell ref="U205:U206"/>
    <mergeCell ref="U207:U208"/>
    <mergeCell ref="U209:U210"/>
    <mergeCell ref="U211:U212"/>
    <mergeCell ref="U15:U20"/>
    <mergeCell ref="U21:U26"/>
    <mergeCell ref="U27:U29"/>
    <mergeCell ref="U30:U33"/>
    <mergeCell ref="U37:U40"/>
    <mergeCell ref="U41:U44"/>
    <mergeCell ref="U48:U49"/>
    <mergeCell ref="U50:U51"/>
    <mergeCell ref="U56:U57"/>
    <mergeCell ref="U61:U62"/>
    <mergeCell ref="U63:U64"/>
    <mergeCell ref="U65:U66"/>
    <mergeCell ref="U67:U68"/>
    <mergeCell ref="U74:U75"/>
    <mergeCell ref="U90:U91"/>
    <mergeCell ref="U93:U94"/>
    <mergeCell ref="U95:U98"/>
    <mergeCell ref="X61:X62"/>
    <mergeCell ref="V48:V49"/>
    <mergeCell ref="W48:W49"/>
    <mergeCell ref="W207:W208"/>
    <mergeCell ref="V130:V131"/>
    <mergeCell ref="W95:W98"/>
    <mergeCell ref="W130:W131"/>
    <mergeCell ref="BH61:BH68"/>
    <mergeCell ref="R195:R198"/>
    <mergeCell ref="R199:R202"/>
    <mergeCell ref="AB199:AB202"/>
    <mergeCell ref="AL191:AL194"/>
    <mergeCell ref="AE191:AE194"/>
    <mergeCell ref="AF195:AF198"/>
    <mergeCell ref="BC207:BC208"/>
    <mergeCell ref="T205:T206"/>
    <mergeCell ref="T207:T208"/>
    <mergeCell ref="BE217:BE224"/>
    <mergeCell ref="AE195:AE198"/>
    <mergeCell ref="BC191:BC194"/>
    <mergeCell ref="BC195:BC198"/>
    <mergeCell ref="AD191:AD194"/>
    <mergeCell ref="BA191:BA194"/>
    <mergeCell ref="BE203:BE204"/>
    <mergeCell ref="AN191:AN194"/>
    <mergeCell ref="AR199:AR202"/>
    <mergeCell ref="X205:X206"/>
    <mergeCell ref="V205:V206"/>
    <mergeCell ref="W205:W206"/>
    <mergeCell ref="BH209:BH212"/>
    <mergeCell ref="AF213:AF216"/>
    <mergeCell ref="AR63:AR64"/>
    <mergeCell ref="BE101:BE102"/>
    <mergeCell ref="BE130:BE131"/>
    <mergeCell ref="AG207:AG208"/>
    <mergeCell ref="AL207:AL208"/>
    <mergeCell ref="AM207:AM208"/>
    <mergeCell ref="AN207:AN208"/>
    <mergeCell ref="BE205:BE208"/>
    <mergeCell ref="X225:X228"/>
    <mergeCell ref="V209:V210"/>
    <mergeCell ref="AR225:AR228"/>
    <mergeCell ref="AN225:AN228"/>
    <mergeCell ref="V213:V216"/>
    <mergeCell ref="BD205:BD206"/>
    <mergeCell ref="V207:V208"/>
    <mergeCell ref="X207:X208"/>
    <mergeCell ref="Z207:Z208"/>
    <mergeCell ref="W217:W220"/>
    <mergeCell ref="N205:N206"/>
    <mergeCell ref="O205:O206"/>
    <mergeCell ref="P205:P208"/>
    <mergeCell ref="A207:A208"/>
    <mergeCell ref="B207:B208"/>
    <mergeCell ref="K207:K208"/>
    <mergeCell ref="L207:L208"/>
    <mergeCell ref="M207:M208"/>
    <mergeCell ref="N207:N208"/>
    <mergeCell ref="O207:O208"/>
    <mergeCell ref="AX217:AX220"/>
    <mergeCell ref="AF217:AF220"/>
    <mergeCell ref="Z209:Z210"/>
    <mergeCell ref="AA209:AA210"/>
    <mergeCell ref="AP221:AP224"/>
    <mergeCell ref="AQ221:AQ224"/>
    <mergeCell ref="W225:W228"/>
    <mergeCell ref="X221:X224"/>
    <mergeCell ref="R213:R216"/>
    <mergeCell ref="T217:T220"/>
    <mergeCell ref="A217:A220"/>
    <mergeCell ref="B217:B220"/>
    <mergeCell ref="BE226:BE227"/>
    <mergeCell ref="BE228:BE229"/>
    <mergeCell ref="BD207:BD208"/>
    <mergeCell ref="R205:R206"/>
    <mergeCell ref="R207:R208"/>
    <mergeCell ref="AS209:AS212"/>
    <mergeCell ref="AT209:AT212"/>
    <mergeCell ref="AU209:AU212"/>
    <mergeCell ref="AV209:AV212"/>
    <mergeCell ref="AW209:AW212"/>
    <mergeCell ref="AX209:AX212"/>
    <mergeCell ref="AY209:AY212"/>
    <mergeCell ref="AZ209:AZ212"/>
    <mergeCell ref="BA209:BA212"/>
    <mergeCell ref="AA207:AA208"/>
    <mergeCell ref="AB207:AB208"/>
    <mergeCell ref="AC207:AC208"/>
    <mergeCell ref="AD207:AD208"/>
    <mergeCell ref="AE207:AE208"/>
    <mergeCell ref="AF207:AF208"/>
    <mergeCell ref="AM205:AM206"/>
    <mergeCell ref="AN205:AN206"/>
    <mergeCell ref="AO205:AO206"/>
    <mergeCell ref="AR205:AR206"/>
    <mergeCell ref="AS205:AS206"/>
    <mergeCell ref="AT205:AT206"/>
    <mergeCell ref="AU205:AU206"/>
    <mergeCell ref="AV205:AV206"/>
    <mergeCell ref="AW205:AW206"/>
    <mergeCell ref="AX205:AX206"/>
    <mergeCell ref="AZ205:AZ206"/>
    <mergeCell ref="W213:W216"/>
    <mergeCell ref="K217:K220"/>
    <mergeCell ref="L217:L220"/>
    <mergeCell ref="M217:M220"/>
    <mergeCell ref="N217:N220"/>
    <mergeCell ref="O217:O220"/>
    <mergeCell ref="S187:S190"/>
    <mergeCell ref="S195:S198"/>
    <mergeCell ref="S205:S206"/>
    <mergeCell ref="S207:S208"/>
    <mergeCell ref="T209:T212"/>
    <mergeCell ref="Q195:Q198"/>
    <mergeCell ref="BB209:BB212"/>
    <mergeCell ref="B195:B198"/>
    <mergeCell ref="A205:A206"/>
    <mergeCell ref="B205:B206"/>
    <mergeCell ref="K205:K206"/>
    <mergeCell ref="L205:L206"/>
    <mergeCell ref="M205:M206"/>
    <mergeCell ref="S191:S194"/>
    <mergeCell ref="A191:A194"/>
    <mergeCell ref="AC187:AC190"/>
    <mergeCell ref="AU187:AU190"/>
    <mergeCell ref="AO213:AO216"/>
    <mergeCell ref="AE213:AE216"/>
    <mergeCell ref="AF205:AF206"/>
    <mergeCell ref="AG205:AG206"/>
    <mergeCell ref="AL205:AL206"/>
    <mergeCell ref="AG209:AG210"/>
    <mergeCell ref="AF209:AF210"/>
    <mergeCell ref="AD209:AD210"/>
    <mergeCell ref="AA199:AA202"/>
    <mergeCell ref="AD187:AD190"/>
    <mergeCell ref="A50:A51"/>
    <mergeCell ref="A56:A57"/>
    <mergeCell ref="B56:B57"/>
    <mergeCell ref="BF56:BF57"/>
    <mergeCell ref="BG56:BG57"/>
    <mergeCell ref="BF61:BF62"/>
    <mergeCell ref="BF63:BF64"/>
    <mergeCell ref="BE56:BE57"/>
    <mergeCell ref="BG65:BG66"/>
    <mergeCell ref="BA63:BA64"/>
    <mergeCell ref="BB63:BB64"/>
    <mergeCell ref="BF117:BF118"/>
    <mergeCell ref="BB117:BB118"/>
    <mergeCell ref="BG117:BG118"/>
    <mergeCell ref="BA61:BA62"/>
    <mergeCell ref="AR61:AR62"/>
    <mergeCell ref="BA56:BA57"/>
    <mergeCell ref="AT63:AT64"/>
    <mergeCell ref="AU63:AU64"/>
    <mergeCell ref="AN50:AN51"/>
    <mergeCell ref="BD50:BD51"/>
    <mergeCell ref="AV61:AV62"/>
    <mergeCell ref="BC50:BC51"/>
    <mergeCell ref="BC56:BC57"/>
    <mergeCell ref="AX61:AX62"/>
    <mergeCell ref="BB90:BB91"/>
    <mergeCell ref="AA65:AA66"/>
    <mergeCell ref="BB61:BB62"/>
    <mergeCell ref="BB56:BB57"/>
    <mergeCell ref="AM56:AM57"/>
    <mergeCell ref="AR56:AR57"/>
    <mergeCell ref="X93:X94"/>
    <mergeCell ref="AD95:AD98"/>
    <mergeCell ref="AF142:AF144"/>
    <mergeCell ref="Z130:Z131"/>
    <mergeCell ref="AS74:AS75"/>
    <mergeCell ref="AS101:AS102"/>
    <mergeCell ref="AB130:AB131"/>
    <mergeCell ref="Z101:Z102"/>
    <mergeCell ref="AR130:AR131"/>
    <mergeCell ref="AO130:AO131"/>
    <mergeCell ref="X130:X131"/>
    <mergeCell ref="X140:X141"/>
    <mergeCell ref="AN140:AN141"/>
    <mergeCell ref="AL130:AL131"/>
    <mergeCell ref="BC74:BC75"/>
    <mergeCell ref="BB74:BB75"/>
    <mergeCell ref="AV95:AV98"/>
    <mergeCell ref="AR90:AR91"/>
    <mergeCell ref="BA90:BA91"/>
    <mergeCell ref="AS95:AS98"/>
    <mergeCell ref="AV101:AV102"/>
    <mergeCell ref="BB93:BB94"/>
    <mergeCell ref="AR99:AR100"/>
    <mergeCell ref="AW93:AW94"/>
    <mergeCell ref="AY95:AY98"/>
    <mergeCell ref="AR117:AR118"/>
    <mergeCell ref="AX99:AX100"/>
    <mergeCell ref="AX101:AX102"/>
    <mergeCell ref="AH101:AH102"/>
    <mergeCell ref="AH117:AH118"/>
    <mergeCell ref="AE121:AE122"/>
    <mergeCell ref="AE90:AE91"/>
    <mergeCell ref="AD140:AD141"/>
    <mergeCell ref="BC65:BC66"/>
    <mergeCell ref="BB27:BB29"/>
    <mergeCell ref="BB30:BB33"/>
    <mergeCell ref="BH69:BH72"/>
    <mergeCell ref="BG67:BG68"/>
    <mergeCell ref="BF130:BF131"/>
    <mergeCell ref="BE121:BE124"/>
    <mergeCell ref="BE117:BE118"/>
    <mergeCell ref="BC90:BC91"/>
    <mergeCell ref="BG121:BG122"/>
    <mergeCell ref="BG123:BG124"/>
    <mergeCell ref="BE93:BE94"/>
    <mergeCell ref="BG93:BG94"/>
    <mergeCell ref="BH74:BH75"/>
    <mergeCell ref="BG50:BG51"/>
    <mergeCell ref="BF65:BF66"/>
    <mergeCell ref="BC67:BC68"/>
    <mergeCell ref="BH130:BH131"/>
    <mergeCell ref="BD63:BD64"/>
    <mergeCell ref="BF121:BF122"/>
    <mergeCell ref="BH121:BH124"/>
    <mergeCell ref="BH110:BH116"/>
    <mergeCell ref="BH99:BH100"/>
    <mergeCell ref="BH93:BH94"/>
    <mergeCell ref="BF93:BF94"/>
    <mergeCell ref="BH54:BH55"/>
    <mergeCell ref="BD56:BD57"/>
    <mergeCell ref="BD61:BD62"/>
    <mergeCell ref="BE61:BE68"/>
    <mergeCell ref="BD67:BD68"/>
    <mergeCell ref="BE69:BE72"/>
    <mergeCell ref="BH77:BH84"/>
    <mergeCell ref="BC61:BC62"/>
    <mergeCell ref="BC63:BC64"/>
    <mergeCell ref="BC48:BC49"/>
    <mergeCell ref="AZ48:AZ49"/>
    <mergeCell ref="AY48:AY49"/>
    <mergeCell ref="AO50:AO51"/>
    <mergeCell ref="AO56:AO57"/>
    <mergeCell ref="BA50:BA51"/>
    <mergeCell ref="AU61:AU62"/>
    <mergeCell ref="AS67:AS68"/>
    <mergeCell ref="AO90:AO91"/>
    <mergeCell ref="AT74:AT75"/>
    <mergeCell ref="AV63:AV64"/>
    <mergeCell ref="AF67:AF68"/>
    <mergeCell ref="BF27:BF29"/>
    <mergeCell ref="BG27:BG29"/>
    <mergeCell ref="BG74:BG75"/>
    <mergeCell ref="BE50:BE51"/>
    <mergeCell ref="BF50:BF51"/>
    <mergeCell ref="BF67:BF68"/>
    <mergeCell ref="BB67:BB68"/>
    <mergeCell ref="BG90:BG91"/>
    <mergeCell ref="BB37:BB40"/>
    <mergeCell ref="AO41:AO44"/>
    <mergeCell ref="AY65:AY66"/>
    <mergeCell ref="AY61:AY62"/>
    <mergeCell ref="AT61:AT62"/>
    <mergeCell ref="AW63:AW64"/>
    <mergeCell ref="AX63:AX64"/>
    <mergeCell ref="AY63:AY64"/>
    <mergeCell ref="AW67:AW68"/>
    <mergeCell ref="AT67:AT68"/>
    <mergeCell ref="AB65:AB66"/>
    <mergeCell ref="AL67:AL68"/>
    <mergeCell ref="AL61:AL62"/>
    <mergeCell ref="AB63:AB64"/>
    <mergeCell ref="AD65:AD66"/>
    <mergeCell ref="AB67:AB68"/>
    <mergeCell ref="AC67:AC68"/>
    <mergeCell ref="AN48:AN49"/>
    <mergeCell ref="AB56:AB57"/>
    <mergeCell ref="AS48:AS49"/>
    <mergeCell ref="AA50:AA51"/>
    <mergeCell ref="AQ48:AQ49"/>
    <mergeCell ref="AP50:AP51"/>
    <mergeCell ref="AA63:AA64"/>
    <mergeCell ref="BC130:BC131"/>
    <mergeCell ref="BD101:BD102"/>
    <mergeCell ref="BC101:BC102"/>
    <mergeCell ref="BB48:BB49"/>
    <mergeCell ref="BD130:BD131"/>
    <mergeCell ref="AC56:AC57"/>
    <mergeCell ref="AC48:AC49"/>
    <mergeCell ref="AC50:AC51"/>
    <mergeCell ref="AC61:AC62"/>
    <mergeCell ref="AD50:AD51"/>
    <mergeCell ref="AC63:AC64"/>
    <mergeCell ref="AF56:AF57"/>
    <mergeCell ref="AW50:AW51"/>
    <mergeCell ref="AX50:AX51"/>
    <mergeCell ref="AY50:AY51"/>
    <mergeCell ref="AZ50:AZ51"/>
    <mergeCell ref="AW61:AW62"/>
    <mergeCell ref="BD48:BD49"/>
    <mergeCell ref="AC65:AC66"/>
    <mergeCell ref="BA213:BA216"/>
    <mergeCell ref="AM211:AM212"/>
    <mergeCell ref="AO207:AO208"/>
    <mergeCell ref="AR207:AR208"/>
    <mergeCell ref="AS207:AS208"/>
    <mergeCell ref="BA205:BA206"/>
    <mergeCell ref="AN213:AN216"/>
    <mergeCell ref="AR213:AR216"/>
    <mergeCell ref="AS213:AS216"/>
    <mergeCell ref="AT213:AT216"/>
    <mergeCell ref="AZ207:AZ208"/>
    <mergeCell ref="AQ209:AQ212"/>
    <mergeCell ref="AP211:AP212"/>
    <mergeCell ref="AP213:AP216"/>
    <mergeCell ref="AQ213:AQ216"/>
    <mergeCell ref="AP195:AP198"/>
    <mergeCell ref="AQ195:AQ198"/>
    <mergeCell ref="AP199:AP202"/>
    <mergeCell ref="AQ199:AQ202"/>
    <mergeCell ref="AP205:AP206"/>
    <mergeCell ref="AQ205:AQ206"/>
    <mergeCell ref="AX199:AX202"/>
    <mergeCell ref="AO101:AO102"/>
    <mergeCell ref="AW101:AW102"/>
    <mergeCell ref="AG65:AG66"/>
    <mergeCell ref="AG67:AG68"/>
    <mergeCell ref="AN67:AN68"/>
    <mergeCell ref="AT95:AT98"/>
    <mergeCell ref="AY93:AY94"/>
    <mergeCell ref="AY99:AY100"/>
    <mergeCell ref="AV93:AV94"/>
    <mergeCell ref="BE209:BE216"/>
    <mergeCell ref="AT207:AT208"/>
    <mergeCell ref="AU207:AU208"/>
    <mergeCell ref="AV207:AV208"/>
    <mergeCell ref="AW207:AW208"/>
    <mergeCell ref="AX207:AX208"/>
    <mergeCell ref="AY207:AY208"/>
    <mergeCell ref="BF95:BF98"/>
    <mergeCell ref="BC209:BC212"/>
    <mergeCell ref="BD209:BD212"/>
    <mergeCell ref="BA207:BA208"/>
    <mergeCell ref="BD213:BD216"/>
    <mergeCell ref="BA199:BA202"/>
    <mergeCell ref="BA195:BA198"/>
    <mergeCell ref="BA187:BA190"/>
    <mergeCell ref="BC213:BC216"/>
    <mergeCell ref="AO195:AO198"/>
    <mergeCell ref="BF101:BF102"/>
    <mergeCell ref="AW195:AW198"/>
    <mergeCell ref="BB199:BB202"/>
    <mergeCell ref="AY195:AY198"/>
    <mergeCell ref="BB205:BB206"/>
    <mergeCell ref="BC205:BC206"/>
    <mergeCell ref="BC117:BC118"/>
    <mergeCell ref="BB101:BB102"/>
    <mergeCell ref="BC95:BC98"/>
    <mergeCell ref="BD99:BD100"/>
    <mergeCell ref="BC99:BC100"/>
    <mergeCell ref="AU99:AU100"/>
    <mergeCell ref="AW95:AW98"/>
    <mergeCell ref="AT99:AT100"/>
    <mergeCell ref="AX95:AX98"/>
    <mergeCell ref="BB213:BB216"/>
    <mergeCell ref="AS195:AS198"/>
    <mergeCell ref="AL217:AL220"/>
    <mergeCell ref="AL146:AL148"/>
    <mergeCell ref="AE140:AE141"/>
    <mergeCell ref="AL140:AL141"/>
    <mergeCell ref="AC140:AC141"/>
    <mergeCell ref="BB130:BB131"/>
    <mergeCell ref="BC146:BC148"/>
    <mergeCell ref="AF130:AF131"/>
    <mergeCell ref="AE130:AE131"/>
    <mergeCell ref="AZ195:AZ198"/>
    <mergeCell ref="AD205:AD206"/>
    <mergeCell ref="AA146:AA148"/>
    <mergeCell ref="AL199:AL202"/>
    <mergeCell ref="AS199:AS202"/>
    <mergeCell ref="AN199:AN202"/>
    <mergeCell ref="AR191:AR194"/>
    <mergeCell ref="AE205:AE206"/>
    <mergeCell ref="AN187:AN190"/>
    <mergeCell ref="AV187:AV190"/>
    <mergeCell ref="AR187:AR190"/>
    <mergeCell ref="AZ217:AZ220"/>
    <mergeCell ref="BB217:BB220"/>
    <mergeCell ref="AN211:AN212"/>
    <mergeCell ref="AR217:AR220"/>
    <mergeCell ref="AF211:AF212"/>
    <mergeCell ref="AL213:AL216"/>
    <mergeCell ref="AA195:AA198"/>
    <mergeCell ref="AB195:AB198"/>
    <mergeCell ref="AF187:AF190"/>
    <mergeCell ref="AG187:AG190"/>
    <mergeCell ref="AL195:AL198"/>
    <mergeCell ref="AB146:AB148"/>
    <mergeCell ref="X187:X190"/>
    <mergeCell ref="AC130:AC131"/>
    <mergeCell ref="Z146:Z148"/>
    <mergeCell ref="AA191:AA194"/>
    <mergeCell ref="AE146:AE148"/>
    <mergeCell ref="AD142:AD144"/>
    <mergeCell ref="AB187:AB190"/>
    <mergeCell ref="AB142:AB144"/>
    <mergeCell ref="AG146:AG148"/>
    <mergeCell ref="AM195:AM198"/>
    <mergeCell ref="AC195:AC198"/>
    <mergeCell ref="X191:X194"/>
    <mergeCell ref="AD130:AD131"/>
    <mergeCell ref="AB140:AB141"/>
    <mergeCell ref="AE199:AE202"/>
    <mergeCell ref="Z195:Z198"/>
    <mergeCell ref="AE187:AE190"/>
    <mergeCell ref="AF199:AF202"/>
    <mergeCell ref="AG142:AG144"/>
    <mergeCell ref="AC146:AC148"/>
    <mergeCell ref="AH130:AH131"/>
    <mergeCell ref="AH140:AH141"/>
    <mergeCell ref="AH142:AH144"/>
    <mergeCell ref="AH146:AH148"/>
    <mergeCell ref="AH187:AH190"/>
    <mergeCell ref="AH191:AH194"/>
    <mergeCell ref="AH195:AH198"/>
    <mergeCell ref="AH199:AH202"/>
    <mergeCell ref="AI195:AI198"/>
    <mergeCell ref="AI199:AI202"/>
    <mergeCell ref="BB207:BB208"/>
    <mergeCell ref="Z217:Z220"/>
    <mergeCell ref="BB195:BB198"/>
    <mergeCell ref="AY205:AY206"/>
    <mergeCell ref="AP191:AP194"/>
    <mergeCell ref="AQ191:AQ194"/>
    <mergeCell ref="AU217:AU220"/>
    <mergeCell ref="AD225:AD228"/>
    <mergeCell ref="AL211:AL212"/>
    <mergeCell ref="AB213:AB216"/>
    <mergeCell ref="AA217:AA220"/>
    <mergeCell ref="AA213:AA216"/>
    <mergeCell ref="AA211:AA212"/>
    <mergeCell ref="Z225:Z228"/>
    <mergeCell ref="AA225:AA228"/>
    <mergeCell ref="AY217:AY220"/>
    <mergeCell ref="AV221:AV224"/>
    <mergeCell ref="AZ213:AZ216"/>
    <mergeCell ref="AC191:AC194"/>
    <mergeCell ref="BA217:BA220"/>
    <mergeCell ref="AV213:AV216"/>
    <mergeCell ref="AW217:AW220"/>
    <mergeCell ref="AZ221:AZ224"/>
    <mergeCell ref="AY213:AY216"/>
    <mergeCell ref="AZ191:AZ194"/>
    <mergeCell ref="AT191:AT194"/>
    <mergeCell ref="AP217:AP220"/>
    <mergeCell ref="AQ217:AQ220"/>
    <mergeCell ref="AF191:AF194"/>
    <mergeCell ref="AM191:AM194"/>
    <mergeCell ref="AB191:AB194"/>
    <mergeCell ref="Z191:Z194"/>
    <mergeCell ref="AB217:AB220"/>
    <mergeCell ref="AM225:AM228"/>
    <mergeCell ref="AS217:AS220"/>
    <mergeCell ref="AT217:AT220"/>
    <mergeCell ref="AB211:AB212"/>
    <mergeCell ref="AC211:AC212"/>
    <mergeCell ref="AR211:AR212"/>
    <mergeCell ref="AE211:AE212"/>
    <mergeCell ref="AE225:AE228"/>
    <mergeCell ref="AC225:AC228"/>
    <mergeCell ref="AF225:AF228"/>
    <mergeCell ref="AB209:AB210"/>
    <mergeCell ref="AB221:AB224"/>
    <mergeCell ref="AA221:AA224"/>
    <mergeCell ref="AE217:AE220"/>
    <mergeCell ref="AC209:AC210"/>
    <mergeCell ref="AD213:AD216"/>
    <mergeCell ref="AP225:AP228"/>
    <mergeCell ref="AC213:AC216"/>
    <mergeCell ref="AD211:AD212"/>
    <mergeCell ref="AC217:AC220"/>
    <mergeCell ref="AC221:AC224"/>
    <mergeCell ref="AD221:AD224"/>
    <mergeCell ref="AE221:AE224"/>
    <mergeCell ref="AG211:AG212"/>
    <mergeCell ref="AG213:AG216"/>
    <mergeCell ref="AG217:AG220"/>
    <mergeCell ref="AM217:AM220"/>
    <mergeCell ref="AE209:AE210"/>
    <mergeCell ref="AH225:AH228"/>
    <mergeCell ref="AI225:AI228"/>
    <mergeCell ref="AJ225:AJ228"/>
    <mergeCell ref="X213:X216"/>
    <mergeCell ref="AQ50:AQ51"/>
    <mergeCell ref="AP56:AP57"/>
    <mergeCell ref="AQ56:AQ57"/>
    <mergeCell ref="AG56:AG57"/>
    <mergeCell ref="AL56:AL57"/>
    <mergeCell ref="AL50:AL51"/>
    <mergeCell ref="AN56:AN57"/>
    <mergeCell ref="AF50:AF51"/>
    <mergeCell ref="AB50:AB51"/>
    <mergeCell ref="AE63:AE64"/>
    <mergeCell ref="AD63:AD64"/>
    <mergeCell ref="AE65:AE66"/>
    <mergeCell ref="AB61:AB62"/>
    <mergeCell ref="AF63:AF64"/>
    <mergeCell ref="AG61:AG62"/>
    <mergeCell ref="X199:X202"/>
    <mergeCell ref="Z211:Z212"/>
    <mergeCell ref="Z213:Z216"/>
    <mergeCell ref="AO199:AO202"/>
    <mergeCell ref="Z205:Z206"/>
    <mergeCell ref="AA205:AA206"/>
    <mergeCell ref="AB205:AB206"/>
    <mergeCell ref="AC205:AC206"/>
    <mergeCell ref="X101:X102"/>
    <mergeCell ref="Z117:Z118"/>
    <mergeCell ref="AA187:AA190"/>
    <mergeCell ref="AC142:AC144"/>
    <mergeCell ref="AF146:AF148"/>
    <mergeCell ref="AD146:AD148"/>
    <mergeCell ref="AM142:AM144"/>
    <mergeCell ref="AM146:AM148"/>
    <mergeCell ref="BA21:BA26"/>
    <mergeCell ref="AL27:AL29"/>
    <mergeCell ref="AS1:AV1"/>
    <mergeCell ref="AU50:AU51"/>
    <mergeCell ref="AS63:AS64"/>
    <mergeCell ref="X48:X49"/>
    <mergeCell ref="AA37:AA40"/>
    <mergeCell ref="AC21:AC26"/>
    <mergeCell ref="AA27:AA29"/>
    <mergeCell ref="AB27:AB29"/>
    <mergeCell ref="AC27:AC29"/>
    <mergeCell ref="AD41:AD44"/>
    <mergeCell ref="AC41:AC44"/>
    <mergeCell ref="AD30:AD33"/>
    <mergeCell ref="AB41:AB44"/>
    <mergeCell ref="AE15:AE20"/>
    <mergeCell ref="AE21:AE26"/>
    <mergeCell ref="X15:X20"/>
    <mergeCell ref="AB48:AB49"/>
    <mergeCell ref="AA48:AA49"/>
    <mergeCell ref="AA56:AA57"/>
    <mergeCell ref="AD61:AD62"/>
    <mergeCell ref="AS50:AS51"/>
    <mergeCell ref="AR50:AR51"/>
    <mergeCell ref="AE50:AE51"/>
    <mergeCell ref="AF48:AF49"/>
    <mergeCell ref="AO48:AO49"/>
    <mergeCell ref="AL48:AL49"/>
    <mergeCell ref="AS61:AS62"/>
    <mergeCell ref="AP61:AP62"/>
    <mergeCell ref="AQ61:AQ62"/>
    <mergeCell ref="AG63:AG64"/>
    <mergeCell ref="Z48:Z49"/>
    <mergeCell ref="Z65:Z66"/>
    <mergeCell ref="AW1:AZ1"/>
    <mergeCell ref="AO1:AO5"/>
    <mergeCell ref="AN21:AN26"/>
    <mergeCell ref="AZ67:AZ68"/>
    <mergeCell ref="AX65:AX66"/>
    <mergeCell ref="BA221:BA224"/>
    <mergeCell ref="AX191:AX194"/>
    <mergeCell ref="AD217:AD220"/>
    <mergeCell ref="AM67:AM68"/>
    <mergeCell ref="AU67:AU68"/>
    <mergeCell ref="AW74:AW75"/>
    <mergeCell ref="AV99:AV100"/>
    <mergeCell ref="AY101:AY102"/>
    <mergeCell ref="AO117:AO118"/>
    <mergeCell ref="AD48:AD49"/>
    <mergeCell ref="AR48:AR49"/>
    <mergeCell ref="AO61:AO62"/>
    <mergeCell ref="AW48:AW49"/>
    <mergeCell ref="AX48:AX49"/>
    <mergeCell ref="AG48:AG49"/>
    <mergeCell ref="AG50:AG51"/>
    <mergeCell ref="AT195:AT198"/>
    <mergeCell ref="BA15:BA20"/>
    <mergeCell ref="AD56:AD57"/>
    <mergeCell ref="AE48:AE49"/>
    <mergeCell ref="AE56:AE57"/>
    <mergeCell ref="AF61:AF62"/>
    <mergeCell ref="AT50:AT51"/>
    <mergeCell ref="AM48:AM49"/>
    <mergeCell ref="AF15:AF20"/>
    <mergeCell ref="AA61:AA62"/>
    <mergeCell ref="Z50:Z51"/>
    <mergeCell ref="T65:T66"/>
    <mergeCell ref="X67:X68"/>
    <mergeCell ref="V61:V62"/>
    <mergeCell ref="W56:W57"/>
    <mergeCell ref="W67:W68"/>
    <mergeCell ref="V50:V51"/>
    <mergeCell ref="V56:V57"/>
    <mergeCell ref="Z61:Z62"/>
    <mergeCell ref="V67:V68"/>
    <mergeCell ref="X56:X57"/>
    <mergeCell ref="W61:W62"/>
    <mergeCell ref="X63:X64"/>
    <mergeCell ref="X50:X51"/>
    <mergeCell ref="Z67:Z68"/>
    <mergeCell ref="Z56:Z57"/>
    <mergeCell ref="AA67:AA68"/>
    <mergeCell ref="BF74:BF75"/>
    <mergeCell ref="BJ90:BJ91"/>
    <mergeCell ref="BE90:BE91"/>
    <mergeCell ref="BH90:BH91"/>
    <mergeCell ref="AN74:AN75"/>
    <mergeCell ref="T74:T75"/>
    <mergeCell ref="AB74:AB75"/>
    <mergeCell ref="AD74:AD75"/>
    <mergeCell ref="W74:W75"/>
    <mergeCell ref="X74:X75"/>
    <mergeCell ref="BI90:BI91"/>
    <mergeCell ref="AE74:AE75"/>
    <mergeCell ref="AC74:AC75"/>
    <mergeCell ref="Z74:Z75"/>
    <mergeCell ref="AF74:AF75"/>
    <mergeCell ref="AQ74:AQ75"/>
    <mergeCell ref="AP90:AP91"/>
    <mergeCell ref="AQ90:AQ91"/>
    <mergeCell ref="BE74:BE75"/>
    <mergeCell ref="BE77:BE84"/>
    <mergeCell ref="AZ74:AZ75"/>
    <mergeCell ref="BD90:BD91"/>
    <mergeCell ref="AL74:AL75"/>
    <mergeCell ref="AA74:AA75"/>
    <mergeCell ref="V74:V75"/>
    <mergeCell ref="A90:A91"/>
    <mergeCell ref="A123:A124"/>
    <mergeCell ref="B93:B94"/>
    <mergeCell ref="B130:B131"/>
    <mergeCell ref="H93:H94"/>
    <mergeCell ref="J93:J94"/>
    <mergeCell ref="I93:I94"/>
    <mergeCell ref="CN90:CN91"/>
    <mergeCell ref="CO90:CO91"/>
    <mergeCell ref="BP90:BP91"/>
    <mergeCell ref="BQ90:BQ91"/>
    <mergeCell ref="BR90:BR91"/>
    <mergeCell ref="BS90:BS91"/>
    <mergeCell ref="BT90:BT91"/>
    <mergeCell ref="BU90:BU91"/>
    <mergeCell ref="BV90:BV91"/>
    <mergeCell ref="BW90:BW91"/>
    <mergeCell ref="BX90:BX91"/>
    <mergeCell ref="BY90:BY91"/>
    <mergeCell ref="BZ90:BZ91"/>
    <mergeCell ref="CA90:CA91"/>
    <mergeCell ref="CB90:CB91"/>
    <mergeCell ref="CC90:CC91"/>
    <mergeCell ref="CD90:CD91"/>
    <mergeCell ref="CE90:CE91"/>
    <mergeCell ref="CH90:CH91"/>
    <mergeCell ref="CF90:CF91"/>
    <mergeCell ref="CI90:CI91"/>
    <mergeCell ref="BL90:BL91"/>
    <mergeCell ref="BM90:BM91"/>
    <mergeCell ref="BH101:BH102"/>
    <mergeCell ref="BH117:BH118"/>
    <mergeCell ref="CJ90:CJ91"/>
    <mergeCell ref="CK90:CK91"/>
    <mergeCell ref="CG90:CG91"/>
    <mergeCell ref="CL90:CL91"/>
    <mergeCell ref="CM90:CM91"/>
    <mergeCell ref="Z90:Z91"/>
    <mergeCell ref="W90:W91"/>
    <mergeCell ref="Z93:Z94"/>
    <mergeCell ref="BK90:BK91"/>
    <mergeCell ref="BO90:BO91"/>
    <mergeCell ref="BN90:BN91"/>
    <mergeCell ref="AM140:AM141"/>
    <mergeCell ref="W142:W144"/>
    <mergeCell ref="T140:T141"/>
    <mergeCell ref="N142:N144"/>
    <mergeCell ref="X117:X118"/>
    <mergeCell ref="W101:W102"/>
    <mergeCell ref="T117:T118"/>
    <mergeCell ref="T95:T98"/>
    <mergeCell ref="AC93:AC94"/>
    <mergeCell ref="X90:X91"/>
    <mergeCell ref="AB95:AB98"/>
    <mergeCell ref="Z95:Z98"/>
    <mergeCell ref="W93:W94"/>
    <mergeCell ref="AB99:AB100"/>
    <mergeCell ref="AA95:AA98"/>
    <mergeCell ref="X99:X100"/>
    <mergeCell ref="AB93:AB94"/>
    <mergeCell ref="Z99:Z100"/>
    <mergeCell ref="V90:V91"/>
    <mergeCell ref="BI99:BI100"/>
    <mergeCell ref="BD95:BD98"/>
    <mergeCell ref="T21:T26"/>
    <mergeCell ref="T30:T33"/>
    <mergeCell ref="V37:V40"/>
    <mergeCell ref="W37:W40"/>
    <mergeCell ref="S67:S68"/>
    <mergeCell ref="R65:R66"/>
    <mergeCell ref="S65:S66"/>
    <mergeCell ref="R61:R62"/>
    <mergeCell ref="S61:S62"/>
    <mergeCell ref="S56:S57"/>
    <mergeCell ref="R63:R64"/>
    <mergeCell ref="S63:S64"/>
    <mergeCell ref="T50:T51"/>
    <mergeCell ref="W50:W51"/>
    <mergeCell ref="T41:T44"/>
    <mergeCell ref="V41:V44"/>
    <mergeCell ref="W21:W26"/>
    <mergeCell ref="W30:W33"/>
    <mergeCell ref="T37:T40"/>
    <mergeCell ref="W65:W66"/>
    <mergeCell ref="W63:W64"/>
    <mergeCell ref="V65:V66"/>
    <mergeCell ref="T56:T57"/>
    <mergeCell ref="V63:V64"/>
    <mergeCell ref="T61:T62"/>
    <mergeCell ref="T48:T49"/>
    <mergeCell ref="T67:T68"/>
    <mergeCell ref="N21:N26"/>
    <mergeCell ref="O21:O26"/>
    <mergeCell ref="M32:M33"/>
    <mergeCell ref="N37:N40"/>
    <mergeCell ref="Q48:Q49"/>
    <mergeCell ref="Q50:Q51"/>
    <mergeCell ref="M37:M38"/>
    <mergeCell ref="O30:O33"/>
    <mergeCell ref="M27:M28"/>
    <mergeCell ref="O37:O40"/>
    <mergeCell ref="S50:S51"/>
    <mergeCell ref="O27:O29"/>
    <mergeCell ref="R21:R26"/>
    <mergeCell ref="R48:R49"/>
    <mergeCell ref="R27:R29"/>
    <mergeCell ref="Q37:Q40"/>
    <mergeCell ref="R41:R44"/>
    <mergeCell ref="S41:S44"/>
    <mergeCell ref="S30:S33"/>
    <mergeCell ref="R37:R40"/>
    <mergeCell ref="S21:S26"/>
    <mergeCell ref="B37:B40"/>
    <mergeCell ref="J48:J49"/>
    <mergeCell ref="K27:K28"/>
    <mergeCell ref="C27:C29"/>
    <mergeCell ref="N27:N29"/>
    <mergeCell ref="N30:N33"/>
    <mergeCell ref="B41:B44"/>
    <mergeCell ref="B50:B51"/>
    <mergeCell ref="C41:C44"/>
    <mergeCell ref="J50:J51"/>
    <mergeCell ref="C37:C40"/>
    <mergeCell ref="S37:S40"/>
    <mergeCell ref="M15:M17"/>
    <mergeCell ref="I50:I51"/>
    <mergeCell ref="Q30:Q33"/>
    <mergeCell ref="R30:R33"/>
    <mergeCell ref="Q27:Q29"/>
    <mergeCell ref="Q21:Q26"/>
    <mergeCell ref="S15:S20"/>
    <mergeCell ref="K48:K49"/>
    <mergeCell ref="N15:N20"/>
    <mergeCell ref="O15:O20"/>
    <mergeCell ref="Q15:Q20"/>
    <mergeCell ref="M18:M20"/>
    <mergeCell ref="R15:R20"/>
    <mergeCell ref="N41:N44"/>
    <mergeCell ref="M24:M26"/>
    <mergeCell ref="R50:R51"/>
    <mergeCell ref="Q41:Q44"/>
    <mergeCell ref="S27:S29"/>
    <mergeCell ref="S48:S49"/>
    <mergeCell ref="M21:M23"/>
    <mergeCell ref="A1:P5"/>
    <mergeCell ref="P48:P49"/>
    <mergeCell ref="L48:L49"/>
    <mergeCell ref="C15:C20"/>
    <mergeCell ref="M48:M49"/>
    <mergeCell ref="G48:G49"/>
    <mergeCell ref="I48:I49"/>
    <mergeCell ref="F48:F49"/>
    <mergeCell ref="A15:A20"/>
    <mergeCell ref="C48:C49"/>
    <mergeCell ref="N50:N51"/>
    <mergeCell ref="C21:C26"/>
    <mergeCell ref="A21:A26"/>
    <mergeCell ref="K50:K51"/>
    <mergeCell ref="G50:G51"/>
    <mergeCell ref="M50:M51"/>
    <mergeCell ref="F50:F51"/>
    <mergeCell ref="A27:A29"/>
    <mergeCell ref="A48:A49"/>
    <mergeCell ref="B48:B49"/>
    <mergeCell ref="H50:H51"/>
    <mergeCell ref="A30:A33"/>
    <mergeCell ref="M39:M40"/>
    <mergeCell ref="M43:M44"/>
    <mergeCell ref="O41:O44"/>
    <mergeCell ref="O50:O51"/>
    <mergeCell ref="B15:B20"/>
    <mergeCell ref="B21:B26"/>
    <mergeCell ref="B27:B29"/>
    <mergeCell ref="B30:B33"/>
    <mergeCell ref="C30:C33"/>
    <mergeCell ref="C50:C51"/>
    <mergeCell ref="O56:O57"/>
    <mergeCell ref="N56:N57"/>
    <mergeCell ref="K56:K57"/>
    <mergeCell ref="C65:C66"/>
    <mergeCell ref="O65:O66"/>
    <mergeCell ref="O61:O62"/>
    <mergeCell ref="C67:C68"/>
    <mergeCell ref="R56:R57"/>
    <mergeCell ref="L56:L57"/>
    <mergeCell ref="C56:C57"/>
    <mergeCell ref="B61:B62"/>
    <mergeCell ref="K61:K62"/>
    <mergeCell ref="J56:J57"/>
    <mergeCell ref="N61:N62"/>
    <mergeCell ref="M56:M57"/>
    <mergeCell ref="P63:P64"/>
    <mergeCell ref="R67:R68"/>
    <mergeCell ref="M65:M66"/>
    <mergeCell ref="P65:P66"/>
    <mergeCell ref="M61:M62"/>
    <mergeCell ref="L61:L62"/>
    <mergeCell ref="G65:G66"/>
    <mergeCell ref="I67:I68"/>
    <mergeCell ref="K65:K66"/>
    <mergeCell ref="L63:L64"/>
    <mergeCell ref="K67:K68"/>
    <mergeCell ref="F61:F62"/>
    <mergeCell ref="F67:F68"/>
    <mergeCell ref="B65:B66"/>
    <mergeCell ref="I61:I62"/>
    <mergeCell ref="J67:J68"/>
    <mergeCell ref="L67:L68"/>
    <mergeCell ref="A41:A44"/>
    <mergeCell ref="A37:A40"/>
    <mergeCell ref="H48:H49"/>
    <mergeCell ref="N48:N49"/>
    <mergeCell ref="L50:L51"/>
    <mergeCell ref="O48:O49"/>
    <mergeCell ref="P50:P51"/>
    <mergeCell ref="Q65:Q66"/>
    <mergeCell ref="P61:P62"/>
    <mergeCell ref="Q61:Q62"/>
    <mergeCell ref="Q63:Q64"/>
    <mergeCell ref="P67:P68"/>
    <mergeCell ref="Q67:Q68"/>
    <mergeCell ref="O187:O190"/>
    <mergeCell ref="R225:R228"/>
    <mergeCell ref="O221:O224"/>
    <mergeCell ref="P209:P212"/>
    <mergeCell ref="R209:R210"/>
    <mergeCell ref="P195:P202"/>
    <mergeCell ref="R211:R212"/>
    <mergeCell ref="Q209:Q210"/>
    <mergeCell ref="Q199:Q202"/>
    <mergeCell ref="P221:P224"/>
    <mergeCell ref="P217:P220"/>
    <mergeCell ref="O142:O144"/>
    <mergeCell ref="R191:R194"/>
    <mergeCell ref="P187:P194"/>
    <mergeCell ref="Q142:Q144"/>
    <mergeCell ref="Q206:Q208"/>
    <mergeCell ref="Q225:Q228"/>
    <mergeCell ref="Q211:Q212"/>
    <mergeCell ref="P213:P216"/>
    <mergeCell ref="W221:W224"/>
    <mergeCell ref="V195:V198"/>
    <mergeCell ref="V191:V194"/>
    <mergeCell ref="V199:V202"/>
    <mergeCell ref="T195:T198"/>
    <mergeCell ref="V140:V141"/>
    <mergeCell ref="T187:T190"/>
    <mergeCell ref="V217:V220"/>
    <mergeCell ref="P146:P148"/>
    <mergeCell ref="R187:R190"/>
    <mergeCell ref="R140:R141"/>
    <mergeCell ref="Q146:Q148"/>
    <mergeCell ref="P132:P134"/>
    <mergeCell ref="Q221:Q224"/>
    <mergeCell ref="P140:P141"/>
    <mergeCell ref="Q191:Q194"/>
    <mergeCell ref="R221:R224"/>
    <mergeCell ref="R142:R144"/>
    <mergeCell ref="Q187:Q190"/>
    <mergeCell ref="Q140:Q141"/>
    <mergeCell ref="Q217:Q220"/>
    <mergeCell ref="Q213:Q216"/>
    <mergeCell ref="R217:R220"/>
    <mergeCell ref="Q203:Q205"/>
    <mergeCell ref="S209:S212"/>
    <mergeCell ref="S142:S144"/>
    <mergeCell ref="S221:S224"/>
    <mergeCell ref="V211:V212"/>
    <mergeCell ref="T213:T216"/>
    <mergeCell ref="T221:T224"/>
    <mergeCell ref="S217:S220"/>
    <mergeCell ref="S213:S216"/>
    <mergeCell ref="V93:V94"/>
    <mergeCell ref="V95:V98"/>
    <mergeCell ref="W117:W118"/>
    <mergeCell ref="W146:W148"/>
    <mergeCell ref="T93:T94"/>
    <mergeCell ref="V99:V100"/>
    <mergeCell ref="V117:V118"/>
    <mergeCell ref="W209:W210"/>
    <mergeCell ref="W199:W202"/>
    <mergeCell ref="T191:T194"/>
    <mergeCell ref="BH15:BH20"/>
    <mergeCell ref="AN41:AN44"/>
    <mergeCell ref="BE21:BE26"/>
    <mergeCell ref="V15:V20"/>
    <mergeCell ref="AF27:AF29"/>
    <mergeCell ref="AC37:AC40"/>
    <mergeCell ref="BH21:BH26"/>
    <mergeCell ref="AF41:AF44"/>
    <mergeCell ref="AG15:AG20"/>
    <mergeCell ref="AG21:AG26"/>
    <mergeCell ref="AG27:AG29"/>
    <mergeCell ref="BH30:BH33"/>
    <mergeCell ref="BD30:BD33"/>
    <mergeCell ref="BH37:BH39"/>
    <mergeCell ref="AL30:AL33"/>
    <mergeCell ref="AO27:AO29"/>
    <mergeCell ref="T27:T29"/>
    <mergeCell ref="BF30:BF33"/>
    <mergeCell ref="BG30:BG33"/>
    <mergeCell ref="BF37:BF40"/>
    <mergeCell ref="BG37:BG40"/>
    <mergeCell ref="BF41:BF44"/>
    <mergeCell ref="BG41:BG44"/>
    <mergeCell ref="V30:V33"/>
    <mergeCell ref="BD27:BD29"/>
    <mergeCell ref="X41:X44"/>
    <mergeCell ref="Z41:Z44"/>
    <mergeCell ref="BD21:BD26"/>
    <mergeCell ref="BE30:BE33"/>
    <mergeCell ref="BD15:BD20"/>
    <mergeCell ref="BH41:BH44"/>
    <mergeCell ref="AN30:AN33"/>
    <mergeCell ref="AM27:AM29"/>
    <mergeCell ref="BG15:BG20"/>
    <mergeCell ref="BF15:BF20"/>
    <mergeCell ref="BF21:BF26"/>
    <mergeCell ref="BG21:BG26"/>
    <mergeCell ref="BH27:BH29"/>
    <mergeCell ref="AF37:AF40"/>
    <mergeCell ref="AA15:AA20"/>
    <mergeCell ref="AB15:AB20"/>
    <mergeCell ref="BE27:BE29"/>
    <mergeCell ref="BC41:BC44"/>
    <mergeCell ref="BC30:BC33"/>
    <mergeCell ref="AR21:AR26"/>
    <mergeCell ref="BC15:BC20"/>
    <mergeCell ref="BC21:BC26"/>
    <mergeCell ref="V27:V29"/>
    <mergeCell ref="AD15:AD20"/>
    <mergeCell ref="BB21:BB26"/>
    <mergeCell ref="BE15:BE20"/>
    <mergeCell ref="BA37:BA40"/>
    <mergeCell ref="W41:W44"/>
    <mergeCell ref="Z21:Z26"/>
    <mergeCell ref="X30:X33"/>
    <mergeCell ref="BC27:BC29"/>
    <mergeCell ref="AA21:AA26"/>
    <mergeCell ref="W27:W29"/>
    <mergeCell ref="AR15:AR20"/>
    <mergeCell ref="AM15:AM20"/>
    <mergeCell ref="AM21:AM26"/>
    <mergeCell ref="AL41:AL44"/>
    <mergeCell ref="BB41:BB44"/>
    <mergeCell ref="AC30:AC33"/>
    <mergeCell ref="AB21:AB26"/>
    <mergeCell ref="T15:T20"/>
    <mergeCell ref="AO21:AO26"/>
    <mergeCell ref="X37:X40"/>
    <mergeCell ref="AA30:AA33"/>
    <mergeCell ref="AA41:AA44"/>
    <mergeCell ref="Z30:Z33"/>
    <mergeCell ref="AM37:AM40"/>
    <mergeCell ref="AR41:AR44"/>
    <mergeCell ref="AG37:AG40"/>
    <mergeCell ref="X21:X26"/>
    <mergeCell ref="V21:V26"/>
    <mergeCell ref="W15:W20"/>
    <mergeCell ref="X27:X29"/>
    <mergeCell ref="Z15:Z20"/>
    <mergeCell ref="AN37:AN40"/>
    <mergeCell ref="AR37:AR40"/>
    <mergeCell ref="AM30:AM33"/>
    <mergeCell ref="AG41:AG44"/>
    <mergeCell ref="AL37:AL40"/>
    <mergeCell ref="AB37:AB40"/>
    <mergeCell ref="Z27:Z29"/>
    <mergeCell ref="BE41:BE44"/>
    <mergeCell ref="BE37:BE40"/>
    <mergeCell ref="BA30:BA33"/>
    <mergeCell ref="BC37:BC40"/>
    <mergeCell ref="AF30:AF33"/>
    <mergeCell ref="AR27:AR29"/>
    <mergeCell ref="AN27:AN29"/>
    <mergeCell ref="AF21:AF26"/>
    <mergeCell ref="AR30:AR33"/>
    <mergeCell ref="AE41:AE44"/>
    <mergeCell ref="BD37:BD40"/>
    <mergeCell ref="BD41:BD44"/>
    <mergeCell ref="AD27:AD29"/>
    <mergeCell ref="AE27:AE29"/>
    <mergeCell ref="AO30:AO33"/>
    <mergeCell ref="AB30:AB33"/>
    <mergeCell ref="AC15:AC20"/>
    <mergeCell ref="AO15:AO20"/>
    <mergeCell ref="AM41:AM44"/>
    <mergeCell ref="AO37:AO40"/>
    <mergeCell ref="BB15:BB20"/>
    <mergeCell ref="AQ30:AQ33"/>
    <mergeCell ref="AP37:AP40"/>
    <mergeCell ref="AQ37:AQ40"/>
    <mergeCell ref="AP41:AP44"/>
    <mergeCell ref="AQ41:AQ44"/>
    <mergeCell ref="BA27:BA29"/>
    <mergeCell ref="AD37:AD40"/>
    <mergeCell ref="AE37:AE40"/>
    <mergeCell ref="BA41:BA44"/>
    <mergeCell ref="AL21:AL26"/>
    <mergeCell ref="AN15:AN20"/>
    <mergeCell ref="AE30:AE33"/>
    <mergeCell ref="AP15:AP20"/>
    <mergeCell ref="AP21:AP26"/>
    <mergeCell ref="AQ21:AQ26"/>
    <mergeCell ref="AP27:AP29"/>
    <mergeCell ref="AP30:AP33"/>
    <mergeCell ref="AL15:AL20"/>
    <mergeCell ref="AG30:AG33"/>
    <mergeCell ref="AD21:AD26"/>
    <mergeCell ref="Z37:Z40"/>
    <mergeCell ref="AY67:AY68"/>
    <mergeCell ref="AE67:AE68"/>
    <mergeCell ref="AN61:AN62"/>
    <mergeCell ref="AN63:AN64"/>
    <mergeCell ref="AE61:AE62"/>
    <mergeCell ref="AM63:AM64"/>
    <mergeCell ref="AL63:AL64"/>
    <mergeCell ref="AF65:AF66"/>
    <mergeCell ref="AP63:AP64"/>
    <mergeCell ref="AQ63:AQ64"/>
    <mergeCell ref="AP65:AP66"/>
    <mergeCell ref="AQ65:AQ66"/>
    <mergeCell ref="AP67:AP68"/>
    <mergeCell ref="AQ67:AQ68"/>
    <mergeCell ref="AO67:AO68"/>
    <mergeCell ref="AR67:AR68"/>
    <mergeCell ref="AV67:AV68"/>
    <mergeCell ref="AU65:AU66"/>
    <mergeCell ref="AT48:AT49"/>
    <mergeCell ref="AI15:AI20"/>
    <mergeCell ref="AI21:AI26"/>
    <mergeCell ref="AI27:AI29"/>
    <mergeCell ref="BH48:BH49"/>
    <mergeCell ref="AO65:AO66"/>
    <mergeCell ref="AS65:AS66"/>
    <mergeCell ref="BG48:BG49"/>
    <mergeCell ref="AM65:AM66"/>
    <mergeCell ref="AN65:AN66"/>
    <mergeCell ref="AO63:AO64"/>
    <mergeCell ref="AL65:AL66"/>
    <mergeCell ref="AZ63:AZ64"/>
    <mergeCell ref="AR65:AR66"/>
    <mergeCell ref="BB50:BB51"/>
    <mergeCell ref="AM61:AM62"/>
    <mergeCell ref="AM50:AM51"/>
    <mergeCell ref="BH56:BH57"/>
    <mergeCell ref="BF48:BF49"/>
    <mergeCell ref="BH50:BH51"/>
    <mergeCell ref="BG61:BG62"/>
    <mergeCell ref="BD65:BD66"/>
    <mergeCell ref="BG63:BG64"/>
    <mergeCell ref="BE48:BE49"/>
    <mergeCell ref="AV50:AV51"/>
    <mergeCell ref="BB65:BB66"/>
    <mergeCell ref="AT65:AT66"/>
    <mergeCell ref="AZ65:AZ66"/>
    <mergeCell ref="AW65:AW66"/>
    <mergeCell ref="AV65:AV66"/>
    <mergeCell ref="BA48:BA49"/>
    <mergeCell ref="AU48:AU49"/>
    <mergeCell ref="BE54:BE55"/>
    <mergeCell ref="AV48:AV49"/>
    <mergeCell ref="AP48:AP49"/>
    <mergeCell ref="BA65:BA66"/>
    <mergeCell ref="H61:H62"/>
    <mergeCell ref="G61:G62"/>
    <mergeCell ref="AD67:AD68"/>
    <mergeCell ref="C61:C62"/>
    <mergeCell ref="J61:J62"/>
    <mergeCell ref="K74:K75"/>
    <mergeCell ref="F74:F75"/>
    <mergeCell ref="I74:I75"/>
    <mergeCell ref="J74:J75"/>
    <mergeCell ref="P93:P94"/>
    <mergeCell ref="T63:T64"/>
    <mergeCell ref="C74:C75"/>
    <mergeCell ref="AD93:AD94"/>
    <mergeCell ref="AD90:AD91"/>
    <mergeCell ref="X65:X66"/>
    <mergeCell ref="O67:O68"/>
    <mergeCell ref="C63:C64"/>
    <mergeCell ref="N65:N66"/>
    <mergeCell ref="N63:N64"/>
    <mergeCell ref="H63:H64"/>
    <mergeCell ref="J63:J64"/>
    <mergeCell ref="F63:F64"/>
    <mergeCell ref="M63:M64"/>
    <mergeCell ref="F65:F66"/>
    <mergeCell ref="G67:G68"/>
    <mergeCell ref="L65:L66"/>
    <mergeCell ref="H65:H66"/>
    <mergeCell ref="M67:M68"/>
    <mergeCell ref="O63:O64"/>
    <mergeCell ref="I65:I66"/>
    <mergeCell ref="J65:J66"/>
    <mergeCell ref="I63:I64"/>
    <mergeCell ref="B146:B148"/>
    <mergeCell ref="A93:A94"/>
    <mergeCell ref="H74:H75"/>
    <mergeCell ref="J99:J100"/>
    <mergeCell ref="B90:B91"/>
    <mergeCell ref="A99:A100"/>
    <mergeCell ref="P135:P137"/>
    <mergeCell ref="K90:K91"/>
    <mergeCell ref="J90:J91"/>
    <mergeCell ref="K93:K94"/>
    <mergeCell ref="N117:N118"/>
    <mergeCell ref="K99:K100"/>
    <mergeCell ref="A101:A102"/>
    <mergeCell ref="A95:A98"/>
    <mergeCell ref="B99:B100"/>
    <mergeCell ref="C142:C144"/>
    <mergeCell ref="J121:J122"/>
    <mergeCell ref="K123:K124"/>
    <mergeCell ref="B117:B118"/>
    <mergeCell ref="I121:I122"/>
    <mergeCell ref="L123:L124"/>
    <mergeCell ref="L99:L100"/>
    <mergeCell ref="M95:M96"/>
    <mergeCell ref="O99:O100"/>
    <mergeCell ref="M123:M124"/>
    <mergeCell ref="N123:N124"/>
    <mergeCell ref="D121:D122"/>
    <mergeCell ref="J123:J124"/>
    <mergeCell ref="B140:B141"/>
    <mergeCell ref="A121:A122"/>
    <mergeCell ref="A130:A131"/>
    <mergeCell ref="L140:L141"/>
    <mergeCell ref="K140:K141"/>
    <mergeCell ref="M140:M141"/>
    <mergeCell ref="N146:N148"/>
    <mergeCell ref="O140:O141"/>
    <mergeCell ref="C123:C124"/>
    <mergeCell ref="C99:C100"/>
    <mergeCell ref="C101:C102"/>
    <mergeCell ref="L93:L94"/>
    <mergeCell ref="N121:N122"/>
    <mergeCell ref="O121:O122"/>
    <mergeCell ref="Q101:Q102"/>
    <mergeCell ref="N95:N98"/>
    <mergeCell ref="K121:K122"/>
    <mergeCell ref="O117:O118"/>
    <mergeCell ref="M117:M118"/>
    <mergeCell ref="M101:M102"/>
    <mergeCell ref="M121:M122"/>
    <mergeCell ref="D123:D124"/>
    <mergeCell ref="M97:M98"/>
    <mergeCell ref="Q117:Q118"/>
    <mergeCell ref="Q95:Q98"/>
    <mergeCell ref="O95:O98"/>
    <mergeCell ref="L121:L122"/>
    <mergeCell ref="M99:M100"/>
    <mergeCell ref="M93:M94"/>
    <mergeCell ref="C121:C122"/>
    <mergeCell ref="J140:J141"/>
    <mergeCell ref="F93:F94"/>
    <mergeCell ref="C95:C98"/>
    <mergeCell ref="A187:A190"/>
    <mergeCell ref="D161:D162"/>
    <mergeCell ref="E161:E162"/>
    <mergeCell ref="B187:B190"/>
    <mergeCell ref="A142:A144"/>
    <mergeCell ref="B95:B98"/>
    <mergeCell ref="D168:D169"/>
    <mergeCell ref="E168:E169"/>
    <mergeCell ref="O168:O169"/>
    <mergeCell ref="A221:A224"/>
    <mergeCell ref="O191:O194"/>
    <mergeCell ref="C117:C118"/>
    <mergeCell ref="B121:B122"/>
    <mergeCell ref="B123:B124"/>
    <mergeCell ref="A146:A148"/>
    <mergeCell ref="N191:N194"/>
    <mergeCell ref="K142:K144"/>
    <mergeCell ref="L142:L144"/>
    <mergeCell ref="A195:A198"/>
    <mergeCell ref="A199:A202"/>
    <mergeCell ref="B142:B144"/>
    <mergeCell ref="A117:A118"/>
    <mergeCell ref="O161:O162"/>
    <mergeCell ref="C140:C141"/>
    <mergeCell ref="B101:B102"/>
    <mergeCell ref="B221:B224"/>
    <mergeCell ref="K221:K224"/>
    <mergeCell ref="L221:L224"/>
    <mergeCell ref="M221:M224"/>
    <mergeCell ref="N221:N224"/>
    <mergeCell ref="B191:B194"/>
    <mergeCell ref="A140:A141"/>
    <mergeCell ref="B199:B202"/>
    <mergeCell ref="G63:G64"/>
    <mergeCell ref="H67:H68"/>
    <mergeCell ref="AC117:AC118"/>
    <mergeCell ref="BD117:BD118"/>
    <mergeCell ref="AB101:AB102"/>
    <mergeCell ref="AF95:AF98"/>
    <mergeCell ref="AF99:AF100"/>
    <mergeCell ref="AW99:AW100"/>
    <mergeCell ref="AZ99:AZ100"/>
    <mergeCell ref="B74:B75"/>
    <mergeCell ref="P74:P75"/>
    <mergeCell ref="L117:L118"/>
    <mergeCell ref="AP74:AP75"/>
    <mergeCell ref="AG117:AG118"/>
    <mergeCell ref="AG99:AG100"/>
    <mergeCell ref="AG101:AG102"/>
    <mergeCell ref="BB95:BB98"/>
    <mergeCell ref="AT101:AT102"/>
    <mergeCell ref="AP101:AP102"/>
    <mergeCell ref="AQ101:AQ102"/>
    <mergeCell ref="AC95:AC98"/>
    <mergeCell ref="AE93:AE94"/>
    <mergeCell ref="AE99:AE100"/>
    <mergeCell ref="AB90:AB91"/>
    <mergeCell ref="AA93:AA94"/>
    <mergeCell ref="B67:B68"/>
    <mergeCell ref="N67:N68"/>
    <mergeCell ref="K63:K64"/>
    <mergeCell ref="B63:B64"/>
    <mergeCell ref="G74:G75"/>
    <mergeCell ref="Z63:Z64"/>
    <mergeCell ref="C90:C91"/>
    <mergeCell ref="L74:L75"/>
    <mergeCell ref="O74:O75"/>
    <mergeCell ref="Q99:Q100"/>
    <mergeCell ref="P95:P98"/>
    <mergeCell ref="C93:C94"/>
    <mergeCell ref="O93:O94"/>
    <mergeCell ref="G93:G94"/>
    <mergeCell ref="AO211:AO212"/>
    <mergeCell ref="AN209:AN210"/>
    <mergeCell ref="AM199:AM202"/>
    <mergeCell ref="X146:X148"/>
    <mergeCell ref="S199:S202"/>
    <mergeCell ref="S146:S148"/>
    <mergeCell ref="S140:S141"/>
    <mergeCell ref="N130:N131"/>
    <mergeCell ref="N93:N94"/>
    <mergeCell ref="Q93:Q94"/>
    <mergeCell ref="R93:R94"/>
    <mergeCell ref="N101:N102"/>
    <mergeCell ref="M130:M131"/>
    <mergeCell ref="R95:R98"/>
    <mergeCell ref="Q74:Q75"/>
    <mergeCell ref="R74:R75"/>
    <mergeCell ref="AO191:AO194"/>
    <mergeCell ref="W140:W141"/>
    <mergeCell ref="C130:C131"/>
    <mergeCell ref="C146:C148"/>
    <mergeCell ref="T146:T148"/>
    <mergeCell ref="T142:T144"/>
    <mergeCell ref="N99:N100"/>
    <mergeCell ref="N195:N198"/>
    <mergeCell ref="BI95:BI98"/>
    <mergeCell ref="AF90:AF91"/>
    <mergeCell ref="AC101:AC102"/>
    <mergeCell ref="AA90:AA91"/>
    <mergeCell ref="AF93:AF94"/>
    <mergeCell ref="AE101:AE102"/>
    <mergeCell ref="AE95:AE98"/>
    <mergeCell ref="AD99:AD100"/>
    <mergeCell ref="AD101:AD102"/>
    <mergeCell ref="AM117:AM118"/>
    <mergeCell ref="AN101:AN102"/>
    <mergeCell ref="AL117:AL118"/>
    <mergeCell ref="AD117:AD118"/>
    <mergeCell ref="AB117:AB118"/>
    <mergeCell ref="AM90:AM91"/>
    <mergeCell ref="AN95:AN98"/>
    <mergeCell ref="AL101:AL102"/>
    <mergeCell ref="AE117:AE118"/>
    <mergeCell ref="AC99:AC100"/>
    <mergeCell ref="AC90:AC91"/>
    <mergeCell ref="AM93:AM94"/>
    <mergeCell ref="AF101:AF102"/>
    <mergeCell ref="AN93:AN94"/>
    <mergeCell ref="AM95:AM98"/>
    <mergeCell ref="BE110:BE116"/>
    <mergeCell ref="AL99:AL100"/>
    <mergeCell ref="AS99:AS100"/>
    <mergeCell ref="AR93:AR94"/>
    <mergeCell ref="AL93:AL94"/>
    <mergeCell ref="AL90:AL91"/>
    <mergeCell ref="AM101:AM102"/>
    <mergeCell ref="BA101:BA102"/>
    <mergeCell ref="AR195:AR198"/>
    <mergeCell ref="V225:V228"/>
    <mergeCell ref="V221:V224"/>
    <mergeCell ref="X217:X220"/>
    <mergeCell ref="AA140:AA141"/>
    <mergeCell ref="AB225:AB228"/>
    <mergeCell ref="AM209:AM210"/>
    <mergeCell ref="V142:V144"/>
    <mergeCell ref="W191:W194"/>
    <mergeCell ref="AE142:AE144"/>
    <mergeCell ref="AL209:AL210"/>
    <mergeCell ref="AL142:AL144"/>
    <mergeCell ref="AG191:AG194"/>
    <mergeCell ref="AG195:AG198"/>
    <mergeCell ref="AG199:AG202"/>
    <mergeCell ref="W187:W190"/>
    <mergeCell ref="X211:X212"/>
    <mergeCell ref="AA142:AA144"/>
    <mergeCell ref="AL187:AL190"/>
    <mergeCell ref="AG225:AG228"/>
    <mergeCell ref="X142:X144"/>
    <mergeCell ref="V146:V148"/>
    <mergeCell ref="V187:V190"/>
    <mergeCell ref="AG140:AG141"/>
    <mergeCell ref="Z187:Z190"/>
    <mergeCell ref="X209:X210"/>
    <mergeCell ref="Z221:Z224"/>
    <mergeCell ref="W195:W198"/>
    <mergeCell ref="X195:X198"/>
    <mergeCell ref="AL221:AL224"/>
    <mergeCell ref="AM187:AM190"/>
    <mergeCell ref="AD199:AD202"/>
    <mergeCell ref="M147:M148"/>
    <mergeCell ref="N140:N141"/>
    <mergeCell ref="S74:S75"/>
    <mergeCell ref="S99:S100"/>
    <mergeCell ref="Q90:Q91"/>
    <mergeCell ref="N90:N91"/>
    <mergeCell ref="S101:S102"/>
    <mergeCell ref="M90:M91"/>
    <mergeCell ref="S117:S118"/>
    <mergeCell ref="R101:R102"/>
    <mergeCell ref="T130:T131"/>
    <mergeCell ref="R117:R118"/>
    <mergeCell ref="R99:R100"/>
    <mergeCell ref="R90:R91"/>
    <mergeCell ref="Q130:Q131"/>
    <mergeCell ref="O146:O148"/>
    <mergeCell ref="N187:N190"/>
    <mergeCell ref="O101:O102"/>
    <mergeCell ref="R130:R131"/>
    <mergeCell ref="S130:S131"/>
    <mergeCell ref="O130:O131"/>
    <mergeCell ref="Q121:Q122"/>
    <mergeCell ref="R121:R122"/>
    <mergeCell ref="R123:R124"/>
    <mergeCell ref="Q123:Q124"/>
    <mergeCell ref="T123:T124"/>
    <mergeCell ref="R146:R148"/>
    <mergeCell ref="M142:M143"/>
    <mergeCell ref="N74:N75"/>
    <mergeCell ref="M74:M75"/>
    <mergeCell ref="P90:P91"/>
    <mergeCell ref="O123:O124"/>
    <mergeCell ref="W99:W100"/>
    <mergeCell ref="Z199:Z202"/>
    <mergeCell ref="AD195:AD198"/>
    <mergeCell ref="J142:J144"/>
    <mergeCell ref="I123:I124"/>
    <mergeCell ref="T99:T100"/>
    <mergeCell ref="S93:S94"/>
    <mergeCell ref="S95:S98"/>
    <mergeCell ref="S90:S91"/>
    <mergeCell ref="T90:T91"/>
    <mergeCell ref="AA130:AA131"/>
    <mergeCell ref="BH221:BH228"/>
    <mergeCell ref="AU221:AU224"/>
    <mergeCell ref="BH187:BH194"/>
    <mergeCell ref="BD187:BD190"/>
    <mergeCell ref="AS191:AS194"/>
    <mergeCell ref="AX221:AX224"/>
    <mergeCell ref="AY191:AY194"/>
    <mergeCell ref="BB221:BB224"/>
    <mergeCell ref="AV217:AV220"/>
    <mergeCell ref="AV199:AV202"/>
    <mergeCell ref="BH203:BH208"/>
    <mergeCell ref="AR221:AR224"/>
    <mergeCell ref="BH181:BH182"/>
    <mergeCell ref="BH183:BH184"/>
    <mergeCell ref="AN217:AN220"/>
    <mergeCell ref="AV195:AV198"/>
    <mergeCell ref="BE195:BE202"/>
    <mergeCell ref="AS146:AS148"/>
    <mergeCell ref="BC217:BC220"/>
    <mergeCell ref="T199:T202"/>
    <mergeCell ref="N199:N202"/>
    <mergeCell ref="AP207:AP208"/>
    <mergeCell ref="AQ207:AQ208"/>
    <mergeCell ref="AP209:AP210"/>
    <mergeCell ref="BD217:BD220"/>
    <mergeCell ref="T101:T102"/>
    <mergeCell ref="W211:W212"/>
    <mergeCell ref="AY221:AY224"/>
    <mergeCell ref="AW213:AW216"/>
    <mergeCell ref="AX213:AX216"/>
    <mergeCell ref="AZ199:AZ202"/>
    <mergeCell ref="Z142:Z144"/>
    <mergeCell ref="Z140:Z141"/>
    <mergeCell ref="AW191:AW194"/>
    <mergeCell ref="AM213:AM216"/>
    <mergeCell ref="AC199:AC202"/>
    <mergeCell ref="AL225:AL228"/>
    <mergeCell ref="AG221:AG224"/>
    <mergeCell ref="AF221:AF224"/>
    <mergeCell ref="AN221:AN224"/>
    <mergeCell ref="AS221:AS224"/>
    <mergeCell ref="AG130:AG131"/>
    <mergeCell ref="BA130:BA131"/>
    <mergeCell ref="AM130:AM131"/>
    <mergeCell ref="AN195:AN198"/>
    <mergeCell ref="AV191:AV194"/>
    <mergeCell ref="BD199:BD202"/>
    <mergeCell ref="BD195:BD198"/>
    <mergeCell ref="BD140:BD141"/>
    <mergeCell ref="AO225:AO228"/>
    <mergeCell ref="AF140:AF141"/>
    <mergeCell ref="BC140:BC141"/>
    <mergeCell ref="AN130:AN131"/>
    <mergeCell ref="BD221:BD224"/>
    <mergeCell ref="AM221:AM224"/>
    <mergeCell ref="AR209:AR210"/>
    <mergeCell ref="BH140:BH141"/>
    <mergeCell ref="AW199:AW202"/>
    <mergeCell ref="AR142:AR144"/>
    <mergeCell ref="BB187:BB190"/>
    <mergeCell ref="AU191:AU194"/>
    <mergeCell ref="BC187:BC190"/>
    <mergeCell ref="AQ146:AQ148"/>
    <mergeCell ref="AP187:AP190"/>
    <mergeCell ref="AQ187:AQ190"/>
    <mergeCell ref="AT221:AT224"/>
    <mergeCell ref="AW221:AW224"/>
    <mergeCell ref="AU213:AU216"/>
    <mergeCell ref="AU199:AU202"/>
    <mergeCell ref="AT199:AT202"/>
    <mergeCell ref="AO217:AO220"/>
    <mergeCell ref="AO221:AO224"/>
    <mergeCell ref="AO209:AO210"/>
    <mergeCell ref="BE179:BE180"/>
    <mergeCell ref="BE176:BE177"/>
    <mergeCell ref="BH161:BH162"/>
    <mergeCell ref="BH146:BH148"/>
    <mergeCell ref="BF146:BF148"/>
    <mergeCell ref="BE142:BE144"/>
    <mergeCell ref="BC199:BC202"/>
    <mergeCell ref="AO140:AO141"/>
    <mergeCell ref="AZ187:AZ190"/>
    <mergeCell ref="BC221:BC224"/>
    <mergeCell ref="AP146:AP148"/>
    <mergeCell ref="BH195:BH202"/>
    <mergeCell ref="BG140:BG141"/>
    <mergeCell ref="BF123:BF124"/>
    <mergeCell ref="AN117:AN118"/>
    <mergeCell ref="BG146:BG148"/>
    <mergeCell ref="AT146:AT148"/>
    <mergeCell ref="AO142:AO144"/>
    <mergeCell ref="AN142:AN144"/>
    <mergeCell ref="AO187:AO190"/>
    <mergeCell ref="BB140:BB141"/>
    <mergeCell ref="AR146:AR148"/>
    <mergeCell ref="BA140:BA141"/>
    <mergeCell ref="AR140:AR141"/>
    <mergeCell ref="AO146:AO148"/>
    <mergeCell ref="AP117:AP118"/>
    <mergeCell ref="AP130:AP131"/>
    <mergeCell ref="AP140:AP141"/>
    <mergeCell ref="AP142:AP144"/>
    <mergeCell ref="AZ146:AZ148"/>
    <mergeCell ref="BF140:BF141"/>
    <mergeCell ref="AN146:AN148"/>
    <mergeCell ref="BE132:BE134"/>
    <mergeCell ref="BE135:BE137"/>
    <mergeCell ref="BE140:BE141"/>
    <mergeCell ref="BA146:BA148"/>
    <mergeCell ref="BC142:BC144"/>
    <mergeCell ref="BA142:BA144"/>
    <mergeCell ref="BF176:BF177"/>
    <mergeCell ref="AU146:AU148"/>
    <mergeCell ref="AS187:AS190"/>
    <mergeCell ref="BE187:BE194"/>
    <mergeCell ref="BD191:BD194"/>
    <mergeCell ref="AS93:AS94"/>
    <mergeCell ref="AH99:AH100"/>
    <mergeCell ref="AI99:AI100"/>
    <mergeCell ref="AJ99:AJ100"/>
    <mergeCell ref="AK99:AK100"/>
    <mergeCell ref="BH185:BH186"/>
    <mergeCell ref="BE183:BE184"/>
    <mergeCell ref="BE185:BE186"/>
    <mergeCell ref="AT187:AT190"/>
    <mergeCell ref="BB191:BB194"/>
    <mergeCell ref="AY199:AY202"/>
    <mergeCell ref="AX195:AX198"/>
    <mergeCell ref="BE181:BE182"/>
    <mergeCell ref="AW187:AW190"/>
    <mergeCell ref="AX187:AX190"/>
    <mergeCell ref="AY187:AY190"/>
    <mergeCell ref="BH142:BH144"/>
    <mergeCell ref="BE146:BE148"/>
    <mergeCell ref="BF142:BF144"/>
    <mergeCell ref="BG142:BG144"/>
    <mergeCell ref="AX146:AX148"/>
    <mergeCell ref="BD146:BD148"/>
    <mergeCell ref="AW146:AW148"/>
    <mergeCell ref="BB146:BB148"/>
    <mergeCell ref="BB142:BB144"/>
    <mergeCell ref="AV146:AV148"/>
    <mergeCell ref="AY146:AY148"/>
    <mergeCell ref="BD142:BD144"/>
    <mergeCell ref="BH167:BH168"/>
    <mergeCell ref="BH179:BH180"/>
    <mergeCell ref="AU195:AU198"/>
    <mergeCell ref="BG130:BG131"/>
    <mergeCell ref="AN90:AN91"/>
    <mergeCell ref="AG90:AG91"/>
    <mergeCell ref="AA101:AA102"/>
    <mergeCell ref="AO74:AO75"/>
    <mergeCell ref="AX67:AX68"/>
    <mergeCell ref="BH95:BH98"/>
    <mergeCell ref="AY74:AY75"/>
    <mergeCell ref="AV74:AV75"/>
    <mergeCell ref="AX74:AX75"/>
    <mergeCell ref="BA74:BA75"/>
    <mergeCell ref="BD93:BD94"/>
    <mergeCell ref="AU74:AU75"/>
    <mergeCell ref="AR74:AR75"/>
    <mergeCell ref="AO95:AO98"/>
    <mergeCell ref="AG74:AG75"/>
    <mergeCell ref="AG93:AG94"/>
    <mergeCell ref="AG95:AG98"/>
    <mergeCell ref="AP93:AP94"/>
    <mergeCell ref="AQ93:AQ94"/>
    <mergeCell ref="AP95:AP98"/>
    <mergeCell ref="AQ95:AQ98"/>
    <mergeCell ref="AP99:AP100"/>
    <mergeCell ref="AQ99:AQ100"/>
    <mergeCell ref="BD74:BD75"/>
    <mergeCell ref="AM74:AM75"/>
    <mergeCell ref="BG95:BG98"/>
    <mergeCell ref="BF99:BF100"/>
    <mergeCell ref="BG99:BG100"/>
    <mergeCell ref="BE95:BE98"/>
    <mergeCell ref="BE99:BE100"/>
    <mergeCell ref="AZ93:AZ94"/>
    <mergeCell ref="AX93:AX94"/>
    <mergeCell ref="AI30:AI33"/>
    <mergeCell ref="AI37:AI40"/>
    <mergeCell ref="AI41:AI44"/>
    <mergeCell ref="AI48:AI49"/>
    <mergeCell ref="BG101:BG102"/>
    <mergeCell ref="BF90:BF91"/>
    <mergeCell ref="BB99:BB100"/>
    <mergeCell ref="BC93:BC94"/>
    <mergeCell ref="AA117:AA118"/>
    <mergeCell ref="AF117:AF118"/>
    <mergeCell ref="AA99:AA100"/>
    <mergeCell ref="AT93:AT94"/>
    <mergeCell ref="AU93:AU94"/>
    <mergeCell ref="AZ61:AZ62"/>
    <mergeCell ref="BA93:BA94"/>
    <mergeCell ref="BA95:BA98"/>
    <mergeCell ref="BA99:BA100"/>
    <mergeCell ref="AL95:AL98"/>
    <mergeCell ref="AU101:AU102"/>
    <mergeCell ref="AM99:AM100"/>
    <mergeCell ref="AN99:AN100"/>
    <mergeCell ref="AZ95:AZ98"/>
    <mergeCell ref="AO99:AO100"/>
    <mergeCell ref="AO93:AO94"/>
    <mergeCell ref="AZ101:AZ102"/>
    <mergeCell ref="AR101:AR102"/>
    <mergeCell ref="AU95:AU98"/>
    <mergeCell ref="AR95:AR98"/>
    <mergeCell ref="BA117:BA118"/>
    <mergeCell ref="AI93:AI94"/>
    <mergeCell ref="AI95:AI98"/>
    <mergeCell ref="BA67:BA68"/>
    <mergeCell ref="AH15:AH20"/>
    <mergeCell ref="AH21:AH26"/>
    <mergeCell ref="AH27:AH29"/>
    <mergeCell ref="AH30:AH33"/>
    <mergeCell ref="AH37:AH40"/>
    <mergeCell ref="AH41:AH44"/>
    <mergeCell ref="AH48:AH49"/>
    <mergeCell ref="AH50:AH51"/>
    <mergeCell ref="AH56:AH57"/>
    <mergeCell ref="AH61:AH62"/>
    <mergeCell ref="AH63:AH64"/>
    <mergeCell ref="AH65:AH66"/>
    <mergeCell ref="AH67:AH68"/>
    <mergeCell ref="AH74:AH75"/>
    <mergeCell ref="AH90:AH91"/>
    <mergeCell ref="AH93:AH94"/>
    <mergeCell ref="AH95:AH98"/>
    <mergeCell ref="AI207:AI208"/>
    <mergeCell ref="AI209:AI210"/>
    <mergeCell ref="AI211:AI212"/>
    <mergeCell ref="AI213:AI216"/>
    <mergeCell ref="AI217:AI220"/>
    <mergeCell ref="AI221:AI224"/>
    <mergeCell ref="AJ191:AJ194"/>
    <mergeCell ref="AJ195:AJ198"/>
    <mergeCell ref="AJ199:AJ202"/>
    <mergeCell ref="AJ205:AJ206"/>
    <mergeCell ref="AJ207:AJ208"/>
    <mergeCell ref="AJ209:AJ210"/>
    <mergeCell ref="AJ211:AJ212"/>
    <mergeCell ref="AJ213:AJ216"/>
    <mergeCell ref="AJ217:AJ220"/>
    <mergeCell ref="AJ221:AJ224"/>
    <mergeCell ref="AI101:AI102"/>
    <mergeCell ref="AI117:AI118"/>
    <mergeCell ref="AI130:AI131"/>
    <mergeCell ref="AI140:AI141"/>
    <mergeCell ref="AI142:AI144"/>
    <mergeCell ref="AI146:AI148"/>
    <mergeCell ref="AI187:AI190"/>
    <mergeCell ref="AI191:AI194"/>
    <mergeCell ref="AH205:AH206"/>
    <mergeCell ref="AH207:AH208"/>
    <mergeCell ref="AH209:AH210"/>
    <mergeCell ref="AH211:AH212"/>
    <mergeCell ref="AH213:AH216"/>
    <mergeCell ref="AH217:AH220"/>
    <mergeCell ref="AH221:AH224"/>
    <mergeCell ref="AJ15:AJ20"/>
    <mergeCell ref="AJ21:AJ26"/>
    <mergeCell ref="AJ27:AJ29"/>
    <mergeCell ref="AJ30:AJ33"/>
    <mergeCell ref="AJ37:AJ40"/>
    <mergeCell ref="AJ41:AJ44"/>
    <mergeCell ref="AJ48:AJ49"/>
    <mergeCell ref="AJ50:AJ51"/>
    <mergeCell ref="AJ56:AJ57"/>
    <mergeCell ref="AJ61:AJ62"/>
    <mergeCell ref="AJ63:AJ64"/>
    <mergeCell ref="AJ65:AJ66"/>
    <mergeCell ref="AJ67:AJ68"/>
    <mergeCell ref="AJ74:AJ75"/>
    <mergeCell ref="AJ90:AJ91"/>
    <mergeCell ref="AJ93:AJ94"/>
    <mergeCell ref="AJ95:AJ98"/>
    <mergeCell ref="AI50:AI51"/>
    <mergeCell ref="AI56:AI57"/>
    <mergeCell ref="AI61:AI62"/>
    <mergeCell ref="AI63:AI64"/>
    <mergeCell ref="AI65:AI66"/>
    <mergeCell ref="AI67:AI68"/>
    <mergeCell ref="AI74:AI75"/>
    <mergeCell ref="AI90:AI91"/>
    <mergeCell ref="AK15:AK20"/>
    <mergeCell ref="AK21:AK26"/>
    <mergeCell ref="AK27:AK29"/>
    <mergeCell ref="AK30:AK33"/>
    <mergeCell ref="AK37:AK40"/>
    <mergeCell ref="AK41:AK44"/>
    <mergeCell ref="AK48:AK49"/>
    <mergeCell ref="AK50:AK51"/>
    <mergeCell ref="AK56:AK57"/>
    <mergeCell ref="AK61:AK62"/>
    <mergeCell ref="AK63:AK64"/>
    <mergeCell ref="AK65:AK66"/>
    <mergeCell ref="AK67:AK68"/>
    <mergeCell ref="AK74:AK75"/>
    <mergeCell ref="AK90:AK91"/>
    <mergeCell ref="AK93:AK94"/>
    <mergeCell ref="AK95:AK98"/>
    <mergeCell ref="AF121:AF122"/>
    <mergeCell ref="AG121:AG122"/>
    <mergeCell ref="AH121:AH122"/>
    <mergeCell ref="AI121:AI122"/>
    <mergeCell ref="AJ121:AJ122"/>
    <mergeCell ref="AK121:AK122"/>
    <mergeCell ref="AK225:AK228"/>
    <mergeCell ref="AK101:AK102"/>
    <mergeCell ref="AK117:AK118"/>
    <mergeCell ref="AK130:AK131"/>
    <mergeCell ref="AK140:AK141"/>
    <mergeCell ref="AK142:AK144"/>
    <mergeCell ref="AK146:AK148"/>
    <mergeCell ref="AK187:AK190"/>
    <mergeCell ref="AK191:AK194"/>
    <mergeCell ref="AK195:AK198"/>
    <mergeCell ref="AK199:AK202"/>
    <mergeCell ref="AK205:AK206"/>
    <mergeCell ref="AK207:AK208"/>
    <mergeCell ref="AK209:AK210"/>
    <mergeCell ref="AK211:AK212"/>
    <mergeCell ref="AK213:AK216"/>
    <mergeCell ref="AK217:AK220"/>
    <mergeCell ref="AK221:AK224"/>
    <mergeCell ref="AJ101:AJ102"/>
    <mergeCell ref="AJ117:AJ118"/>
    <mergeCell ref="AJ130:AJ131"/>
    <mergeCell ref="AJ140:AJ141"/>
    <mergeCell ref="AJ142:AJ144"/>
    <mergeCell ref="AJ146:AJ148"/>
    <mergeCell ref="AJ187:AJ190"/>
    <mergeCell ref="AI205:AI206"/>
    <mergeCell ref="AL121:AL122"/>
    <mergeCell ref="S121:S122"/>
    <mergeCell ref="S123:S124"/>
    <mergeCell ref="AM121:AM122"/>
    <mergeCell ref="AM123:AM124"/>
    <mergeCell ref="AN121:AN122"/>
    <mergeCell ref="AN123:AN124"/>
    <mergeCell ref="V123:V124"/>
    <mergeCell ref="W123:W124"/>
    <mergeCell ref="X123:X124"/>
    <mergeCell ref="Z123:Z124"/>
    <mergeCell ref="AA123:AA124"/>
    <mergeCell ref="AB123:AB124"/>
    <mergeCell ref="AC123:AC124"/>
    <mergeCell ref="AD123:AD124"/>
    <mergeCell ref="AE123:AE124"/>
    <mergeCell ref="AF123:AF124"/>
    <mergeCell ref="AG123:AG124"/>
    <mergeCell ref="AH123:AH124"/>
    <mergeCell ref="AI123:AI124"/>
    <mergeCell ref="AJ123:AJ124"/>
    <mergeCell ref="AK123:AK124"/>
    <mergeCell ref="AL123:AL124"/>
    <mergeCell ref="T121:T122"/>
    <mergeCell ref="V121:V122"/>
    <mergeCell ref="W121:W122"/>
    <mergeCell ref="X121:X122"/>
    <mergeCell ref="Z121:Z122"/>
    <mergeCell ref="AA121:AA122"/>
    <mergeCell ref="AB121:AB122"/>
    <mergeCell ref="AC121:AC122"/>
    <mergeCell ref="AD121:AD122"/>
  </mergeCells>
  <phoneticPr fontId="30" type="noConversion"/>
  <conditionalFormatting sqref="C8:Q8 C14:Q14 R181:R182 AF127 C47:Q47">
    <cfRule type="containsText" dxfId="812" priority="6345" operator="containsText" text="S">
      <formula>NOT(ISERROR(SEARCH("S",C8)))</formula>
    </cfRule>
  </conditionalFormatting>
  <conditionalFormatting sqref="C52:Q52 R65:S65 R67:S67 S139 U139:V139 S146:S150 U185:V185 R41:S44 R103:BD103 R156">
    <cfRule type="containsText" dxfId="811" priority="378" operator="containsText" text="N">
      <formula>NOT(ISERROR(SEARCH("N",C41)))</formula>
    </cfRule>
  </conditionalFormatting>
  <conditionalFormatting sqref="C85:R85 AL7:BD21 R7:U32 AG7:AK32 W10:AF29 V14:V29">
    <cfRule type="containsText" dxfId="810" priority="28" operator="containsText" text="S">
      <formula>NOT(ISERROR(SEARCH("S",C7)))</formula>
    </cfRule>
  </conditionalFormatting>
  <conditionalFormatting sqref="C178:R178">
    <cfRule type="containsText" dxfId="809" priority="2037" operator="containsText" text="N">
      <formula>NOT(ISERROR(SEARCH("N",C178)))</formula>
    </cfRule>
    <cfRule type="containsText" dxfId="808" priority="2038" operator="containsText" text="S">
      <formula>NOT(ISERROR(SEARCH("S",C178)))</formula>
    </cfRule>
  </conditionalFormatting>
  <conditionalFormatting sqref="C126:AF126">
    <cfRule type="containsText" dxfId="807" priority="349" operator="containsText" text="N">
      <formula>NOT(ISERROR(SEARCH("N",C126)))</formula>
    </cfRule>
  </conditionalFormatting>
  <conditionalFormatting sqref="R74 R103:BD103">
    <cfRule type="containsText" dxfId="790" priority="3672" operator="containsText" text="S">
      <formula>NOT(ISERROR(SEARCH("S",R74)))</formula>
    </cfRule>
  </conditionalFormatting>
  <conditionalFormatting sqref="R93">
    <cfRule type="containsText" dxfId="789" priority="3699" operator="containsText" text="N">
      <formula>NOT(ISERROR(SEARCH("N",R93)))</formula>
    </cfRule>
    <cfRule type="containsText" dxfId="788" priority="3700" operator="containsText" text="S">
      <formula>NOT(ISERROR(SEARCH("S",R93)))</formula>
    </cfRule>
  </conditionalFormatting>
  <conditionalFormatting sqref="R125 R156">
    <cfRule type="containsText" dxfId="787" priority="3349" operator="containsText" text="N">
      <formula>NOT(ISERROR(SEARCH("N",R125)))</formula>
    </cfRule>
    <cfRule type="containsText" dxfId="786" priority="3350" operator="containsText" text="S">
      <formula>NOT(ISERROR(SEARCH("S",R125)))</formula>
    </cfRule>
  </conditionalFormatting>
  <conditionalFormatting sqref="R129 T36 T47">
    <cfRule type="containsText" dxfId="785" priority="1120" operator="containsText" text="N">
      <formula>NOT(ISERROR(SEARCH("N",R36)))</formula>
    </cfRule>
  </conditionalFormatting>
  <conditionalFormatting sqref="R138:R139 C175:R175 C87:Q87 C47:Q47 C8:Q8 C14:Q14">
    <cfRule type="containsText" dxfId="784" priority="2933" operator="containsText" text="N">
      <formula>NOT(ISERROR(SEARCH("N",C8)))</formula>
    </cfRule>
  </conditionalFormatting>
  <conditionalFormatting sqref="R139">
    <cfRule type="containsText" dxfId="783" priority="6763" operator="containsText" text="S">
      <formula>NOT(ISERROR(SEARCH("S",R139)))</formula>
    </cfRule>
  </conditionalFormatting>
  <conditionalFormatting sqref="R146">
    <cfRule type="containsText" dxfId="782" priority="3115" operator="containsText" text="N">
      <formula>NOT(ISERROR(SEARCH("N",R146)))</formula>
    </cfRule>
    <cfRule type="containsText" dxfId="781" priority="3116" operator="containsText" text="S">
      <formula>NOT(ISERROR(SEARCH("S",R146)))</formula>
    </cfRule>
  </conditionalFormatting>
  <conditionalFormatting sqref="R153">
    <cfRule type="containsText" dxfId="780" priority="3262" operator="containsText" text="S">
      <formula>NOT(ISERROR(SEARCH("S",R153)))</formula>
    </cfRule>
  </conditionalFormatting>
  <conditionalFormatting sqref="R158:R166">
    <cfRule type="containsText" dxfId="779" priority="820" operator="containsText" text="N">
      <formula>NOT(ISERROR(SEARCH("N",R158)))</formula>
    </cfRule>
  </conditionalFormatting>
  <conditionalFormatting sqref="R160:R168 AM106:AO116 AR106:BD116 C175:R175 AL157:AO157 AL158:AM168 AM158:AM171 AM178:AN179 AM180:AM188 R47:R51 Z180:AF180 AL119:AO120 AR119:BD125 AO121:AO124 AG120:AK120 AG125:AO125 AO178:AO188 AN180:AN186">
    <cfRule type="containsText" dxfId="778" priority="4209" operator="containsText" text="S">
      <formula>NOT(ISERROR(SEARCH("S",C47)))</formula>
    </cfRule>
  </conditionalFormatting>
  <conditionalFormatting sqref="R168:R174">
    <cfRule type="containsText" dxfId="777" priority="911" operator="containsText" text="N">
      <formula>NOT(ISERROR(SEARCH("N",R168)))</formula>
    </cfRule>
  </conditionalFormatting>
  <conditionalFormatting sqref="R169:R173">
    <cfRule type="containsText" dxfId="776" priority="914" operator="containsText" text="S">
      <formula>NOT(ISERROR(SEARCH("S",R169)))</formula>
    </cfRule>
  </conditionalFormatting>
  <conditionalFormatting sqref="R169:R175 R92:T94 U92:BD95 Q95:T95 R103:BD116 R132:Y151 AL172:AO175 R59:BD89 R41:S44 R47:BD56 R119:BD120 S121 S123 R125:BD129 U157:AK188 AL22:AP26 AR22:BD26 AL27:BD30 AL31:AP32 AR31:BD32 R36:X36 Y36:BD37 R37:T37 V37:X37 AL41:BD41 W41:AK44 AL42:AP44 AM121 AO121:BD124 AM123 R153:BD155 R157:T157 AM157:BD157 AL157:AM171 AL176:AL177 AL178:AM188 AP169:AP175">
    <cfRule type="beginsWith" dxfId="775" priority="913" operator="beginsWith" text="?">
      <formula>LEFT(Q22,LEN("?"))="?"</formula>
    </cfRule>
  </conditionalFormatting>
  <conditionalFormatting sqref="R173:R174">
    <cfRule type="containsText" dxfId="774" priority="903" operator="containsText" text="N">
      <formula>NOT(ISERROR(SEARCH("N",R173)))</formula>
    </cfRule>
    <cfRule type="containsText" dxfId="773" priority="904" operator="containsText" text="S">
      <formula>NOT(ISERROR(SEARCH("S",R173)))</formula>
    </cfRule>
    <cfRule type="containsText" dxfId="772" priority="906" operator="containsText" text="N">
      <formula>NOT(ISERROR(SEARCH("N",R173)))</formula>
    </cfRule>
    <cfRule type="containsText" dxfId="771" priority="907" operator="containsText" text="S">
      <formula>NOT(ISERROR(SEARCH("S",R173)))</formula>
    </cfRule>
    <cfRule type="beginsWith" dxfId="770" priority="909" operator="beginsWith" text="?">
      <formula>LEFT(R173,LEN("?"))="?"</formula>
    </cfRule>
  </conditionalFormatting>
  <conditionalFormatting sqref="R176:R177">
    <cfRule type="containsText" dxfId="769" priority="853" operator="containsText" text="N">
      <formula>NOT(ISERROR(SEARCH("N",R176)))</formula>
    </cfRule>
    <cfRule type="containsText" dxfId="768" priority="858" operator="containsText" text="S">
      <formula>NOT(ISERROR(SEARCH("S",R176)))</formula>
    </cfRule>
  </conditionalFormatting>
  <conditionalFormatting sqref="R176:R181">
    <cfRule type="beginsWith" dxfId="767" priority="822" operator="beginsWith" text="?">
      <formula>LEFT(R176,LEN("?"))="?"</formula>
    </cfRule>
  </conditionalFormatting>
  <conditionalFormatting sqref="R179:R180">
    <cfRule type="containsText" dxfId="766" priority="1098" operator="containsText" text="N">
      <formula>NOT(ISERROR(SEARCH("N",R179)))</formula>
    </cfRule>
  </conditionalFormatting>
  <conditionalFormatting sqref="R179:R182">
    <cfRule type="containsText" dxfId="765" priority="1099" operator="containsText" text="S">
      <formula>NOT(ISERROR(SEARCH("S",R179)))</formula>
    </cfRule>
  </conditionalFormatting>
  <conditionalFormatting sqref="R181 R186 R166:R167 AM41:AQ41 AR41:BD44 AM42:AP44 R47:R51 AM47:AP51 AR47:BD51 AP48:AQ51 AN56:BD56 W172:AF172 Z180:AF180 R41:S44 AP181 AP166:AP167 AP186">
    <cfRule type="containsText" dxfId="764" priority="2577" operator="containsText" text="N">
      <formula>NOT(ISERROR(SEARCH("N",R41)))</formula>
    </cfRule>
  </conditionalFormatting>
  <conditionalFormatting sqref="R181:R182">
    <cfRule type="containsText" dxfId="763" priority="2303" operator="containsText" text="N">
      <formula>NOT(ISERROR(SEARCH("N",R181)))</formula>
    </cfRule>
    <cfRule type="containsText" dxfId="762" priority="2304" operator="containsText" text="S">
      <formula>NOT(ISERROR(SEARCH("S",R181)))</formula>
    </cfRule>
  </conditionalFormatting>
  <conditionalFormatting sqref="R181:R184">
    <cfRule type="containsText" dxfId="761" priority="2217" operator="containsText" text="N">
      <formula>NOT(ISERROR(SEARCH("N",R181)))</formula>
    </cfRule>
  </conditionalFormatting>
  <conditionalFormatting sqref="R181:R186">
    <cfRule type="containsText" dxfId="760" priority="2222" operator="containsText" text="S">
      <formula>NOT(ISERROR(SEARCH("S",R181)))</formula>
    </cfRule>
  </conditionalFormatting>
  <conditionalFormatting sqref="R182">
    <cfRule type="containsText" dxfId="759" priority="4208" operator="containsText" text="N">
      <formula>NOT(ISERROR(SEARCH("N",R182)))</formula>
    </cfRule>
  </conditionalFormatting>
  <conditionalFormatting sqref="R183:R184">
    <cfRule type="beginsWith" dxfId="758" priority="2185" operator="beginsWith" text="?">
      <formula>LEFT(R183,LEN("?"))="?"</formula>
    </cfRule>
  </conditionalFormatting>
  <conditionalFormatting sqref="R185:R186 R182 R125 R156">
    <cfRule type="beginsWith" dxfId="757" priority="3348" operator="beginsWith" text="?">
      <formula>LEFT(R125,LEN("?"))="?"</formula>
    </cfRule>
  </conditionalFormatting>
  <conditionalFormatting sqref="R185:R186">
    <cfRule type="containsText" dxfId="756" priority="2286" operator="containsText" text="N">
      <formula>NOT(ISERROR(SEARCH("N",R185)))</formula>
    </cfRule>
    <cfRule type="containsText" dxfId="755" priority="2287" operator="containsText" text="S">
      <formula>NOT(ISERROR(SEARCH("S",R185)))</formula>
    </cfRule>
  </conditionalFormatting>
  <conditionalFormatting sqref="R41:S44 C52:Q52 R65:S65 R67:S67 S139 U139:V139 S146:S150 R156 U185:V185 T145:T150 S53 R54:BD55 AP65:AQ65 AP67:AQ67 R119:S120 S121 S123 R129 S129:S130 R132:R150">
    <cfRule type="containsText" dxfId="754" priority="379" operator="containsText" text="S">
      <formula>NOT(ISERROR(SEARCH("S",C41)))</formula>
    </cfRule>
  </conditionalFormatting>
  <conditionalFormatting sqref="R41:S44">
    <cfRule type="containsText" dxfId="753" priority="4115" operator="containsText" text="S">
      <formula>NOT(ISERROR(SEARCH("S",R41)))</formula>
    </cfRule>
  </conditionalFormatting>
  <conditionalFormatting sqref="R61:S61 R63:T63 S65:T65 S67">
    <cfRule type="containsText" dxfId="752" priority="1415" operator="containsText" text="S">
      <formula>NOT(ISERROR(SEARCH("S",R61)))</formula>
    </cfRule>
  </conditionalFormatting>
  <conditionalFormatting sqref="R61:S61 S63 S65 S67">
    <cfRule type="containsText" dxfId="751" priority="1414" operator="containsText" text="N">
      <formula>NOT(ISERROR(SEARCH("N",R61)))</formula>
    </cfRule>
  </conditionalFormatting>
  <conditionalFormatting sqref="R77:S84">
    <cfRule type="containsText" dxfId="750" priority="3120" operator="containsText" text="N">
      <formula>NOT(ISERROR(SEARCH("N",R77)))</formula>
    </cfRule>
  </conditionalFormatting>
  <conditionalFormatting sqref="R86:S86">
    <cfRule type="containsText" dxfId="749" priority="21" operator="containsText" text="N">
      <formula>NOT(ISERROR(SEARCH("N",R86)))</formula>
    </cfRule>
  </conditionalFormatting>
  <conditionalFormatting sqref="R138:S138">
    <cfRule type="beginsWith" dxfId="748" priority="2884" operator="beginsWith" text="?">
      <formula>LEFT(R138,LEN("?"))="?"</formula>
    </cfRule>
  </conditionalFormatting>
  <conditionalFormatting sqref="R150:S150 S90:S102 S104:S105 AQ90:AQ92 R152:S152 R158:R159">
    <cfRule type="beginsWith" dxfId="747" priority="816" operator="beginsWith" text="?">
      <formula>LEFT(R90,LEN("?"))="?"</formula>
    </cfRule>
  </conditionalFormatting>
  <conditionalFormatting sqref="R203:S208">
    <cfRule type="containsText" dxfId="746" priority="508" operator="containsText" text="S">
      <formula>NOT(ISERROR(SEARCH("S",R203)))</formula>
    </cfRule>
    <cfRule type="containsText" dxfId="745" priority="509" operator="containsText" text="N">
      <formula>NOT(ISERROR(SEARCH("N",R203)))</formula>
    </cfRule>
  </conditionalFormatting>
  <conditionalFormatting sqref="R69:T72">
    <cfRule type="containsText" dxfId="744" priority="395" operator="containsText" text="N">
      <formula>NOT(ISERROR(SEARCH("N",R69)))</formula>
    </cfRule>
    <cfRule type="containsText" dxfId="743" priority="396" operator="containsText" text="S">
      <formula>NOT(ISERROR(SEARCH("S",R69)))</formula>
    </cfRule>
  </conditionalFormatting>
  <conditionalFormatting sqref="R176:T177">
    <cfRule type="containsText" dxfId="742" priority="802" operator="containsText" text="S">
      <formula>NOT(ISERROR(SEARCH("S",R176)))</formula>
    </cfRule>
  </conditionalFormatting>
  <conditionalFormatting sqref="R105:AG105">
    <cfRule type="containsText" dxfId="741" priority="934" operator="containsText" text="S">
      <formula>NOT(ISERROR(SEARCH("S",R105)))</formula>
    </cfRule>
  </conditionalFormatting>
  <conditionalFormatting sqref="R9:AK32 R166:R168 AL9:BD21">
    <cfRule type="beginsWith" dxfId="740" priority="3449" operator="beginsWith" text="?">
      <formula>LEFT(R9,LEN("?"))="?"</formula>
    </cfRule>
  </conditionalFormatting>
  <conditionalFormatting sqref="R34:AP35 AR34:BD35">
    <cfRule type="containsText" dxfId="739" priority="57" operator="containsText" text="N">
      <formula>NOT(ISERROR(SEARCH("N",R34)))</formula>
    </cfRule>
    <cfRule type="beginsWith" dxfId="738" priority="58" operator="beginsWith" text="?">
      <formula>LEFT(R34,LEN("?"))="?"</formula>
    </cfRule>
    <cfRule type="containsText" dxfId="737" priority="59" operator="containsText" text="S">
      <formula>NOT(ISERROR(SEARCH("S",R34)))</formula>
    </cfRule>
  </conditionalFormatting>
  <conditionalFormatting sqref="R45:AP46 AR45:BD46">
    <cfRule type="containsText" dxfId="736" priority="43" operator="containsText" text="N">
      <formula>NOT(ISERROR(SEARCH("N",R45)))</formula>
    </cfRule>
  </conditionalFormatting>
  <conditionalFormatting sqref="R58:BD58">
    <cfRule type="beginsWith" dxfId="735" priority="2" operator="beginsWith" text="?">
      <formula>LEFT(R58,LEN("?"))="?"</formula>
    </cfRule>
    <cfRule type="containsText" dxfId="734" priority="3" operator="containsText" text="S">
      <formula>NOT(ISERROR(SEARCH("S",R58)))</formula>
    </cfRule>
  </conditionalFormatting>
  <conditionalFormatting sqref="R58:BD59">
    <cfRule type="containsText" dxfId="733" priority="1" operator="containsText" text="N">
      <formula>NOT(ISERROR(SEARCH("N",R58)))</formula>
    </cfRule>
  </conditionalFormatting>
  <conditionalFormatting sqref="R92:BD95">
    <cfRule type="containsText" dxfId="732" priority="953" operator="containsText" text="S">
      <formula>NOT(ISERROR(SEARCH("S",R92)))</formula>
    </cfRule>
  </conditionalFormatting>
  <conditionalFormatting sqref="S61 S63 S65 S67">
    <cfRule type="containsText" dxfId="731" priority="1411" operator="containsText" text="S">
      <formula>NOT(ISERROR(SEARCH("S",S61)))</formula>
    </cfRule>
    <cfRule type="containsText" dxfId="730" priority="1412" operator="containsText" text="N">
      <formula>NOT(ISERROR(SEARCH("N",S61)))</formula>
    </cfRule>
    <cfRule type="containsText" dxfId="729" priority="1413" operator="containsText" text="S">
      <formula>NOT(ISERROR(SEARCH("S",S61)))</formula>
    </cfRule>
  </conditionalFormatting>
  <conditionalFormatting sqref="S67">
    <cfRule type="containsText" dxfId="728" priority="2978" operator="containsText" text="N">
      <formula>NOT(ISERROR(SEARCH("N",S67)))</formula>
    </cfRule>
    <cfRule type="containsText" dxfId="727" priority="2979" operator="containsText" text="S">
      <formula>NOT(ISERROR(SEARCH("S",S67)))</formula>
    </cfRule>
    <cfRule type="containsText" dxfId="726" priority="3077" operator="containsText" text="N">
      <formula>NOT(ISERROR(SEARCH("N",S67)))</formula>
    </cfRule>
  </conditionalFormatting>
  <conditionalFormatting sqref="S69:S72">
    <cfRule type="containsText" dxfId="725" priority="393" operator="containsText" text="N">
      <formula>NOT(ISERROR(SEARCH("N",S69)))</formula>
    </cfRule>
    <cfRule type="containsText" dxfId="724" priority="394" operator="containsText" text="S">
      <formula>NOT(ISERROR(SEARCH("S",S69)))</formula>
    </cfRule>
  </conditionalFormatting>
  <conditionalFormatting sqref="S77 S79 S81 S83">
    <cfRule type="containsText" dxfId="723" priority="3123" operator="containsText" text="S">
      <formula>NOT(ISERROR(SEARCH("S",S77)))</formula>
    </cfRule>
  </conditionalFormatting>
  <conditionalFormatting sqref="S78">
    <cfRule type="containsText" dxfId="722" priority="995" operator="containsText" text="S">
      <formula>NOT(ISERROR(SEARCH("S",S78)))</formula>
    </cfRule>
  </conditionalFormatting>
  <conditionalFormatting sqref="S80">
    <cfRule type="containsText" dxfId="721" priority="991" operator="containsText" text="S">
      <formula>NOT(ISERROR(SEARCH("S",S80)))</formula>
    </cfRule>
  </conditionalFormatting>
  <conditionalFormatting sqref="S82">
    <cfRule type="containsText" dxfId="720" priority="987" operator="containsText" text="S">
      <formula>NOT(ISERROR(SEARCH("S",S82)))</formula>
    </cfRule>
  </conditionalFormatting>
  <conditionalFormatting sqref="S84">
    <cfRule type="containsText" dxfId="719" priority="986" operator="containsText" text="S">
      <formula>NOT(ISERROR(SEARCH("S",S84)))</formula>
    </cfRule>
  </conditionalFormatting>
  <conditionalFormatting sqref="S86">
    <cfRule type="containsText" dxfId="718" priority="20" operator="containsText" text="S">
      <formula>NOT(ISERROR(SEARCH("S",S86)))</formula>
    </cfRule>
  </conditionalFormatting>
  <conditionalFormatting sqref="S88">
    <cfRule type="containsText" dxfId="717" priority="2658" operator="containsText" text="N">
      <formula>NOT(ISERROR(SEARCH("N",S88)))</formula>
    </cfRule>
    <cfRule type="containsText" dxfId="716" priority="2659" operator="containsText" text="S">
      <formula>NOT(ISERROR(SEARCH("S",S88)))</formula>
    </cfRule>
  </conditionalFormatting>
  <conditionalFormatting sqref="S88:S90">
    <cfRule type="containsText" dxfId="715" priority="2646" operator="containsText" text="N">
      <formula>NOT(ISERROR(SEARCH("N",S88)))</formula>
    </cfRule>
    <cfRule type="containsText" dxfId="714" priority="2647" operator="containsText" text="S">
      <formula>NOT(ISERROR(SEARCH("S",S88)))</formula>
    </cfRule>
  </conditionalFormatting>
  <conditionalFormatting sqref="S99:S100">
    <cfRule type="beginsWith" dxfId="713" priority="2585" operator="beginsWith" text="?">
      <formula>LEFT(S99,LEN("?"))="?"</formula>
    </cfRule>
    <cfRule type="containsText" dxfId="712" priority="2586" operator="containsText" text="N">
      <formula>NOT(ISERROR(SEARCH("N",S99)))</formula>
    </cfRule>
    <cfRule type="containsText" dxfId="711" priority="2588" operator="containsText" text="S">
      <formula>NOT(ISERROR(SEARCH("S",S99)))</formula>
    </cfRule>
  </conditionalFormatting>
  <conditionalFormatting sqref="S105">
    <cfRule type="containsText" dxfId="710" priority="933" operator="containsText" text="N">
      <formula>NOT(ISERROR(SEARCH("N",S105)))</formula>
    </cfRule>
  </conditionalFormatting>
  <conditionalFormatting sqref="S106:S108">
    <cfRule type="beginsWith" dxfId="709" priority="2643" operator="beginsWith" text="?">
      <formula>LEFT(S106,LEN("?"))="?"</formula>
    </cfRule>
    <cfRule type="containsText" dxfId="708" priority="2644" operator="containsText" text="N">
      <formula>NOT(ISERROR(SEARCH("N",S106)))</formula>
    </cfRule>
    <cfRule type="containsText" dxfId="707" priority="2645" operator="containsText" text="S">
      <formula>NOT(ISERROR(SEARCH("S",S106)))</formula>
    </cfRule>
  </conditionalFormatting>
  <conditionalFormatting sqref="S117">
    <cfRule type="containsText" dxfId="706" priority="2498" operator="containsText" text="N">
      <formula>NOT(ISERROR(SEARCH("N",S117)))</formula>
    </cfRule>
    <cfRule type="containsText" dxfId="705" priority="2499" operator="containsText" text="S">
      <formula>NOT(ISERROR(SEARCH("S",S117)))</formula>
    </cfRule>
  </conditionalFormatting>
  <conditionalFormatting sqref="S117:S118">
    <cfRule type="beginsWith" dxfId="704" priority="2486" operator="beginsWith" text="?">
      <formula>LEFT(S117,LEN("?"))="?"</formula>
    </cfRule>
    <cfRule type="containsText" dxfId="703" priority="2487" operator="containsText" text="N">
      <formula>NOT(ISERROR(SEARCH("N",S117)))</formula>
    </cfRule>
    <cfRule type="containsText" dxfId="702" priority="2488" operator="containsText" text="S">
      <formula>NOT(ISERROR(SEARCH("S",S117)))</formula>
    </cfRule>
  </conditionalFormatting>
  <conditionalFormatting sqref="S130">
    <cfRule type="beginsWith" dxfId="701" priority="2616" operator="beginsWith" text="?">
      <formula>LEFT(S130,LEN("?"))="?"</formula>
    </cfRule>
  </conditionalFormatting>
  <conditionalFormatting sqref="S138">
    <cfRule type="containsText" dxfId="700" priority="2804" operator="containsText" text="N">
      <formula>NOT(ISERROR(SEARCH("N",S138)))</formula>
    </cfRule>
    <cfRule type="containsText" dxfId="699" priority="2805" operator="containsText" text="S">
      <formula>NOT(ISERROR(SEARCH("S",S138)))</formula>
    </cfRule>
    <cfRule type="containsText" dxfId="698" priority="4206" operator="containsText" text="N">
      <formula>NOT(ISERROR(SEARCH("N",S138)))</formula>
    </cfRule>
    <cfRule type="containsText" dxfId="697" priority="4207" operator="containsText" text="S">
      <formula>NOT(ISERROR(SEARCH("S",S138)))</formula>
    </cfRule>
  </conditionalFormatting>
  <conditionalFormatting sqref="S142 AF99:AZ99 AF101:AZ101">
    <cfRule type="beginsWith" dxfId="696" priority="1308" operator="beginsWith" text="?">
      <formula>LEFT(S99,LEN("?"))="?"</formula>
    </cfRule>
  </conditionalFormatting>
  <conditionalFormatting sqref="S145">
    <cfRule type="containsText" dxfId="695" priority="2451" operator="containsText" text="S">
      <formula>NOT(ISERROR(SEARCH("S",S145)))</formula>
    </cfRule>
    <cfRule type="containsText" dxfId="694" priority="5330" operator="containsText" text="N">
      <formula>NOT(ISERROR(SEARCH("N",S145)))</formula>
    </cfRule>
  </conditionalFormatting>
  <conditionalFormatting sqref="S153">
    <cfRule type="containsText" dxfId="693" priority="3951" operator="containsText" text="N">
      <formula>NOT(ISERROR(SEARCH("N",S153)))</formula>
    </cfRule>
    <cfRule type="containsText" dxfId="692" priority="3952" operator="containsText" text="S">
      <formula>NOT(ISERROR(SEARCH("S",S153)))</formula>
    </cfRule>
  </conditionalFormatting>
  <conditionalFormatting sqref="S158:S161">
    <cfRule type="containsText" dxfId="691" priority="772" operator="containsText" text="N">
      <formula>NOT(ISERROR(SEARCH("N",S158)))</formula>
    </cfRule>
    <cfRule type="beginsWith" dxfId="690" priority="775" operator="beginsWith" text="?">
      <formula>LEFT(S158,LEN("?"))="?"</formula>
    </cfRule>
    <cfRule type="containsText" dxfId="689" priority="776" operator="containsText" text="N">
      <formula>NOT(ISERROR(SEARCH("N",S158)))</formula>
    </cfRule>
    <cfRule type="containsText" dxfId="688" priority="777" operator="containsText" text="S">
      <formula>NOT(ISERROR(SEARCH("S",S158)))</formula>
    </cfRule>
  </conditionalFormatting>
  <conditionalFormatting sqref="S158:S162">
    <cfRule type="containsText" dxfId="687" priority="774" operator="containsText" text="N">
      <formula>NOT(ISERROR(SEARCH("N",S158)))</formula>
    </cfRule>
  </conditionalFormatting>
  <conditionalFormatting sqref="S158:S163">
    <cfRule type="containsText" dxfId="686" priority="773" operator="containsText" text="S">
      <formula>NOT(ISERROR(SEARCH("S",S158)))</formula>
    </cfRule>
  </conditionalFormatting>
  <conditionalFormatting sqref="S158:S202">
    <cfRule type="containsText" dxfId="685" priority="684" operator="containsText" text="S">
      <formula>NOT(ISERROR(SEARCH("S",S158)))</formula>
    </cfRule>
    <cfRule type="containsText" dxfId="684" priority="809" operator="containsText" text="N">
      <formula>NOT(ISERROR(SEARCH("N",S158)))</formula>
    </cfRule>
  </conditionalFormatting>
  <conditionalFormatting sqref="S160">
    <cfRule type="beginsWith" dxfId="683" priority="749" operator="beginsWith" text="?">
      <formula>LEFT(S160,LEN("?"))="?"</formula>
    </cfRule>
  </conditionalFormatting>
  <conditionalFormatting sqref="S160:S163">
    <cfRule type="containsText" dxfId="682" priority="767" operator="containsText" text="N">
      <formula>NOT(ISERROR(SEARCH("N",S160)))</formula>
    </cfRule>
    <cfRule type="containsText" dxfId="681" priority="768" operator="containsText" text="S">
      <formula>NOT(ISERROR(SEARCH("S",S160)))</formula>
    </cfRule>
  </conditionalFormatting>
  <conditionalFormatting sqref="S161">
    <cfRule type="containsText" dxfId="680" priority="765" operator="containsText" text="N">
      <formula>NOT(ISERROR(SEARCH("N",S161)))</formula>
    </cfRule>
  </conditionalFormatting>
  <conditionalFormatting sqref="S161:S164">
    <cfRule type="beginsWith" dxfId="679" priority="766" operator="beginsWith" text="?">
      <formula>LEFT(S161,LEN("?"))="?"</formula>
    </cfRule>
  </conditionalFormatting>
  <conditionalFormatting sqref="S162">
    <cfRule type="containsText" dxfId="678" priority="619" operator="containsText" text="N">
      <formula>NOT(ISERROR(SEARCH("N",S162)))</formula>
    </cfRule>
    <cfRule type="containsText" dxfId="677" priority="620" operator="containsText" text="S">
      <formula>NOT(ISERROR(SEARCH("S",S162)))</formula>
    </cfRule>
    <cfRule type="containsText" dxfId="676" priority="621" operator="containsText" text="N">
      <formula>NOT(ISERROR(SEARCH("N",S162)))</formula>
    </cfRule>
    <cfRule type="beginsWith" dxfId="675" priority="622" operator="beginsWith" text="?">
      <formula>LEFT(S162,LEN("?"))="?"</formula>
    </cfRule>
    <cfRule type="containsText" dxfId="674" priority="623" operator="containsText" text="N">
      <formula>NOT(ISERROR(SEARCH("N",S162)))</formula>
    </cfRule>
    <cfRule type="containsText" dxfId="673" priority="624" operator="containsText" text="S">
      <formula>NOT(ISERROR(SEARCH("S",S162)))</formula>
    </cfRule>
    <cfRule type="containsText" dxfId="672" priority="625" operator="containsText" text="N">
      <formula>NOT(ISERROR(SEARCH("N",S162)))</formula>
    </cfRule>
    <cfRule type="containsText" dxfId="671" priority="626" operator="containsText" text="S">
      <formula>NOT(ISERROR(SEARCH("S",S162)))</formula>
    </cfRule>
    <cfRule type="containsText" dxfId="670" priority="627" operator="containsText" text="N">
      <formula>NOT(ISERROR(SEARCH("N",S162)))</formula>
    </cfRule>
    <cfRule type="beginsWith" dxfId="669" priority="628" operator="beginsWith" text="?">
      <formula>LEFT(S162,LEN("?"))="?"</formula>
    </cfRule>
    <cfRule type="containsText" dxfId="668" priority="629" operator="containsText" text="N">
      <formula>NOT(ISERROR(SEARCH("N",S162)))</formula>
    </cfRule>
    <cfRule type="containsText" dxfId="667" priority="630" operator="containsText" text="S">
      <formula>NOT(ISERROR(SEARCH("S",S162)))</formula>
    </cfRule>
    <cfRule type="beginsWith" dxfId="666" priority="634" operator="beginsWith" text="?">
      <formula>LEFT(S162,LEN("?"))="?"</formula>
    </cfRule>
    <cfRule type="containsText" dxfId="665" priority="635" operator="containsText" text="N">
      <formula>NOT(ISERROR(SEARCH("N",S162)))</formula>
    </cfRule>
    <cfRule type="containsText" dxfId="664" priority="636" operator="containsText" text="S">
      <formula>NOT(ISERROR(SEARCH("S",S162)))</formula>
    </cfRule>
    <cfRule type="containsText" dxfId="663" priority="637" operator="containsText" text="N">
      <formula>NOT(ISERROR(SEARCH("N",S162)))</formula>
    </cfRule>
    <cfRule type="beginsWith" dxfId="662" priority="638" operator="beginsWith" text="?">
      <formula>LEFT(S162,LEN("?"))="?"</formula>
    </cfRule>
    <cfRule type="containsText" dxfId="661" priority="639" operator="containsText" text="N">
      <formula>NOT(ISERROR(SEARCH("N",S162)))</formula>
    </cfRule>
    <cfRule type="containsText" dxfId="660" priority="640" operator="containsText" text="S">
      <formula>NOT(ISERROR(SEARCH("S",S162)))</formula>
    </cfRule>
    <cfRule type="beginsWith" dxfId="659" priority="676" operator="beginsWith" text="?">
      <formula>LEFT(S162,LEN("?"))="?"</formula>
    </cfRule>
  </conditionalFormatting>
  <conditionalFormatting sqref="S162:S163">
    <cfRule type="beginsWith" dxfId="658" priority="575" operator="beginsWith" text="?">
      <formula>LEFT(S162,LEN("?"))="?"</formula>
    </cfRule>
    <cfRule type="containsText" dxfId="657" priority="577" operator="containsText" text="S">
      <formula>NOT(ISERROR(SEARCH("S",S162)))</formula>
    </cfRule>
    <cfRule type="containsText" dxfId="656" priority="655" operator="containsText" text="N">
      <formula>NOT(ISERROR(SEARCH("N",S162)))</formula>
    </cfRule>
    <cfRule type="beginsWith" dxfId="655" priority="665" operator="beginsWith" text="?">
      <formula>LEFT(S162,LEN("?"))="?"</formula>
    </cfRule>
    <cfRule type="containsText" dxfId="654" priority="666" operator="containsText" text="N">
      <formula>NOT(ISERROR(SEARCH("N",S162)))</formula>
    </cfRule>
    <cfRule type="containsText" dxfId="653" priority="667" operator="containsText" text="S">
      <formula>NOT(ISERROR(SEARCH("S",S162)))</formula>
    </cfRule>
  </conditionalFormatting>
  <conditionalFormatting sqref="S163">
    <cfRule type="containsText" dxfId="652" priority="566" operator="containsText" text="N">
      <formula>NOT(ISERROR(SEARCH("N",S163)))</formula>
    </cfRule>
    <cfRule type="containsText" dxfId="651" priority="567" operator="containsText" text="S">
      <formula>NOT(ISERROR(SEARCH("S",S163)))</formula>
    </cfRule>
    <cfRule type="containsText" dxfId="650" priority="568" operator="containsText" text="N">
      <formula>NOT(ISERROR(SEARCH("N",S163)))</formula>
    </cfRule>
    <cfRule type="beginsWith" dxfId="649" priority="569" operator="beginsWith" text="?">
      <formula>LEFT(S163,LEN("?"))="?"</formula>
    </cfRule>
    <cfRule type="containsText" dxfId="648" priority="570" operator="containsText" text="N">
      <formula>NOT(ISERROR(SEARCH("N",S163)))</formula>
    </cfRule>
    <cfRule type="containsText" dxfId="647" priority="571" operator="containsText" text="S">
      <formula>NOT(ISERROR(SEARCH("S",S163)))</formula>
    </cfRule>
    <cfRule type="containsText" dxfId="646" priority="572" operator="containsText" text="N">
      <formula>NOT(ISERROR(SEARCH("N",S163)))</formula>
    </cfRule>
    <cfRule type="containsText" dxfId="645" priority="573" operator="containsText" text="S">
      <formula>NOT(ISERROR(SEARCH("S",S163)))</formula>
    </cfRule>
    <cfRule type="containsText" dxfId="644" priority="574" operator="containsText" text="N">
      <formula>NOT(ISERROR(SEARCH("N",S163)))</formula>
    </cfRule>
    <cfRule type="containsText" dxfId="643" priority="576" operator="containsText" text="N">
      <formula>NOT(ISERROR(SEARCH("N",S163)))</formula>
    </cfRule>
    <cfRule type="containsText" dxfId="642" priority="764" operator="containsText" text="N">
      <formula>NOT(ISERROR(SEARCH("N",S163)))</formula>
    </cfRule>
  </conditionalFormatting>
  <conditionalFormatting sqref="S163:S165">
    <cfRule type="containsText" dxfId="641" priority="734" operator="containsText" text="N">
      <formula>NOT(ISERROR(SEARCH("N",S163)))</formula>
    </cfRule>
    <cfRule type="beginsWith" dxfId="640" priority="735" operator="beginsWith" text="?">
      <formula>LEFT(S163,LEN("?"))="?"</formula>
    </cfRule>
    <cfRule type="containsText" dxfId="639" priority="736" operator="containsText" text="N">
      <formula>NOT(ISERROR(SEARCH("N",S163)))</formula>
    </cfRule>
    <cfRule type="containsText" dxfId="638" priority="737" operator="containsText" text="S">
      <formula>NOT(ISERROR(SEARCH("S",S163)))</formula>
    </cfRule>
  </conditionalFormatting>
  <conditionalFormatting sqref="S163:S166">
    <cfRule type="containsText" dxfId="637" priority="732" operator="containsText" text="N">
      <formula>NOT(ISERROR(SEARCH("N",S163)))</formula>
    </cfRule>
    <cfRule type="containsText" dxfId="636" priority="733" operator="containsText" text="S">
      <formula>NOT(ISERROR(SEARCH("S",S163)))</formula>
    </cfRule>
  </conditionalFormatting>
  <conditionalFormatting sqref="S164">
    <cfRule type="containsText" dxfId="635" priority="613" operator="containsText" text="N">
      <formula>NOT(ISERROR(SEARCH("N",S164)))</formula>
    </cfRule>
    <cfRule type="containsText" dxfId="634" priority="614" operator="containsText" text="S">
      <formula>NOT(ISERROR(SEARCH("S",S164)))</formula>
    </cfRule>
    <cfRule type="containsText" dxfId="633" priority="615" operator="containsText" text="N">
      <formula>NOT(ISERROR(SEARCH("N",S164)))</formula>
    </cfRule>
    <cfRule type="beginsWith" dxfId="632" priority="616" operator="beginsWith" text="?">
      <formula>LEFT(S164,LEN("?"))="?"</formula>
    </cfRule>
  </conditionalFormatting>
  <conditionalFormatting sqref="S164:S167">
    <cfRule type="containsText" dxfId="631" priority="617" operator="containsText" text="N">
      <formula>NOT(ISERROR(SEARCH("N",S164)))</formula>
    </cfRule>
    <cfRule type="containsText" dxfId="630" priority="618" operator="containsText" text="S">
      <formula>NOT(ISERROR(SEARCH("S",S164)))</formula>
    </cfRule>
  </conditionalFormatting>
  <conditionalFormatting sqref="S164:S169">
    <cfRule type="beginsWith" dxfId="629" priority="581" operator="beginsWith" text="?">
      <formula>LEFT(S164,LEN("?"))="?"</formula>
    </cfRule>
    <cfRule type="containsText" dxfId="628" priority="583" operator="containsText" text="S">
      <formula>NOT(ISERROR(SEARCH("S",S164)))</formula>
    </cfRule>
  </conditionalFormatting>
  <conditionalFormatting sqref="S165:S167">
    <cfRule type="containsText" dxfId="627" priority="668" operator="containsText" text="N">
      <formula>NOT(ISERROR(SEARCH("N",S165)))</formula>
    </cfRule>
    <cfRule type="beginsWith" dxfId="626" priority="669" operator="beginsWith" text="?">
      <formula>LEFT(S165,LEN("?"))="?"</formula>
    </cfRule>
    <cfRule type="containsText" dxfId="625" priority="670" operator="containsText" text="N">
      <formula>NOT(ISERROR(SEARCH("N",S165)))</formula>
    </cfRule>
    <cfRule type="containsText" dxfId="624" priority="671" operator="containsText" text="S">
      <formula>NOT(ISERROR(SEARCH("S",S165)))</formula>
    </cfRule>
  </conditionalFormatting>
  <conditionalFormatting sqref="S165:S168">
    <cfRule type="containsText" dxfId="623" priority="578" operator="containsText" text="N">
      <formula>NOT(ISERROR(SEARCH("N",S165)))</formula>
    </cfRule>
    <cfRule type="containsText" dxfId="622" priority="579" operator="containsText" text="S">
      <formula>NOT(ISERROR(SEARCH("S",S165)))</formula>
    </cfRule>
    <cfRule type="containsText" dxfId="621" priority="580" operator="containsText" text="N">
      <formula>NOT(ISERROR(SEARCH("N",S165)))</formula>
    </cfRule>
    <cfRule type="containsText" dxfId="620" priority="582" operator="containsText" text="N">
      <formula>NOT(ISERROR(SEARCH("N",S165)))</formula>
    </cfRule>
  </conditionalFormatting>
  <conditionalFormatting sqref="S166">
    <cfRule type="containsText" dxfId="619" priority="730" operator="containsText" text="N">
      <formula>NOT(ISERROR(SEARCH("N",S166)))</formula>
    </cfRule>
    <cfRule type="beginsWith" dxfId="618" priority="731" operator="beginsWith" text="?">
      <formula>LEFT(S166,LEN("?"))="?"</formula>
    </cfRule>
  </conditionalFormatting>
  <conditionalFormatting sqref="S166:S167">
    <cfRule type="containsText" dxfId="617" priority="728" operator="containsText" text="N">
      <formula>NOT(ISERROR(SEARCH("N",S166)))</formula>
    </cfRule>
  </conditionalFormatting>
  <conditionalFormatting sqref="S166:S168">
    <cfRule type="containsText" dxfId="616" priority="729" operator="containsText" text="S">
      <formula>NOT(ISERROR(SEARCH("S",S166)))</formula>
    </cfRule>
  </conditionalFormatting>
  <conditionalFormatting sqref="S167">
    <cfRule type="containsText" dxfId="615" priority="724" operator="containsText" text="N">
      <formula>NOT(ISERROR(SEARCH("N",S167)))</formula>
    </cfRule>
    <cfRule type="containsText" dxfId="614" priority="725" operator="containsText" text="S">
      <formula>NOT(ISERROR(SEARCH("S",S167)))</formula>
    </cfRule>
  </conditionalFormatting>
  <conditionalFormatting sqref="S167:S168">
    <cfRule type="containsText" dxfId="613" priority="726" operator="containsText" text="N">
      <formula>NOT(ISERROR(SEARCH("N",S167)))</formula>
    </cfRule>
    <cfRule type="beginsWith" dxfId="612" priority="727" operator="beginsWith" text="?">
      <formula>LEFT(S167,LEN("?"))="?"</formula>
    </cfRule>
  </conditionalFormatting>
  <conditionalFormatting sqref="S168">
    <cfRule type="containsText" dxfId="611" priority="763" operator="containsText" text="N">
      <formula>NOT(ISERROR(SEARCH("N",S168)))</formula>
    </cfRule>
  </conditionalFormatting>
  <conditionalFormatting sqref="S169">
    <cfRule type="containsText" dxfId="610" priority="598" operator="containsText" text="N">
      <formula>NOT(ISERROR(SEARCH("N",S169)))</formula>
    </cfRule>
    <cfRule type="containsText" dxfId="609" priority="599" operator="containsText" text="S">
      <formula>NOT(ISERROR(SEARCH("S",S169)))</formula>
    </cfRule>
    <cfRule type="containsText" dxfId="608" priority="600" operator="containsText" text="N">
      <formula>NOT(ISERROR(SEARCH("N",S169)))</formula>
    </cfRule>
    <cfRule type="beginsWith" dxfId="607" priority="601" operator="beginsWith" text="?">
      <formula>LEFT(S169,LEN("?"))="?"</formula>
    </cfRule>
    <cfRule type="containsText" dxfId="606" priority="602" operator="containsText" text="N">
      <formula>NOT(ISERROR(SEARCH("N",S169)))</formula>
    </cfRule>
    <cfRule type="containsText" dxfId="605" priority="603" operator="containsText" text="S">
      <formula>NOT(ISERROR(SEARCH("S",S169)))</formula>
    </cfRule>
    <cfRule type="containsText" dxfId="604" priority="604" operator="containsText" text="N">
      <formula>NOT(ISERROR(SEARCH("N",S169)))</formula>
    </cfRule>
    <cfRule type="containsText" dxfId="603" priority="605" operator="containsText" text="S">
      <formula>NOT(ISERROR(SEARCH("S",S169)))</formula>
    </cfRule>
    <cfRule type="containsText" dxfId="602" priority="606" operator="containsText" text="N">
      <formula>NOT(ISERROR(SEARCH("N",S169)))</formula>
    </cfRule>
    <cfRule type="beginsWith" dxfId="601" priority="607" operator="beginsWith" text="?">
      <formula>LEFT(S169,LEN("?"))="?"</formula>
    </cfRule>
    <cfRule type="beginsWith" dxfId="600" priority="721" operator="beginsWith" text="?">
      <formula>LEFT(S169,LEN("?"))="?"</formula>
    </cfRule>
    <cfRule type="containsText" dxfId="599" priority="722" operator="containsText" text="N">
      <formula>NOT(ISERROR(SEARCH("N",S169)))</formula>
    </cfRule>
    <cfRule type="containsText" dxfId="598" priority="723" operator="containsText" text="S">
      <formula>NOT(ISERROR(SEARCH("S",S169)))</formula>
    </cfRule>
  </conditionalFormatting>
  <conditionalFormatting sqref="S169:S170">
    <cfRule type="containsText" dxfId="597" priority="608" operator="containsText" text="N">
      <formula>NOT(ISERROR(SEARCH("N",S169)))</formula>
    </cfRule>
    <cfRule type="containsText" dxfId="596" priority="609" operator="containsText" text="S">
      <formula>NOT(ISERROR(SEARCH("S",S169)))</formula>
    </cfRule>
    <cfRule type="beginsWith" dxfId="595" priority="662" operator="beginsWith" text="?">
      <formula>LEFT(S169,LEN("?"))="?"</formula>
    </cfRule>
    <cfRule type="containsText" dxfId="594" priority="715" operator="containsText" text="N">
      <formula>NOT(ISERROR(SEARCH("N",S169)))</formula>
    </cfRule>
    <cfRule type="containsText" dxfId="593" priority="716" operator="containsText" text="S">
      <formula>NOT(ISERROR(SEARCH("S",S169)))</formula>
    </cfRule>
    <cfRule type="containsText" dxfId="592" priority="720" operator="containsText" text="N">
      <formula>NOT(ISERROR(SEARCH("N",S169)))</formula>
    </cfRule>
  </conditionalFormatting>
  <conditionalFormatting sqref="S170">
    <cfRule type="containsText" dxfId="591" priority="557" operator="containsText" text="N">
      <formula>NOT(ISERROR(SEARCH("N",S170)))</formula>
    </cfRule>
    <cfRule type="containsText" dxfId="590" priority="558" operator="containsText" text="S">
      <formula>NOT(ISERROR(SEARCH("S",S170)))</formula>
    </cfRule>
    <cfRule type="containsText" dxfId="589" priority="559" operator="containsText" text="N">
      <formula>NOT(ISERROR(SEARCH("N",S170)))</formula>
    </cfRule>
    <cfRule type="beginsWith" dxfId="588" priority="560" operator="beginsWith" text="?">
      <formula>LEFT(S170,LEN("?"))="?"</formula>
    </cfRule>
    <cfRule type="containsText" dxfId="587" priority="561" operator="containsText" text="N">
      <formula>NOT(ISERROR(SEARCH("N",S170)))</formula>
    </cfRule>
    <cfRule type="containsText" dxfId="586" priority="562" operator="containsText" text="S">
      <formula>NOT(ISERROR(SEARCH("S",S170)))</formula>
    </cfRule>
    <cfRule type="containsText" dxfId="585" priority="563" operator="containsText" text="N">
      <formula>NOT(ISERROR(SEARCH("N",S170)))</formula>
    </cfRule>
    <cfRule type="containsText" dxfId="584" priority="661" operator="containsText" text="N">
      <formula>NOT(ISERROR(SEARCH("N",S170)))</formula>
    </cfRule>
    <cfRule type="containsText" dxfId="583" priority="663" operator="containsText" text="N">
      <formula>NOT(ISERROR(SEARCH("N",S170)))</formula>
    </cfRule>
    <cfRule type="containsText" dxfId="582" priority="664" operator="containsText" text="S">
      <formula>NOT(ISERROR(SEARCH("S",S170)))</formula>
    </cfRule>
    <cfRule type="containsText" dxfId="581" priority="717" operator="containsText" text="N">
      <formula>NOT(ISERROR(SEARCH("N",S170)))</formula>
    </cfRule>
    <cfRule type="containsText" dxfId="580" priority="719" operator="containsText" text="S">
      <formula>NOT(ISERROR(SEARCH("S",S170)))</formula>
    </cfRule>
  </conditionalFormatting>
  <conditionalFormatting sqref="S170:S171">
    <cfRule type="beginsWith" dxfId="579" priority="564" operator="beginsWith" text="?">
      <formula>LEFT(S170,LEN("?"))="?"</formula>
    </cfRule>
    <cfRule type="containsText" dxfId="578" priority="565" operator="containsText" text="S">
      <formula>NOT(ISERROR(SEARCH("S",S170)))</formula>
    </cfRule>
  </conditionalFormatting>
  <conditionalFormatting sqref="S170:S178">
    <cfRule type="beginsWith" dxfId="577" priority="718" operator="beginsWith" text="?">
      <formula>LEFT(S170,LEN("?"))="?"</formula>
    </cfRule>
  </conditionalFormatting>
  <conditionalFormatting sqref="S171">
    <cfRule type="containsText" dxfId="576" priority="584" operator="containsText" text="N">
      <formula>NOT(ISERROR(SEARCH("N",S171)))</formula>
    </cfRule>
    <cfRule type="containsText" dxfId="575" priority="585" operator="containsText" text="S">
      <formula>NOT(ISERROR(SEARCH("S",S171)))</formula>
    </cfRule>
    <cfRule type="containsText" dxfId="574" priority="586" operator="containsText" text="N">
      <formula>NOT(ISERROR(SEARCH("N",S171)))</formula>
    </cfRule>
    <cfRule type="beginsWith" dxfId="573" priority="587" operator="beginsWith" text="?">
      <formula>LEFT(S171,LEN("?"))="?"</formula>
    </cfRule>
    <cfRule type="containsText" dxfId="572" priority="588" operator="containsText" text="N">
      <formula>NOT(ISERROR(SEARCH("N",S171)))</formula>
    </cfRule>
    <cfRule type="containsText" dxfId="571" priority="589" operator="containsText" text="S">
      <formula>NOT(ISERROR(SEARCH("S",S171)))</formula>
    </cfRule>
    <cfRule type="containsText" dxfId="570" priority="590" operator="containsText" text="N">
      <formula>NOT(ISERROR(SEARCH("N",S171)))</formula>
    </cfRule>
    <cfRule type="containsText" dxfId="569" priority="591" operator="containsText" text="S">
      <formula>NOT(ISERROR(SEARCH("S",S171)))</formula>
    </cfRule>
    <cfRule type="containsText" dxfId="568" priority="592" operator="containsText" text="N">
      <formula>NOT(ISERROR(SEARCH("N",S171)))</formula>
    </cfRule>
    <cfRule type="beginsWith" dxfId="567" priority="593" operator="beginsWith" text="?">
      <formula>LEFT(S171,LEN("?"))="?"</formula>
    </cfRule>
    <cfRule type="containsText" dxfId="566" priority="594" operator="containsText" text="N">
      <formula>NOT(ISERROR(SEARCH("N",S171)))</formula>
    </cfRule>
    <cfRule type="containsText" dxfId="565" priority="595" operator="containsText" text="S">
      <formula>NOT(ISERROR(SEARCH("S",S171)))</formula>
    </cfRule>
  </conditionalFormatting>
  <conditionalFormatting sqref="S175:S176">
    <cfRule type="containsText" dxfId="564" priority="814" operator="containsText" text="S">
      <formula>NOT(ISERROR(SEARCH("S",S175)))</formula>
    </cfRule>
  </conditionalFormatting>
  <conditionalFormatting sqref="S176:S177">
    <cfRule type="containsText" dxfId="563" priority="801" operator="containsText" text="N">
      <formula>NOT(ISERROR(SEARCH("N",S176)))</formula>
    </cfRule>
  </conditionalFormatting>
  <conditionalFormatting sqref="S177">
    <cfRule type="containsText" dxfId="562" priority="799" operator="containsText" text="N">
      <formula>NOT(ISERROR(SEARCH("N",S177)))</formula>
    </cfRule>
    <cfRule type="containsText" dxfId="561" priority="800" operator="containsText" text="S">
      <formula>NOT(ISERROR(SEARCH("S",S177)))</formula>
    </cfRule>
  </conditionalFormatting>
  <conditionalFormatting sqref="S177:S178">
    <cfRule type="containsText" dxfId="560" priority="786" operator="containsText" text="N">
      <formula>NOT(ISERROR(SEARCH("N",S177)))</formula>
    </cfRule>
    <cfRule type="containsText" dxfId="559" priority="787" operator="containsText" text="S">
      <formula>NOT(ISERROR(SEARCH("S",S177)))</formula>
    </cfRule>
  </conditionalFormatting>
  <conditionalFormatting sqref="S179:S180">
    <cfRule type="beginsWith" dxfId="558" priority="682" operator="beginsWith" text="?">
      <formula>LEFT(S179,LEN("?"))="?"</formula>
    </cfRule>
    <cfRule type="containsText" dxfId="557" priority="683" operator="containsText" text="N">
      <formula>NOT(ISERROR(SEARCH("N",S179)))</formula>
    </cfRule>
  </conditionalFormatting>
  <conditionalFormatting sqref="S181">
    <cfRule type="containsText" dxfId="556" priority="815" operator="containsText" text="S">
      <formula>NOT(ISERROR(SEARCH("S",S181)))</formula>
    </cfRule>
  </conditionalFormatting>
  <conditionalFormatting sqref="S181:S182">
    <cfRule type="beginsWith" dxfId="555" priority="711" operator="beginsWith" text="?">
      <formula>LEFT(S181,LEN("?"))="?"</formula>
    </cfRule>
    <cfRule type="containsText" dxfId="554" priority="713" operator="containsText" text="S">
      <formula>NOT(ISERROR(SEARCH("S",S181)))</formula>
    </cfRule>
  </conditionalFormatting>
  <conditionalFormatting sqref="S181:S184">
    <cfRule type="containsText" dxfId="553" priority="782" operator="containsText" text="N">
      <formula>NOT(ISERROR(SEARCH("N",S181)))</formula>
    </cfRule>
  </conditionalFormatting>
  <conditionalFormatting sqref="S182">
    <cfRule type="containsText" dxfId="552" priority="712" operator="containsText" text="N">
      <formula>NOT(ISERROR(SEARCH("N",S182)))</formula>
    </cfRule>
  </conditionalFormatting>
  <conditionalFormatting sqref="S183">
    <cfRule type="beginsWith" dxfId="551" priority="792" operator="beginsWith" text="?">
      <formula>LEFT(S183,LEN("?"))="?"</formula>
    </cfRule>
    <cfRule type="containsText" dxfId="550" priority="793" operator="containsText" text="N">
      <formula>NOT(ISERROR(SEARCH("N",S183)))</formula>
    </cfRule>
    <cfRule type="containsText" dxfId="549" priority="794" operator="containsText" text="S">
      <formula>NOT(ISERROR(SEARCH("S",S183)))</formula>
    </cfRule>
  </conditionalFormatting>
  <conditionalFormatting sqref="S183:S185">
    <cfRule type="containsText" dxfId="548" priority="785" operator="containsText" text="S">
      <formula>NOT(ISERROR(SEARCH("S",S183)))</formula>
    </cfRule>
  </conditionalFormatting>
  <conditionalFormatting sqref="S184">
    <cfRule type="beginsWith" dxfId="547" priority="702" operator="beginsWith" text="?">
      <formula>LEFT(S184,LEN("?"))="?"</formula>
    </cfRule>
    <cfRule type="containsText" dxfId="546" priority="703" operator="containsText" text="N">
      <formula>NOT(ISERROR(SEARCH("N",S184)))</formula>
    </cfRule>
    <cfRule type="containsText" dxfId="545" priority="704" operator="containsText" text="S">
      <formula>NOT(ISERROR(SEARCH("S",S184)))</formula>
    </cfRule>
    <cfRule type="beginsWith" dxfId="544" priority="783" operator="beginsWith" text="?">
      <formula>LEFT(S184,LEN("?"))="?"</formula>
    </cfRule>
    <cfRule type="containsText" dxfId="543" priority="784" operator="containsText" text="N">
      <formula>NOT(ISERROR(SEARCH("N",S184)))</formula>
    </cfRule>
  </conditionalFormatting>
  <conditionalFormatting sqref="S184:S185">
    <cfRule type="containsText" dxfId="542" priority="708" operator="containsText" text="N">
      <formula>NOT(ISERROR(SEARCH("N",S184)))</formula>
    </cfRule>
  </conditionalFormatting>
  <conditionalFormatting sqref="S184:S186">
    <cfRule type="containsText" dxfId="541" priority="781" operator="containsText" text="S">
      <formula>NOT(ISERROR(SEARCH("S",S184)))</formula>
    </cfRule>
  </conditionalFormatting>
  <conditionalFormatting sqref="S185">
    <cfRule type="beginsWith" dxfId="540" priority="812" operator="beginsWith" text="?">
      <formula>LEFT(S185,LEN("?"))="?"</formula>
    </cfRule>
  </conditionalFormatting>
  <conditionalFormatting sqref="S186">
    <cfRule type="containsText" dxfId="539" priority="698" operator="containsText" text="N">
      <formula>NOT(ISERROR(SEARCH("N",S186)))</formula>
    </cfRule>
    <cfRule type="containsText" dxfId="538" priority="699" operator="containsText" text="S">
      <formula>NOT(ISERROR(SEARCH("S",S186)))</formula>
    </cfRule>
    <cfRule type="beginsWith" dxfId="537" priority="700" operator="beginsWith" text="?">
      <formula>LEFT(S186,LEN("?"))="?"</formula>
    </cfRule>
  </conditionalFormatting>
  <conditionalFormatting sqref="S209:S229">
    <cfRule type="containsText" dxfId="536" priority="696" operator="containsText" text="S">
      <formula>NOT(ISERROR(SEARCH("S",S209)))</formula>
    </cfRule>
    <cfRule type="containsText" dxfId="535" priority="810" operator="containsText" text="N">
      <formula>NOT(ISERROR(SEARCH("N",S209)))</formula>
    </cfRule>
  </conditionalFormatting>
  <conditionalFormatting sqref="S226">
    <cfRule type="beginsWith" dxfId="534" priority="694" operator="beginsWith" text="?">
      <formula>LEFT(S226,LEN("?"))="?"</formula>
    </cfRule>
    <cfRule type="containsText" dxfId="533" priority="695" operator="containsText" text="N">
      <formula>NOT(ISERROR(SEARCH("N",S226)))</formula>
    </cfRule>
  </conditionalFormatting>
  <conditionalFormatting sqref="S228:S229">
    <cfRule type="beginsWith" dxfId="532" priority="685" operator="beginsWith" text="?">
      <formula>LEFT(S228,LEN("?"))="?"</formula>
    </cfRule>
    <cfRule type="containsText" dxfId="531" priority="686" operator="containsText" text="N">
      <formula>NOT(ISERROR(SEARCH("N",S228)))</formula>
    </cfRule>
    <cfRule type="containsText" dxfId="530" priority="687" operator="containsText" text="S">
      <formula>NOT(ISERROR(SEARCH("S",S228)))</formula>
    </cfRule>
  </conditionalFormatting>
  <conditionalFormatting sqref="S67:T67">
    <cfRule type="containsText" dxfId="529" priority="3078" operator="containsText" text="S">
      <formula>NOT(ISERROR(SEARCH("S",S67)))</formula>
    </cfRule>
  </conditionalFormatting>
  <conditionalFormatting sqref="T14">
    <cfRule type="containsText" dxfId="528" priority="3830" operator="containsText" text="N">
      <formula>NOT(ISERROR(SEARCH("N",T14)))</formula>
    </cfRule>
    <cfRule type="containsText" dxfId="527" priority="3831" operator="containsText" text="S">
      <formula>NOT(ISERROR(SEARCH("S",T14)))</formula>
    </cfRule>
  </conditionalFormatting>
  <conditionalFormatting sqref="T36 T47 R129">
    <cfRule type="containsText" dxfId="526" priority="1121" operator="containsText" text="S">
      <formula>NOT(ISERROR(SEARCH("S",R36)))</formula>
    </cfRule>
  </conditionalFormatting>
  <conditionalFormatting sqref="T52">
    <cfRule type="containsText" dxfId="525" priority="375" operator="containsText" text="N">
      <formula>NOT(ISERROR(SEARCH("N",T52)))</formula>
    </cfRule>
    <cfRule type="containsText" dxfId="524" priority="376" operator="containsText" text="S">
      <formula>NOT(ISERROR(SEARCH("S",T52)))</formula>
    </cfRule>
  </conditionalFormatting>
  <conditionalFormatting sqref="T60:T61">
    <cfRule type="containsText" dxfId="523" priority="3780" operator="containsText" text="N">
      <formula>NOT(ISERROR(SEARCH("N",T60)))</formula>
    </cfRule>
    <cfRule type="containsText" dxfId="522" priority="3781" operator="containsText" text="S">
      <formula>NOT(ISERROR(SEARCH("S",T60)))</formula>
    </cfRule>
  </conditionalFormatting>
  <conditionalFormatting sqref="T74">
    <cfRule type="containsText" dxfId="521" priority="3769" operator="containsText" text="S">
      <formula>NOT(ISERROR(SEARCH("S",T74)))</formula>
    </cfRule>
  </conditionalFormatting>
  <conditionalFormatting sqref="T74:T86">
    <cfRule type="containsText" dxfId="520" priority="24" operator="containsText" text="N">
      <formula>NOT(ISERROR(SEARCH("N",T74)))</formula>
    </cfRule>
  </conditionalFormatting>
  <conditionalFormatting sqref="T85">
    <cfRule type="containsText" dxfId="519" priority="25" operator="containsText" text="S">
      <formula>NOT(ISERROR(SEARCH("S",T85)))</formula>
    </cfRule>
  </conditionalFormatting>
  <conditionalFormatting sqref="T87">
    <cfRule type="containsText" dxfId="518" priority="3822" operator="containsText" text="N">
      <formula>NOT(ISERROR(SEARCH("N",T87)))</formula>
    </cfRule>
  </conditionalFormatting>
  <conditionalFormatting sqref="T92:T93">
    <cfRule type="containsText" dxfId="517" priority="3786" operator="containsText" text="N">
      <formula>NOT(ISERROR(SEARCH("N",T92)))</formula>
    </cfRule>
    <cfRule type="containsText" dxfId="516" priority="3787" operator="containsText" text="S">
      <formula>NOT(ISERROR(SEARCH("S",T92)))</formula>
    </cfRule>
  </conditionalFormatting>
  <conditionalFormatting sqref="T145:T151">
    <cfRule type="containsText" dxfId="515" priority="363" operator="containsText" text="N">
      <formula>NOT(ISERROR(SEARCH("N",T145)))</formula>
    </cfRule>
  </conditionalFormatting>
  <conditionalFormatting sqref="T158:T188">
    <cfRule type="beginsWith" dxfId="514" priority="540" operator="beginsWith" text="?">
      <formula>LEFT(T158,LEN("?"))="?"</formula>
    </cfRule>
  </conditionalFormatting>
  <conditionalFormatting sqref="T158:T229">
    <cfRule type="containsText" dxfId="513" priority="535" operator="containsText" text="S">
      <formula>NOT(ISERROR(SEARCH("S",T158)))</formula>
    </cfRule>
    <cfRule type="containsText" dxfId="512" priority="551" operator="containsText" text="N">
      <formula>NOT(ISERROR(SEARCH("N",T158)))</formula>
    </cfRule>
  </conditionalFormatting>
  <conditionalFormatting sqref="T175:T178">
    <cfRule type="containsText" dxfId="511" priority="542" operator="containsText" text="N">
      <formula>NOT(ISERROR(SEARCH("N",T175)))</formula>
    </cfRule>
  </conditionalFormatting>
  <conditionalFormatting sqref="T178">
    <cfRule type="containsText" dxfId="510" priority="545" operator="containsText" text="S">
      <formula>NOT(ISERROR(SEARCH("S",T178)))</formula>
    </cfRule>
  </conditionalFormatting>
  <conditionalFormatting sqref="T183:T186">
    <cfRule type="containsText" dxfId="509" priority="549" operator="containsText" text="N">
      <formula>NOT(ISERROR(SEARCH("N",T183)))</formula>
    </cfRule>
  </conditionalFormatting>
  <conditionalFormatting sqref="T186 T180">
    <cfRule type="containsText" dxfId="508" priority="550" operator="containsText" text="S">
      <formula>NOT(ISERROR(SEARCH("S",T180)))</formula>
    </cfRule>
  </conditionalFormatting>
  <conditionalFormatting sqref="T186">
    <cfRule type="containsText" dxfId="507" priority="546" operator="containsText" text="S">
      <formula>NOT(ISERROR(SEARCH("S",T186)))</formula>
    </cfRule>
  </conditionalFormatting>
  <conditionalFormatting sqref="T191:T193">
    <cfRule type="containsText" dxfId="506" priority="543" operator="containsText" text="N">
      <formula>NOT(ISERROR(SEARCH("N",T191)))</formula>
    </cfRule>
    <cfRule type="containsText" dxfId="505" priority="553" operator="containsText" text="S">
      <formula>NOT(ISERROR(SEARCH("S",T191)))</formula>
    </cfRule>
    <cfRule type="containsText" dxfId="504" priority="556" operator="containsText" text="S">
      <formula>NOT(ISERROR(SEARCH("S",T191)))</formula>
    </cfRule>
  </conditionalFormatting>
  <conditionalFormatting sqref="T195:T196 T198:T201">
    <cfRule type="containsText" dxfId="503" priority="532" operator="containsText" text="N">
      <formula>NOT(ISERROR(SEARCH("N",T195)))</formula>
    </cfRule>
  </conditionalFormatting>
  <conditionalFormatting sqref="T198:T201 T195:T196">
    <cfRule type="beginsWith" dxfId="502" priority="534" operator="beginsWith" text="?">
      <formula>LEFT(T195,LEN("?"))="?"</formula>
    </cfRule>
  </conditionalFormatting>
  <conditionalFormatting sqref="T198:T201">
    <cfRule type="containsText" dxfId="501" priority="533" operator="containsText" text="S">
      <formula>NOT(ISERROR(SEARCH("S",T198)))</formula>
    </cfRule>
  </conditionalFormatting>
  <conditionalFormatting sqref="T209:T210 T212">
    <cfRule type="containsText" dxfId="500" priority="528" operator="containsText" text="N">
      <formula>NOT(ISERROR(SEARCH("N",T209)))</formula>
    </cfRule>
    <cfRule type="containsText" dxfId="499" priority="529" operator="containsText" text="S">
      <formula>NOT(ISERROR(SEARCH("S",T209)))</formula>
    </cfRule>
    <cfRule type="beginsWith" dxfId="498" priority="530" operator="beginsWith" text="?">
      <formula>LEFT(T209,LEN("?"))="?"</formula>
    </cfRule>
    <cfRule type="containsText" dxfId="497" priority="531" operator="containsText" text="S">
      <formula>NOT(ISERROR(SEARCH("S",T209)))</formula>
    </cfRule>
  </conditionalFormatting>
  <conditionalFormatting sqref="T217:T218 T220">
    <cfRule type="containsText" dxfId="496" priority="520" operator="containsText" text="N">
      <formula>NOT(ISERROR(SEARCH("N",T217)))</formula>
    </cfRule>
    <cfRule type="containsText" dxfId="495" priority="521" operator="containsText" text="S">
      <formula>NOT(ISERROR(SEARCH("S",T217)))</formula>
    </cfRule>
    <cfRule type="beginsWith" dxfId="494" priority="522" operator="beginsWith" text="?">
      <formula>LEFT(T217,LEN("?"))="?"</formula>
    </cfRule>
    <cfRule type="containsText" dxfId="493" priority="523" operator="containsText" text="S">
      <formula>NOT(ISERROR(SEARCH("S",T217)))</formula>
    </cfRule>
  </conditionalFormatting>
  <conditionalFormatting sqref="T190:AM193">
    <cfRule type="beginsWith" dxfId="492" priority="554" operator="beginsWith" text="?">
      <formula>LEFT(T190,LEN("?"))="?"</formula>
    </cfRule>
  </conditionalFormatting>
  <conditionalFormatting sqref="U183:U184">
    <cfRule type="containsText" dxfId="491" priority="6" operator="containsText" text="N">
      <formula>NOT(ISERROR(SEARCH("N",U183)))</formula>
    </cfRule>
    <cfRule type="containsText" dxfId="490" priority="7" operator="containsText" text="S">
      <formula>NOT(ISERROR(SEARCH("S",U183)))</formula>
    </cfRule>
  </conditionalFormatting>
  <conditionalFormatting sqref="U138:V138">
    <cfRule type="containsText" dxfId="489" priority="3405" operator="containsText" text="N">
      <formula>NOT(ISERROR(SEARCH("N",U138)))</formula>
    </cfRule>
    <cfRule type="containsText" dxfId="488" priority="3406" operator="containsText" text="S">
      <formula>NOT(ISERROR(SEARCH("S",U138)))</formula>
    </cfRule>
  </conditionalFormatting>
  <conditionalFormatting sqref="U203:AR208">
    <cfRule type="containsText" dxfId="487" priority="4" operator="containsText" text="S">
      <formula>NOT(ISERROR(SEARCH("S",U203)))</formula>
    </cfRule>
    <cfRule type="containsText" dxfId="486" priority="5" operator="containsText" text="N">
      <formula>NOT(ISERROR(SEARCH("N",U203)))</formula>
    </cfRule>
  </conditionalFormatting>
  <conditionalFormatting sqref="V183:V184">
    <cfRule type="containsText" dxfId="485" priority="2253" operator="containsText" text="N">
      <formula>NOT(ISERROR(SEARCH("N",V183)))</formula>
    </cfRule>
    <cfRule type="containsText" dxfId="484" priority="2254" operator="containsText" text="S">
      <formula>NOT(ISERROR(SEARCH("S",V183)))</formula>
    </cfRule>
  </conditionalFormatting>
  <conditionalFormatting sqref="W15:Z16">
    <cfRule type="containsText" dxfId="483" priority="3986" operator="containsText" text="N">
      <formula>NOT(ISERROR(SEARCH("N",W15)))</formula>
    </cfRule>
    <cfRule type="containsText" dxfId="482" priority="3987" operator="containsText" text="S">
      <formula>NOT(ISERROR(SEARCH("S",W15)))</formula>
    </cfRule>
  </conditionalFormatting>
  <conditionalFormatting sqref="W14:AC14">
    <cfRule type="containsText" dxfId="481" priority="3373" operator="containsText" text="N">
      <formula>NOT(ISERROR(SEARCH("N",W14)))</formula>
    </cfRule>
    <cfRule type="containsText" dxfId="480" priority="3374" operator="containsText" text="S">
      <formula>NOT(ISERROR(SEARCH("S",W14)))</formula>
    </cfRule>
  </conditionalFormatting>
  <conditionalFormatting sqref="Z157:AG177 AH157:AK188 AH104:AK116 U106:AG116 R119:AM120 AL104:AO105 AR104:BD105 AP104:AQ109 AL22:AP26 AR22:BD26 AL27:BD30 AL31:AP32 AR31:BD32 C36:X36 Y36:BD37 R37:T37 V37:X37 AP41:BD41 W41:AO44 AP42:AP44 R47:BD53 R56:BD56 R59:BD89 C60:S60 C76:T76 C87:T87 C92:S92 AP92:AQ92 Q95:S95 C104:AG104 AL106:AM106 R106:T108 AL106:AL109 C109:T109 R110:T116 AL110:AM116 S121 AM121 S123 AM123 R125:T125 Z125:AF126 U125:Y129 C126:T126 AG126:AG127 AH126:BD129 Z127:AE127 R127:T129 Z128:AG129 R132:T150 U132:Y151 C151:T151 R153:BD155 C157:T157 AP157:BD157 U157:Y188 AL169:AM171 AL172:AO177 Z178:AE180 AG178:AG186 AL178:AM186 Z181:AF186 Z187:AG188 AL187:AN188 AR172:AR188 U190:AO193 AR190:AR193 Z132:BD150 Z7:AF9 V7:Y13 Z10:AE13 V21:AG22 V30:AF32 C172:Q172">
    <cfRule type="containsText" dxfId="479" priority="1117" operator="containsText" text="S">
      <formula>NOT(ISERROR(SEARCH("S",C7)))</formula>
    </cfRule>
  </conditionalFormatting>
  <conditionalFormatting sqref="Z151:AM151">
    <cfRule type="containsText" dxfId="478" priority="362" operator="containsText" text="S">
      <formula>NOT(ISERROR(SEARCH("S",Z151)))</formula>
    </cfRule>
  </conditionalFormatting>
  <conditionalFormatting sqref="Z85:AP85 C85:R85 AR60:BD89">
    <cfRule type="containsText" dxfId="477" priority="26" operator="containsText" text="N">
      <formula>NOT(ISERROR(SEARCH("N",C60)))</formula>
    </cfRule>
  </conditionalFormatting>
  <conditionalFormatting sqref="Z86:AQ89">
    <cfRule type="containsText" dxfId="476" priority="19" operator="containsText" text="N">
      <formula>NOT(ISERROR(SEARCH("N",Z86)))</formula>
    </cfRule>
  </conditionalFormatting>
  <conditionalFormatting sqref="Z132:BD151">
    <cfRule type="beginsWith" dxfId="475" priority="361" operator="beginsWith" text="?">
      <formula>LEFT(Z132,LEN("?"))="?"</formula>
    </cfRule>
  </conditionalFormatting>
  <conditionalFormatting sqref="AC152">
    <cfRule type="containsText" dxfId="474" priority="1682" operator="containsText" text="N">
      <formula>NOT(ISERROR(SEARCH("N",AC152)))</formula>
    </cfRule>
    <cfRule type="beginsWith" dxfId="473" priority="1683" operator="beginsWith" text="?">
      <formula>LEFT(AC152,LEN("?"))="?"</formula>
    </cfRule>
    <cfRule type="containsText" dxfId="472" priority="1684" operator="containsText" text="S">
      <formula>NOT(ISERROR(SEARCH("S",AC152)))</formula>
    </cfRule>
  </conditionalFormatting>
  <conditionalFormatting sqref="AC156">
    <cfRule type="containsText" dxfId="471" priority="3841" operator="containsText" text="N">
      <formula>NOT(ISERROR(SEARCH("N",AC156)))</formula>
    </cfRule>
    <cfRule type="containsText" dxfId="470" priority="3842" operator="containsText" text="S">
      <formula>NOT(ISERROR(SEARCH("S",AC156)))</formula>
    </cfRule>
    <cfRule type="beginsWith" dxfId="469" priority="3843" operator="beginsWith" text="?">
      <formula>LEFT(AC156,LEN("?"))="?"</formula>
    </cfRule>
    <cfRule type="containsText" dxfId="468" priority="3844" operator="containsText" text="N">
      <formula>NOT(ISERROR(SEARCH("N",AC156)))</formula>
    </cfRule>
    <cfRule type="containsText" dxfId="467" priority="3845" operator="containsText" text="S">
      <formula>NOT(ISERROR(SEARCH("S",AC156)))</formula>
    </cfRule>
  </conditionalFormatting>
  <conditionalFormatting sqref="AD14:AE16 AL115:AM116 AN119:AO120 AR119:AZ124 AO121:AO124">
    <cfRule type="containsText" dxfId="466" priority="6971" operator="containsText" text="S">
      <formula>NOT(ISERROR(SEARCH("S",AD14)))</formula>
    </cfRule>
  </conditionalFormatting>
  <conditionalFormatting sqref="AF127">
    <cfRule type="containsText" dxfId="465" priority="3261" operator="containsText" text="N">
      <formula>NOT(ISERROR(SEARCH("N",AF127)))</formula>
    </cfRule>
  </conditionalFormatting>
  <conditionalFormatting sqref="AF178:AF179">
    <cfRule type="containsText" dxfId="464" priority="2232" operator="containsText" text="N">
      <formula>NOT(ISERROR(SEARCH("N",AF178)))</formula>
    </cfRule>
    <cfRule type="containsText" dxfId="463" priority="2300" operator="containsText" text="S">
      <formula>NOT(ISERROR(SEARCH("S",AF178)))</formula>
    </cfRule>
  </conditionalFormatting>
  <conditionalFormatting sqref="AF183:AF185">
    <cfRule type="containsText" dxfId="462" priority="1932" operator="containsText" text="N">
      <formula>NOT(ISERROR(SEARCH("N",AF183)))</formula>
    </cfRule>
  </conditionalFormatting>
  <conditionalFormatting sqref="AF99:AZ99 AF101:AZ101 S142">
    <cfRule type="containsText" dxfId="461" priority="1309" operator="containsText" text="N">
      <formula>NOT(ISERROR(SEARCH("N",S99)))</formula>
    </cfRule>
    <cfRule type="containsText" dxfId="460" priority="1310" operator="containsText" text="S">
      <formula>NOT(ISERROR(SEARCH("S",S99)))</formula>
    </cfRule>
    <cfRule type="containsText" dxfId="459" priority="1311" operator="containsText" text="N">
      <formula>NOT(ISERROR(SEARCH("N",S99)))</formula>
    </cfRule>
    <cfRule type="containsText" dxfId="458" priority="1312" operator="containsText" text="S">
      <formula>NOT(ISERROR(SEARCH("S",S99)))</formula>
    </cfRule>
  </conditionalFormatting>
  <conditionalFormatting sqref="AG110:AK114 AG119:AK120">
    <cfRule type="containsText" dxfId="457" priority="956" operator="containsText" text="S">
      <formula>NOT(ISERROR(SEARCH("S",AG110)))</formula>
    </cfRule>
  </conditionalFormatting>
  <conditionalFormatting sqref="AG110:AK114">
    <cfRule type="containsText" dxfId="456" priority="955" operator="containsText" text="N">
      <formula>NOT(ISERROR(SEARCH("N",AG110)))</formula>
    </cfRule>
  </conditionalFormatting>
  <conditionalFormatting sqref="AG110:AK116 AG119:AK120">
    <cfRule type="containsText" dxfId="455" priority="957" operator="containsText" text="N">
      <formula>NOT(ISERROR(SEARCH("N",AG110)))</formula>
    </cfRule>
  </conditionalFormatting>
  <conditionalFormatting sqref="AG115:AK116">
    <cfRule type="containsText" dxfId="454" priority="959" operator="containsText" text="S">
      <formula>NOT(ISERROR(SEARCH("S",AG115)))</formula>
    </cfRule>
  </conditionalFormatting>
  <conditionalFormatting sqref="AG119:AK120">
    <cfRule type="containsText" dxfId="453" priority="954" operator="containsText" text="N">
      <formula>NOT(ISERROR(SEARCH("N",AG119)))</formula>
    </cfRule>
  </conditionalFormatting>
  <conditionalFormatting sqref="AG172:AK172">
    <cfRule type="containsText" dxfId="452" priority="960" operator="containsText" text="N">
      <formula>NOT(ISERROR(SEARCH("N",AG172)))</formula>
    </cfRule>
  </conditionalFormatting>
  <conditionalFormatting sqref="AG117:AM117 BA117:BD117">
    <cfRule type="beginsWith" dxfId="451" priority="2479" operator="beginsWith" text="?">
      <formula>LEFT(AG117,LEN("?"))="?"</formula>
    </cfRule>
    <cfRule type="containsText" dxfId="450" priority="2480" operator="containsText" text="N">
      <formula>NOT(ISERROR(SEARCH("N",AG117)))</formula>
    </cfRule>
    <cfRule type="containsText" dxfId="449" priority="2481" operator="containsText" text="S">
      <formula>NOT(ISERROR(SEARCH("S",AG117)))</formula>
    </cfRule>
    <cfRule type="containsText" dxfId="448" priority="2482" operator="containsText" text="N">
      <formula>NOT(ISERROR(SEARCH("N",AG117)))</formula>
    </cfRule>
    <cfRule type="containsText" dxfId="447" priority="2483" operator="containsText" text="S">
      <formula>NOT(ISERROR(SEARCH("S",AG117)))</formula>
    </cfRule>
    <cfRule type="containsText" dxfId="446" priority="2484" operator="containsText" text="N">
      <formula>NOT(ISERROR(SEARCH("N",AG117)))</formula>
    </cfRule>
    <cfRule type="containsText" dxfId="445" priority="2485" operator="containsText" text="S">
      <formula>NOT(ISERROR(SEARCH("S",AG117)))</formula>
    </cfRule>
  </conditionalFormatting>
  <conditionalFormatting sqref="AG106:AZ106">
    <cfRule type="containsText" dxfId="444" priority="2472" operator="containsText" text="N">
      <formula>NOT(ISERROR(SEARCH("N",AG106)))</formula>
    </cfRule>
    <cfRule type="containsText" dxfId="443" priority="3309" operator="containsText" text="N">
      <formula>NOT(ISERROR(SEARCH("N",AG106)))</formula>
    </cfRule>
    <cfRule type="containsText" dxfId="442" priority="3310" operator="containsText" text="S">
      <formula>NOT(ISERROR(SEARCH("S",AG106)))</formula>
    </cfRule>
    <cfRule type="containsText" dxfId="441" priority="3311" operator="containsText" text="N">
      <formula>NOT(ISERROR(SEARCH("N",AG106)))</formula>
    </cfRule>
    <cfRule type="containsText" dxfId="440" priority="3312" operator="containsText" text="S">
      <formula>NOT(ISERROR(SEARCH("S",AG106)))</formula>
    </cfRule>
  </conditionalFormatting>
  <conditionalFormatting sqref="AH105:AM105">
    <cfRule type="containsText" dxfId="439" priority="918" operator="containsText" text="S">
      <formula>NOT(ISERROR(SEARCH("S",AH105)))</formula>
    </cfRule>
  </conditionalFormatting>
  <conditionalFormatting sqref="AH105:AZ105">
    <cfRule type="containsText" dxfId="438" priority="917" operator="containsText" text="N">
      <formula>NOT(ISERROR(SEARCH("N",AH105)))</formula>
    </cfRule>
    <cfRule type="containsText" dxfId="437" priority="920" operator="containsText" text="N">
      <formula>NOT(ISERROR(SEARCH("N",AH105)))</formula>
    </cfRule>
    <cfRule type="containsText" dxfId="436" priority="921" operator="containsText" text="S">
      <formula>NOT(ISERROR(SEARCH("S",AH105)))</formula>
    </cfRule>
    <cfRule type="containsText" dxfId="435" priority="922" operator="containsText" text="N">
      <formula>NOT(ISERROR(SEARCH("N",AH105)))</formula>
    </cfRule>
    <cfRule type="containsText" dxfId="434" priority="923" operator="containsText" text="S">
      <formula>NOT(ISERROR(SEARCH("S",AH105)))</formula>
    </cfRule>
  </conditionalFormatting>
  <conditionalFormatting sqref="AL110:AM114">
    <cfRule type="containsText" dxfId="433" priority="2518" operator="containsText" text="N">
      <formula>NOT(ISERROR(SEARCH("N",AL110)))</formula>
    </cfRule>
    <cfRule type="containsText" dxfId="432" priority="2519" operator="containsText" text="S">
      <formula>NOT(ISERROR(SEARCH("S",AL110)))</formula>
    </cfRule>
    <cfRule type="containsText" dxfId="431" priority="2567" operator="containsText" text="N">
      <formula>NOT(ISERROR(SEARCH("N",AL110)))</formula>
    </cfRule>
  </conditionalFormatting>
  <conditionalFormatting sqref="AL115:AM116 AN119:AO120 AR119:AZ124 AO121:AO124 AD14:AE16">
    <cfRule type="containsText" dxfId="430" priority="6970" operator="containsText" text="N">
      <formula>NOT(ISERROR(SEARCH("N",AD14)))</formula>
    </cfRule>
  </conditionalFormatting>
  <conditionalFormatting sqref="AL164:AM165 AN178:AO186 AN129:BB129 AW157:BD157 C172:Q172 AR178:AR186 AM190:AM193 AM92:AO95 AR92:BD95">
    <cfRule type="containsText" dxfId="429" priority="6974" operator="containsText" text="N">
      <formula>NOT(ISERROR(SEARCH("N",C92)))</formula>
    </cfRule>
  </conditionalFormatting>
  <conditionalFormatting sqref="AL172:AM172">
    <cfRule type="containsText" dxfId="428" priority="6975" operator="containsText" text="N">
      <formula>NOT(ISERROR(SEARCH("N",AL172)))</formula>
    </cfRule>
  </conditionalFormatting>
  <conditionalFormatting sqref="AL119:AO120 AR119:AZ124 AO121:AO124">
    <cfRule type="containsText" dxfId="427" priority="2516" operator="containsText" text="N">
      <formula>NOT(ISERROR(SEARCH("N",AL119)))</formula>
    </cfRule>
  </conditionalFormatting>
  <conditionalFormatting sqref="AM105 BC105:BD105">
    <cfRule type="containsText" dxfId="426" priority="925" operator="containsText" text="N">
      <formula>NOT(ISERROR(SEARCH("N",AM105)))</formula>
    </cfRule>
    <cfRule type="containsText" dxfId="425" priority="926" operator="containsText" text="S">
      <formula>NOT(ISERROR(SEARCH("S",AM105)))</formula>
    </cfRule>
    <cfRule type="containsText" dxfId="424" priority="927" operator="containsText" text="N">
      <formula>NOT(ISERROR(SEARCH("N",AM105)))</formula>
    </cfRule>
    <cfRule type="containsText" dxfId="423" priority="928" operator="containsText" text="S">
      <formula>NOT(ISERROR(SEARCH("S",AM105)))</formula>
    </cfRule>
  </conditionalFormatting>
  <conditionalFormatting sqref="AM105 BC105:BD106">
    <cfRule type="containsText" dxfId="422" priority="929" operator="containsText" text="N">
      <formula>NOT(ISERROR(SEARCH("N",AM105)))</formula>
    </cfRule>
    <cfRule type="containsText" dxfId="421" priority="930" operator="containsText" text="S">
      <formula>NOT(ISERROR(SEARCH("S",AM105)))</formula>
    </cfRule>
  </conditionalFormatting>
  <conditionalFormatting sqref="AM106 BC106:BD106">
    <cfRule type="containsText" dxfId="420" priority="1798" operator="containsText" text="N">
      <formula>NOT(ISERROR(SEARCH("N",AM106)))</formula>
    </cfRule>
    <cfRule type="containsText" dxfId="419" priority="1799" operator="containsText" text="S">
      <formula>NOT(ISERROR(SEARCH("S",AM106)))</formula>
    </cfRule>
    <cfRule type="containsText" dxfId="418" priority="1800" operator="containsText" text="N">
      <formula>NOT(ISERROR(SEARCH("N",AM106)))</formula>
    </cfRule>
    <cfRule type="containsText" dxfId="417" priority="1801" operator="containsText" text="S">
      <formula>NOT(ISERROR(SEARCH("S",AM106)))</formula>
    </cfRule>
  </conditionalFormatting>
  <conditionalFormatting sqref="AM106">
    <cfRule type="containsText" dxfId="416" priority="1796" operator="containsText" text="N">
      <formula>NOT(ISERROR(SEARCH("N",AM106)))</formula>
    </cfRule>
    <cfRule type="containsText" dxfId="415" priority="1797" operator="containsText" text="S">
      <formula>NOT(ISERROR(SEARCH("S",AM106)))</formula>
    </cfRule>
  </conditionalFormatting>
  <conditionalFormatting sqref="AM119:AM120 R129 BA119:BD120">
    <cfRule type="containsText" dxfId="414" priority="1118" operator="containsText" text="N">
      <formula>NOT(ISERROR(SEARCH("N",R119)))</formula>
    </cfRule>
  </conditionalFormatting>
  <conditionalFormatting sqref="AM119:AM120 BA119:BD120 R129">
    <cfRule type="containsText" dxfId="413" priority="1119" operator="containsText" text="S">
      <formula>NOT(ISERROR(SEARCH("S",R119)))</formula>
    </cfRule>
  </conditionalFormatting>
  <conditionalFormatting sqref="AM121">
    <cfRule type="containsText" dxfId="412" priority="32" operator="containsText" text="N">
      <formula>NOT(ISERROR(SEARCH("N",AM121)))</formula>
    </cfRule>
    <cfRule type="containsText" dxfId="411" priority="33" operator="containsText" text="S">
      <formula>NOT(ISERROR(SEARCH("S",AM121)))</formula>
    </cfRule>
  </conditionalFormatting>
  <conditionalFormatting sqref="AM123">
    <cfRule type="containsText" dxfId="410" priority="30" operator="containsText" text="N">
      <formula>NOT(ISERROR(SEARCH("N",AM123)))</formula>
    </cfRule>
    <cfRule type="containsText" dxfId="409" priority="31" operator="containsText" text="S">
      <formula>NOT(ISERROR(SEARCH("S",AM123)))</formula>
    </cfRule>
  </conditionalFormatting>
  <conditionalFormatting sqref="AM151 BC151:BD151">
    <cfRule type="containsText" dxfId="408" priority="367" operator="containsText" text="N">
      <formula>NOT(ISERROR(SEARCH("N",AM151)))</formula>
    </cfRule>
  </conditionalFormatting>
  <conditionalFormatting sqref="AM157:AM163 AM166:AM172 W155:AE155 AL166:AL171 AM178:AM188">
    <cfRule type="containsText" dxfId="407" priority="2579" operator="containsText" text="N">
      <formula>NOT(ISERROR(SEARCH("N",W155)))</formula>
    </cfRule>
  </conditionalFormatting>
  <conditionalFormatting sqref="AM167:AM171 R160:R166 AM158:AM163">
    <cfRule type="beginsWith" dxfId="406" priority="1533" operator="beginsWith" text="?">
      <formula>LEFT(R158,LEN("?"))="?"</formula>
    </cfRule>
  </conditionalFormatting>
  <conditionalFormatting sqref="AM199:AM200">
    <cfRule type="beginsWith" dxfId="405" priority="1810" operator="beginsWith" text="?">
      <formula>LEFT(AM199,LEN("?"))="?"</formula>
    </cfRule>
    <cfRule type="containsText" dxfId="404" priority="1813" operator="containsText" text="N">
      <formula>NOT(ISERROR(SEARCH("N",AM199)))</formula>
    </cfRule>
    <cfRule type="containsText" dxfId="403" priority="1814" operator="containsText" text="S">
      <formula>NOT(ISERROR(SEARCH("S",AM199)))</formula>
    </cfRule>
    <cfRule type="containsText" dxfId="402" priority="1818" operator="containsText" text="N">
      <formula>NOT(ISERROR(SEARCH("N",AM199)))</formula>
    </cfRule>
    <cfRule type="containsText" dxfId="401" priority="1819" operator="containsText" text="S">
      <formula>NOT(ISERROR(SEARCH("S",AM199)))</formula>
    </cfRule>
  </conditionalFormatting>
  <conditionalFormatting sqref="AM190:AO193 AR190:AV193 AS172:BC174 AS175:BB186 BC175:BD188 AS187:AV188 BC190:BD193">
    <cfRule type="beginsWith" dxfId="400" priority="485" operator="beginsWith" text="?">
      <formula>LEFT(AM172,LEN("?"))="?"</formula>
    </cfRule>
  </conditionalFormatting>
  <conditionalFormatting sqref="AM151:BD151">
    <cfRule type="containsText" dxfId="399" priority="372" operator="containsText" text="S">
      <formula>NOT(ISERROR(SEARCH("S",AM151)))</formula>
    </cfRule>
  </conditionalFormatting>
  <conditionalFormatting sqref="AN164">
    <cfRule type="beginsWith" dxfId="398" priority="501" operator="beginsWith" text="?">
      <formula>LEFT(AN164,LEN("?"))="?"</formula>
    </cfRule>
  </conditionalFormatting>
  <conditionalFormatting sqref="AN168:AN171 AN158:AO167">
    <cfRule type="beginsWith" dxfId="397" priority="503" operator="beginsWith" text="?">
      <formula>LEFT(AN158,LEN("?"))="?"</formula>
    </cfRule>
  </conditionalFormatting>
  <conditionalFormatting sqref="AN171">
    <cfRule type="containsText" dxfId="396" priority="502" operator="containsText" text="S">
      <formula>NOT(ISERROR(SEARCH("S",AN171)))</formula>
    </cfRule>
  </conditionalFormatting>
  <conditionalFormatting sqref="AN158:AO171 AR158:AR171">
    <cfRule type="containsText" dxfId="395" priority="507" operator="containsText" text="S">
      <formula>NOT(ISERROR(SEARCH("S",AN158)))</formula>
    </cfRule>
  </conditionalFormatting>
  <conditionalFormatting sqref="AN158:AO172 AR158:AR172">
    <cfRule type="containsText" dxfId="394" priority="505" operator="containsText" text="N">
      <formula>NOT(ISERROR(SEARCH("N",AN158)))</formula>
    </cfRule>
  </conditionalFormatting>
  <conditionalFormatting sqref="AO158:AO160">
    <cfRule type="containsText" dxfId="393" priority="506" operator="containsText" text="N">
      <formula>NOT(ISERROR(SEARCH("N",AO158)))</formula>
    </cfRule>
  </conditionalFormatting>
  <conditionalFormatting sqref="AO165:AO171">
    <cfRule type="beginsWith" dxfId="392" priority="504" operator="beginsWith" text="?">
      <formula>LEFT(AO165,LEN("?"))="?"</formula>
    </cfRule>
  </conditionalFormatting>
  <conditionalFormatting sqref="AO105:AZ105">
    <cfRule type="containsText" dxfId="391" priority="919" operator="containsText" text="S">
      <formula>NOT(ISERROR(SEARCH("S",AO105)))</formula>
    </cfRule>
  </conditionalFormatting>
  <conditionalFormatting sqref="AO106:AZ106">
    <cfRule type="containsText" dxfId="390" priority="3306" operator="containsText" text="S">
      <formula>NOT(ISERROR(SEARCH("S",AO106)))</formula>
    </cfRule>
  </conditionalFormatting>
  <conditionalFormatting sqref="AO105:BD105">
    <cfRule type="containsText" dxfId="389" priority="937" operator="containsText" text="N">
      <formula>NOT(ISERROR(SEARCH("N",AO105)))</formula>
    </cfRule>
  </conditionalFormatting>
  <conditionalFormatting sqref="AP74">
    <cfRule type="containsText" dxfId="388" priority="332" operator="containsText" text="S">
      <formula>NOT(ISERROR(SEARCH("S",AP74)))</formula>
    </cfRule>
  </conditionalFormatting>
  <conditionalFormatting sqref="AP85">
    <cfRule type="containsText" dxfId="387" priority="23" operator="containsText" text="S">
      <formula>NOT(ISERROR(SEARCH("S",AP85)))</formula>
    </cfRule>
  </conditionalFormatting>
  <conditionalFormatting sqref="AP158:AP159">
    <cfRule type="beginsWith" dxfId="386" priority="249" operator="beginsWith" text="?">
      <formula>LEFT(AP158,LEN("?"))="?"</formula>
    </cfRule>
    <cfRule type="containsText" dxfId="385" priority="250" operator="containsText" text="N">
      <formula>NOT(ISERROR(SEARCH("N",AP158)))</formula>
    </cfRule>
    <cfRule type="containsText" dxfId="384" priority="251" operator="containsText" text="S">
      <formula>NOT(ISERROR(SEARCH("S",AP158)))</formula>
    </cfRule>
  </conditionalFormatting>
  <conditionalFormatting sqref="AP158:AP166">
    <cfRule type="containsText" dxfId="383" priority="252" operator="containsText" text="N">
      <formula>NOT(ISERROR(SEARCH("N",AP158)))</formula>
    </cfRule>
  </conditionalFormatting>
  <conditionalFormatting sqref="AP160:AP168 AP175 AP47:AP51">
    <cfRule type="containsText" dxfId="382" priority="342" operator="containsText" text="S">
      <formula>NOT(ISERROR(SEARCH("S",AP47)))</formula>
    </cfRule>
  </conditionalFormatting>
  <conditionalFormatting sqref="AP160:AP168">
    <cfRule type="beginsWith" dxfId="381" priority="286" operator="beginsWith" text="?">
      <formula>LEFT(AP160,LEN("?"))="?"</formula>
    </cfRule>
  </conditionalFormatting>
  <conditionalFormatting sqref="AP168:AP175">
    <cfRule type="containsText" dxfId="380" priority="261" operator="containsText" text="N">
      <formula>NOT(ISERROR(SEARCH("N",AP168)))</formula>
    </cfRule>
  </conditionalFormatting>
  <conditionalFormatting sqref="AP169:AP173">
    <cfRule type="containsText" dxfId="379" priority="262" operator="containsText" text="S">
      <formula>NOT(ISERROR(SEARCH("S",AP169)))</formula>
    </cfRule>
  </conditionalFormatting>
  <conditionalFormatting sqref="AP173:AP174">
    <cfRule type="containsText" dxfId="378" priority="256" operator="containsText" text="N">
      <formula>NOT(ISERROR(SEARCH("N",AP173)))</formula>
    </cfRule>
    <cfRule type="containsText" dxfId="377" priority="257" operator="containsText" text="S">
      <formula>NOT(ISERROR(SEARCH("S",AP173)))</formula>
    </cfRule>
    <cfRule type="containsText" dxfId="376" priority="258" operator="containsText" text="N">
      <formula>NOT(ISERROR(SEARCH("N",AP173)))</formula>
    </cfRule>
    <cfRule type="containsText" dxfId="375" priority="259" operator="containsText" text="S">
      <formula>NOT(ISERROR(SEARCH("S",AP173)))</formula>
    </cfRule>
    <cfRule type="beginsWith" dxfId="374" priority="260" operator="beginsWith" text="?">
      <formula>LEFT(AP173,LEN("?"))="?"</formula>
    </cfRule>
  </conditionalFormatting>
  <conditionalFormatting sqref="AP176:AP180">
    <cfRule type="containsText" dxfId="373" priority="254" operator="containsText" text="N">
      <formula>NOT(ISERROR(SEARCH("N",AP176)))</formula>
    </cfRule>
  </conditionalFormatting>
  <conditionalFormatting sqref="AP176:AP181">
    <cfRule type="beginsWith" dxfId="372" priority="253" operator="beginsWith" text="?">
      <formula>LEFT(AP176,LEN("?"))="?"</formula>
    </cfRule>
  </conditionalFormatting>
  <conditionalFormatting sqref="AP176:AP182">
    <cfRule type="containsText" dxfId="371" priority="255" operator="containsText" text="S">
      <formula>NOT(ISERROR(SEARCH("S",AP176)))</formula>
    </cfRule>
  </conditionalFormatting>
  <conditionalFormatting sqref="AP181:AP182">
    <cfRule type="containsText" dxfId="370" priority="295" operator="containsText" text="N">
      <formula>NOT(ISERROR(SEARCH("N",AP181)))</formula>
    </cfRule>
    <cfRule type="containsText" dxfId="369" priority="296" operator="containsText" text="S">
      <formula>NOT(ISERROR(SEARCH("S",AP181)))</formula>
    </cfRule>
    <cfRule type="containsText" dxfId="368" priority="344" operator="containsText" text="S">
      <formula>NOT(ISERROR(SEARCH("S",AP181)))</formula>
    </cfRule>
  </conditionalFormatting>
  <conditionalFormatting sqref="AP181:AP184">
    <cfRule type="containsText" dxfId="367" priority="291" operator="containsText" text="N">
      <formula>NOT(ISERROR(SEARCH("N",AP181)))</formula>
    </cfRule>
  </conditionalFormatting>
  <conditionalFormatting sqref="AP181:AP186">
    <cfRule type="containsText" dxfId="366" priority="292" operator="containsText" text="S">
      <formula>NOT(ISERROR(SEARCH("S",AP181)))</formula>
    </cfRule>
  </conditionalFormatting>
  <conditionalFormatting sqref="AP182 AP185:AP186">
    <cfRule type="beginsWith" dxfId="365" priority="328" operator="beginsWith" text="?">
      <formula>LEFT(AP182,LEN("?"))="?"</formula>
    </cfRule>
  </conditionalFormatting>
  <conditionalFormatting sqref="AP182">
    <cfRule type="containsText" dxfId="364" priority="341" operator="containsText" text="N">
      <formula>NOT(ISERROR(SEARCH("N",AP182)))</formula>
    </cfRule>
  </conditionalFormatting>
  <conditionalFormatting sqref="AP183:AP184">
    <cfRule type="beginsWith" dxfId="363" priority="290" operator="beginsWith" text="?">
      <formula>LEFT(AP183,LEN("?"))="?"</formula>
    </cfRule>
  </conditionalFormatting>
  <conditionalFormatting sqref="AP185:AP186">
    <cfRule type="containsText" dxfId="362" priority="293" operator="containsText" text="N">
      <formula>NOT(ISERROR(SEARCH("N",AP185)))</formula>
    </cfRule>
    <cfRule type="containsText" dxfId="361" priority="294" operator="containsText" text="S">
      <formula>NOT(ISERROR(SEARCH("S",AP185)))</formula>
    </cfRule>
  </conditionalFormatting>
  <conditionalFormatting sqref="AP47:AQ55 AP60:AQ76 AP185:AQ185 AP104:AQ116 R119:AQ120 AO121:AQ124 AL125:AQ128 AM121 AM123 AL7:BD21 R7:AK32 R85:T85 S74:T74 C76:T76 U157:Y188 AL22:AP26 AR22:BD26 AL27:BD30 AL31:AP32 AR31:BD32 C36:X36 Y36:BD37 R37:T37 V37:X37 W41:AM44 AL47:AM51 R47:AK56 AL52:AO55 AR52:BD55 AL56:AM56 C60:S60 R60:T73 Z60:AO84 U60:Y89 R74:S75 R87:T89 C92:S92 R92:T94 U92:AM95 Q95:T95 C104:T104 AL104:AO104 U104:AK116 AL105:AN105 R105:T116 AL106:AO116 AR106:BD116 C109:S109 AR119:BD125 S121 S123 R125:AG125 AH125:AK129 AG126:AG128 AR126:BB128 BC126:BD129 Z127:AE128 R127:Y129 Z128:AF128 AM128:AM129 S128:S130 Z129:AG129 AL129 R132:T150 AR132:BD150 U132:AQ151 C151:T151 AR151:AZ151 R153:BD155 C157:T157 Z157:AG157 AL157:AV157 AH157:AK171 Z158:AF159 AG158:AG162 AL158:AM162 Z160:AG160 Z161:AF161 Z162:AG171 AL163 T172 Z173:AG177 AL173:AO177 AR173:AR177 AH173:AK188 Z178:AE180 AG178:AG185 AL178:AM186 Z181:AF182 Z183:AE186 R185:S185 Z186:AG188 AL187:AO188 AR187:AR188 U190:AO193 AR190:AV193">
    <cfRule type="containsText" dxfId="358" priority="355" operator="containsText" text="N">
      <formula>NOT(ISERROR(SEARCH("N",C7)))</formula>
    </cfRule>
  </conditionalFormatting>
  <conditionalFormatting sqref="AP61:AQ61 AP63:AQ63 AQ65 AQ67">
    <cfRule type="containsText" dxfId="357" priority="285" operator="containsText" text="S">
      <formula>NOT(ISERROR(SEARCH("S",AP61)))</formula>
    </cfRule>
  </conditionalFormatting>
  <conditionalFormatting sqref="AP61:AQ61 AQ63 AQ65 AQ67">
    <cfRule type="containsText" dxfId="356" priority="284" operator="containsText" text="N">
      <formula>NOT(ISERROR(SEARCH("N",AP61)))</formula>
    </cfRule>
  </conditionalFormatting>
  <conditionalFormatting sqref="AP65:AQ65 AP67:AQ67">
    <cfRule type="containsText" dxfId="355" priority="81" operator="containsText" text="N">
      <formula>NOT(ISERROR(SEARCH("N",AP65)))</formula>
    </cfRule>
  </conditionalFormatting>
  <conditionalFormatting sqref="AP69:AQ72">
    <cfRule type="containsText" dxfId="354" priority="84" operator="containsText" text="N">
      <formula>NOT(ISERROR(SEARCH("N",AP69)))</formula>
    </cfRule>
    <cfRule type="containsText" dxfId="353" priority="85" operator="containsText" text="S">
      <formula>NOT(ISERROR(SEARCH("S",AP69)))</formula>
    </cfRule>
  </conditionalFormatting>
  <conditionalFormatting sqref="AP77:AQ84">
    <cfRule type="containsText" dxfId="352" priority="79" operator="containsText" text="N">
      <formula>NOT(ISERROR(SEARCH("N",AP77)))</formula>
    </cfRule>
  </conditionalFormatting>
  <conditionalFormatting sqref="AP77:AQ85">
    <cfRule type="containsText" dxfId="351" priority="325" operator="containsText" text="N">
      <formula>NOT(ISERROR(SEARCH("N",AP77)))</formula>
    </cfRule>
  </conditionalFormatting>
  <conditionalFormatting sqref="AP86:AQ86">
    <cfRule type="containsText" dxfId="350" priority="17" operator="containsText" text="N">
      <formula>NOT(ISERROR(SEARCH("N",AP86)))</formula>
    </cfRule>
  </conditionalFormatting>
  <conditionalFormatting sqref="AP92:AQ95">
    <cfRule type="containsText" dxfId="349" priority="73" operator="containsText" text="N">
      <formula>NOT(ISERROR(SEARCH("N",AP92)))</formula>
    </cfRule>
  </conditionalFormatting>
  <conditionalFormatting sqref="AP106:AQ108">
    <cfRule type="containsText" dxfId="348" priority="72" operator="containsText" text="S">
      <formula>NOT(ISERROR(SEARCH("S",AP106)))</formula>
    </cfRule>
  </conditionalFormatting>
  <conditionalFormatting sqref="AP119:AQ124">
    <cfRule type="containsText" dxfId="347" priority="68" operator="containsText" text="N">
      <formula>NOT(ISERROR(SEARCH("N",AP119)))</formula>
    </cfRule>
    <cfRule type="containsText" dxfId="346" priority="70" operator="containsText" text="N">
      <formula>NOT(ISERROR(SEARCH("N",AP119)))</formula>
    </cfRule>
    <cfRule type="containsText" dxfId="345" priority="71" operator="containsText" text="S">
      <formula>NOT(ISERROR(SEARCH("S",AP119)))</formula>
    </cfRule>
  </conditionalFormatting>
  <conditionalFormatting sqref="AP119:AQ125 AP110:AQ116">
    <cfRule type="containsText" dxfId="344" priority="69" operator="containsText" text="S">
      <formula>NOT(ISERROR(SEARCH("S",AP110)))</formula>
    </cfRule>
  </conditionalFormatting>
  <conditionalFormatting sqref="AP176:AQ177">
    <cfRule type="containsText" dxfId="343" priority="243" operator="containsText" text="S">
      <formula>NOT(ISERROR(SEARCH("S",AP176)))</formula>
    </cfRule>
  </conditionalFormatting>
  <conditionalFormatting sqref="AQ61 AQ63 AQ65 AQ67">
    <cfRule type="containsText" dxfId="342" priority="282" operator="containsText" text="N">
      <formula>NOT(ISERROR(SEARCH("N",AQ61)))</formula>
    </cfRule>
    <cfRule type="containsText" dxfId="341" priority="283" operator="containsText" text="S">
      <formula>NOT(ISERROR(SEARCH("S",AQ61)))</formula>
    </cfRule>
  </conditionalFormatting>
  <conditionalFormatting sqref="AQ65 AQ67 AQ61 AQ63">
    <cfRule type="containsText" dxfId="340" priority="281" operator="containsText" text="S">
      <formula>NOT(ISERROR(SEARCH("S",AQ61)))</formula>
    </cfRule>
  </conditionalFormatting>
  <conditionalFormatting sqref="AQ67">
    <cfRule type="containsText" dxfId="339" priority="319" operator="containsText" text="N">
      <formula>NOT(ISERROR(SEARCH("N",AQ67)))</formula>
    </cfRule>
    <cfRule type="containsText" dxfId="338" priority="320" operator="containsText" text="S">
      <formula>NOT(ISERROR(SEARCH("S",AQ67)))</formula>
    </cfRule>
    <cfRule type="containsText" dxfId="337" priority="321" operator="containsText" text="N">
      <formula>NOT(ISERROR(SEARCH("N",AQ67)))</formula>
    </cfRule>
    <cfRule type="containsText" dxfId="336" priority="322" operator="containsText" text="S">
      <formula>NOT(ISERROR(SEARCH("S",AQ67)))</formula>
    </cfRule>
  </conditionalFormatting>
  <conditionalFormatting sqref="AQ69:AQ72">
    <cfRule type="containsText" dxfId="335" priority="82" operator="containsText" text="N">
      <formula>NOT(ISERROR(SEARCH("N",AQ69)))</formula>
    </cfRule>
    <cfRule type="containsText" dxfId="334" priority="83" operator="containsText" text="S">
      <formula>NOT(ISERROR(SEARCH("S",AQ69)))</formula>
    </cfRule>
  </conditionalFormatting>
  <conditionalFormatting sqref="AQ77 AQ79 AQ81 AQ83">
    <cfRule type="containsText" dxfId="333" priority="326" operator="containsText" text="S">
      <formula>NOT(ISERROR(SEARCH("S",AQ77)))</formula>
    </cfRule>
  </conditionalFormatting>
  <conditionalFormatting sqref="AQ78">
    <cfRule type="containsText" dxfId="332" priority="269" operator="containsText" text="S">
      <formula>NOT(ISERROR(SEARCH("S",AQ78)))</formula>
    </cfRule>
  </conditionalFormatting>
  <conditionalFormatting sqref="AQ80">
    <cfRule type="containsText" dxfId="331" priority="268" operator="containsText" text="S">
      <formula>NOT(ISERROR(SEARCH("S",AQ80)))</formula>
    </cfRule>
  </conditionalFormatting>
  <conditionalFormatting sqref="AQ82">
    <cfRule type="containsText" dxfId="330" priority="267" operator="containsText" text="S">
      <formula>NOT(ISERROR(SEARCH("S",AQ82)))</formula>
    </cfRule>
  </conditionalFormatting>
  <conditionalFormatting sqref="AQ84">
    <cfRule type="containsText" dxfId="329" priority="266" operator="containsText" text="S">
      <formula>NOT(ISERROR(SEARCH("S",AQ84)))</formula>
    </cfRule>
  </conditionalFormatting>
  <conditionalFormatting sqref="AQ86">
    <cfRule type="containsText" dxfId="328" priority="18" operator="containsText" text="S">
      <formula>NOT(ISERROR(SEARCH("S",AQ86)))</formula>
    </cfRule>
  </conditionalFormatting>
  <conditionalFormatting sqref="AQ90">
    <cfRule type="containsText" dxfId="327" priority="77" operator="containsText" text="N">
      <formula>NOT(ISERROR(SEARCH("N",AQ90)))</formula>
    </cfRule>
    <cfRule type="containsText" dxfId="326" priority="78" operator="containsText" text="S">
      <formula>NOT(ISERROR(SEARCH("S",AQ90)))</formula>
    </cfRule>
  </conditionalFormatting>
  <conditionalFormatting sqref="AQ90:AQ92 S90:S102 S104 R150:S150 R152:S152 R158:R159">
    <cfRule type="containsText" dxfId="325" priority="817" operator="containsText" text="N">
      <formula>NOT(ISERROR(SEARCH("N",R90)))</formula>
    </cfRule>
    <cfRule type="containsText" dxfId="324" priority="818" operator="containsText" text="S">
      <formula>NOT(ISERROR(SEARCH("S",R90)))</formula>
    </cfRule>
  </conditionalFormatting>
  <conditionalFormatting sqref="AQ104">
    <cfRule type="containsText" dxfId="323" priority="310" operator="containsText" text="S">
      <formula>NOT(ISERROR(SEARCH("S",AQ104)))</formula>
    </cfRule>
  </conditionalFormatting>
  <conditionalFormatting sqref="AQ104:AQ108">
    <cfRule type="beginsWith" dxfId="322" priority="263" operator="beginsWith" text="?">
      <formula>LEFT(AQ104,LEN("?"))="?"</formula>
    </cfRule>
  </conditionalFormatting>
  <conditionalFormatting sqref="AQ105:AQ108">
    <cfRule type="containsText" dxfId="321" priority="264" operator="containsText" text="N">
      <formula>NOT(ISERROR(SEARCH("N",AQ105)))</formula>
    </cfRule>
    <cfRule type="containsText" dxfId="320" priority="265" operator="containsText" text="S">
      <formula>NOT(ISERROR(SEARCH("S",AQ105)))</formula>
    </cfRule>
  </conditionalFormatting>
  <conditionalFormatting sqref="AQ158:AQ161">
    <cfRule type="containsText" dxfId="319" priority="224" operator="containsText" text="N">
      <formula>NOT(ISERROR(SEARCH("N",AQ158)))</formula>
    </cfRule>
    <cfRule type="beginsWith" dxfId="318" priority="227" operator="beginsWith" text="?">
      <formula>LEFT(AQ158,LEN("?"))="?"</formula>
    </cfRule>
    <cfRule type="containsText" dxfId="317" priority="228" operator="containsText" text="N">
      <formula>NOT(ISERROR(SEARCH("N",AQ158)))</formula>
    </cfRule>
    <cfRule type="containsText" dxfId="316" priority="229" operator="containsText" text="S">
      <formula>NOT(ISERROR(SEARCH("S",AQ158)))</formula>
    </cfRule>
  </conditionalFormatting>
  <conditionalFormatting sqref="AQ158:AQ162">
    <cfRule type="containsText" dxfId="315" priority="226" operator="containsText" text="N">
      <formula>NOT(ISERROR(SEARCH("N",AQ158)))</formula>
    </cfRule>
  </conditionalFormatting>
  <conditionalFormatting sqref="AQ158:AQ163">
    <cfRule type="containsText" dxfId="314" priority="225" operator="containsText" text="S">
      <formula>NOT(ISERROR(SEARCH("S",AQ158)))</formula>
    </cfRule>
  </conditionalFormatting>
  <conditionalFormatting sqref="AQ158:AQ202">
    <cfRule type="containsText" dxfId="313" priority="177" operator="containsText" text="S">
      <formula>NOT(ISERROR(SEARCH("S",AQ158)))</formula>
    </cfRule>
    <cfRule type="containsText" dxfId="312" priority="244" operator="containsText" text="N">
      <formula>NOT(ISERROR(SEARCH("N",AQ158)))</formula>
    </cfRule>
  </conditionalFormatting>
  <conditionalFormatting sqref="AQ160">
    <cfRule type="beginsWith" dxfId="311" priority="217" operator="beginsWith" text="?">
      <formula>LEFT(AQ160,LEN("?"))="?"</formula>
    </cfRule>
  </conditionalFormatting>
  <conditionalFormatting sqref="AQ160:AQ163">
    <cfRule type="containsText" dxfId="310" priority="222" operator="containsText" text="N">
      <formula>NOT(ISERROR(SEARCH("N",AQ160)))</formula>
    </cfRule>
    <cfRule type="containsText" dxfId="309" priority="223" operator="containsText" text="S">
      <formula>NOT(ISERROR(SEARCH("S",AQ160)))</formula>
    </cfRule>
  </conditionalFormatting>
  <conditionalFormatting sqref="AQ161">
    <cfRule type="containsText" dxfId="308" priority="220" operator="containsText" text="N">
      <formula>NOT(ISERROR(SEARCH("N",AQ161)))</formula>
    </cfRule>
  </conditionalFormatting>
  <conditionalFormatting sqref="AQ161:AQ164">
    <cfRule type="beginsWith" dxfId="307" priority="221" operator="beginsWith" text="?">
      <formula>LEFT(AQ161,LEN("?"))="?"</formula>
    </cfRule>
  </conditionalFormatting>
  <conditionalFormatting sqref="AQ162">
    <cfRule type="containsText" dxfId="306" priority="143" operator="containsText" text="N">
      <formula>NOT(ISERROR(SEARCH("N",AQ162)))</formula>
    </cfRule>
    <cfRule type="containsText" dxfId="305" priority="144" operator="containsText" text="S">
      <formula>NOT(ISERROR(SEARCH("S",AQ162)))</formula>
    </cfRule>
    <cfRule type="containsText" dxfId="304" priority="145" operator="containsText" text="N">
      <formula>NOT(ISERROR(SEARCH("N",AQ162)))</formula>
    </cfRule>
    <cfRule type="beginsWith" dxfId="303" priority="146" operator="beginsWith" text="?">
      <formula>LEFT(AQ162,LEN("?"))="?"</formula>
    </cfRule>
    <cfRule type="containsText" dxfId="302" priority="147" operator="containsText" text="N">
      <formula>NOT(ISERROR(SEARCH("N",AQ162)))</formula>
    </cfRule>
    <cfRule type="containsText" dxfId="301" priority="148" operator="containsText" text="S">
      <formula>NOT(ISERROR(SEARCH("S",AQ162)))</formula>
    </cfRule>
    <cfRule type="containsText" dxfId="300" priority="149" operator="containsText" text="N">
      <formula>NOT(ISERROR(SEARCH("N",AQ162)))</formula>
    </cfRule>
    <cfRule type="containsText" dxfId="299" priority="150" operator="containsText" text="S">
      <formula>NOT(ISERROR(SEARCH("S",AQ162)))</formula>
    </cfRule>
    <cfRule type="containsText" dxfId="298" priority="151" operator="containsText" text="N">
      <formula>NOT(ISERROR(SEARCH("N",AQ162)))</formula>
    </cfRule>
    <cfRule type="beginsWith" dxfId="297" priority="152" operator="beginsWith" text="?">
      <formula>LEFT(AQ162,LEN("?"))="?"</formula>
    </cfRule>
    <cfRule type="containsText" dxfId="296" priority="153" operator="containsText" text="N">
      <formula>NOT(ISERROR(SEARCH("N",AQ162)))</formula>
    </cfRule>
    <cfRule type="containsText" dxfId="295" priority="154" operator="containsText" text="S">
      <formula>NOT(ISERROR(SEARCH("S",AQ162)))</formula>
    </cfRule>
    <cfRule type="beginsWith" dxfId="294" priority="155" operator="beginsWith" text="?">
      <formula>LEFT(AQ162,LEN("?"))="?"</formula>
    </cfRule>
    <cfRule type="containsText" dxfId="293" priority="156" operator="containsText" text="N">
      <formula>NOT(ISERROR(SEARCH("N",AQ162)))</formula>
    </cfRule>
    <cfRule type="containsText" dxfId="292" priority="157" operator="containsText" text="S">
      <formula>NOT(ISERROR(SEARCH("S",AQ162)))</formula>
    </cfRule>
    <cfRule type="containsText" dxfId="291" priority="158" operator="containsText" text="N">
      <formula>NOT(ISERROR(SEARCH("N",AQ162)))</formula>
    </cfRule>
    <cfRule type="beginsWith" dxfId="290" priority="159" operator="beginsWith" text="?">
      <formula>LEFT(AQ162,LEN("?"))="?"</formula>
    </cfRule>
    <cfRule type="containsText" dxfId="289" priority="160" operator="containsText" text="N">
      <formula>NOT(ISERROR(SEARCH("N",AQ162)))</formula>
    </cfRule>
    <cfRule type="containsText" dxfId="288" priority="161" operator="containsText" text="S">
      <formula>NOT(ISERROR(SEARCH("S",AQ162)))</formula>
    </cfRule>
    <cfRule type="beginsWith" dxfId="287" priority="174" operator="beginsWith" text="?">
      <formula>LEFT(AQ162,LEN("?"))="?"</formula>
    </cfRule>
  </conditionalFormatting>
  <conditionalFormatting sqref="AQ162:AQ163">
    <cfRule type="beginsWith" dxfId="286" priority="104" operator="beginsWith" text="?">
      <formula>LEFT(AQ162,LEN("?"))="?"</formula>
    </cfRule>
    <cfRule type="containsText" dxfId="285" priority="106" operator="containsText" text="S">
      <formula>NOT(ISERROR(SEARCH("S",AQ162)))</formula>
    </cfRule>
    <cfRule type="containsText" dxfId="284" priority="162" operator="containsText" text="N">
      <formula>NOT(ISERROR(SEARCH("N",AQ162)))</formula>
    </cfRule>
    <cfRule type="beginsWith" dxfId="283" priority="167" operator="beginsWith" text="?">
      <formula>LEFT(AQ162,LEN("?"))="?"</formula>
    </cfRule>
    <cfRule type="containsText" dxfId="282" priority="168" operator="containsText" text="N">
      <formula>NOT(ISERROR(SEARCH("N",AQ162)))</formula>
    </cfRule>
    <cfRule type="containsText" dxfId="281" priority="169" operator="containsText" text="S">
      <formula>NOT(ISERROR(SEARCH("S",AQ162)))</formula>
    </cfRule>
  </conditionalFormatting>
  <conditionalFormatting sqref="AQ163">
    <cfRule type="containsText" dxfId="280" priority="95" operator="containsText" text="N">
      <formula>NOT(ISERROR(SEARCH("N",AQ163)))</formula>
    </cfRule>
    <cfRule type="containsText" dxfId="279" priority="96" operator="containsText" text="S">
      <formula>NOT(ISERROR(SEARCH("S",AQ163)))</formula>
    </cfRule>
    <cfRule type="containsText" dxfId="278" priority="97" operator="containsText" text="N">
      <formula>NOT(ISERROR(SEARCH("N",AQ163)))</formula>
    </cfRule>
    <cfRule type="beginsWith" dxfId="277" priority="98" operator="beginsWith" text="?">
      <formula>LEFT(AQ163,LEN("?"))="?"</formula>
    </cfRule>
    <cfRule type="containsText" dxfId="276" priority="99" operator="containsText" text="N">
      <formula>NOT(ISERROR(SEARCH("N",AQ163)))</formula>
    </cfRule>
    <cfRule type="containsText" dxfId="275" priority="100" operator="containsText" text="S">
      <formula>NOT(ISERROR(SEARCH("S",AQ163)))</formula>
    </cfRule>
    <cfRule type="containsText" dxfId="274" priority="101" operator="containsText" text="N">
      <formula>NOT(ISERROR(SEARCH("N",AQ163)))</formula>
    </cfRule>
    <cfRule type="containsText" dxfId="273" priority="102" operator="containsText" text="S">
      <formula>NOT(ISERROR(SEARCH("S",AQ163)))</formula>
    </cfRule>
    <cfRule type="containsText" dxfId="272" priority="103" operator="containsText" text="N">
      <formula>NOT(ISERROR(SEARCH("N",AQ163)))</formula>
    </cfRule>
    <cfRule type="containsText" dxfId="271" priority="105" operator="containsText" text="N">
      <formula>NOT(ISERROR(SEARCH("N",AQ163)))</formula>
    </cfRule>
    <cfRule type="containsText" dxfId="270" priority="219" operator="containsText" text="N">
      <formula>NOT(ISERROR(SEARCH("N",AQ163)))</formula>
    </cfRule>
  </conditionalFormatting>
  <conditionalFormatting sqref="AQ163:AQ165">
    <cfRule type="containsText" dxfId="269" priority="213" operator="containsText" text="N">
      <formula>NOT(ISERROR(SEARCH("N",AQ163)))</formula>
    </cfRule>
    <cfRule type="beginsWith" dxfId="268" priority="214" operator="beginsWith" text="?">
      <formula>LEFT(AQ163,LEN("?"))="?"</formula>
    </cfRule>
    <cfRule type="containsText" dxfId="267" priority="215" operator="containsText" text="N">
      <formula>NOT(ISERROR(SEARCH("N",AQ163)))</formula>
    </cfRule>
    <cfRule type="containsText" dxfId="266" priority="216" operator="containsText" text="S">
      <formula>NOT(ISERROR(SEARCH("S",AQ163)))</formula>
    </cfRule>
  </conditionalFormatting>
  <conditionalFormatting sqref="AQ163:AQ166">
    <cfRule type="containsText" dxfId="265" priority="211" operator="containsText" text="N">
      <formula>NOT(ISERROR(SEARCH("N",AQ163)))</formula>
    </cfRule>
    <cfRule type="containsText" dxfId="264" priority="212" operator="containsText" text="S">
      <formula>NOT(ISERROR(SEARCH("S",AQ163)))</formula>
    </cfRule>
  </conditionalFormatting>
  <conditionalFormatting sqref="AQ164">
    <cfRule type="containsText" dxfId="263" priority="137" operator="containsText" text="N">
      <formula>NOT(ISERROR(SEARCH("N",AQ164)))</formula>
    </cfRule>
    <cfRule type="containsText" dxfId="262" priority="138" operator="containsText" text="S">
      <formula>NOT(ISERROR(SEARCH("S",AQ164)))</formula>
    </cfRule>
    <cfRule type="containsText" dxfId="261" priority="139" operator="containsText" text="N">
      <formula>NOT(ISERROR(SEARCH("N",AQ164)))</formula>
    </cfRule>
    <cfRule type="beginsWith" dxfId="260" priority="140" operator="beginsWith" text="?">
      <formula>LEFT(AQ164,LEN("?"))="?"</formula>
    </cfRule>
  </conditionalFormatting>
  <conditionalFormatting sqref="AQ164:AQ167">
    <cfRule type="containsText" dxfId="259" priority="141" operator="containsText" text="N">
      <formula>NOT(ISERROR(SEARCH("N",AQ164)))</formula>
    </cfRule>
    <cfRule type="containsText" dxfId="258" priority="142" operator="containsText" text="S">
      <formula>NOT(ISERROR(SEARCH("S",AQ164)))</formula>
    </cfRule>
  </conditionalFormatting>
  <conditionalFormatting sqref="AQ164:AQ169">
    <cfRule type="beginsWith" dxfId="257" priority="110" operator="beginsWith" text="?">
      <formula>LEFT(AQ164,LEN("?"))="?"</formula>
    </cfRule>
    <cfRule type="containsText" dxfId="256" priority="112" operator="containsText" text="S">
      <formula>NOT(ISERROR(SEARCH("S",AQ164)))</formula>
    </cfRule>
  </conditionalFormatting>
  <conditionalFormatting sqref="AQ165:AQ167">
    <cfRule type="containsText" dxfId="255" priority="170" operator="containsText" text="N">
      <formula>NOT(ISERROR(SEARCH("N",AQ165)))</formula>
    </cfRule>
    <cfRule type="beginsWith" dxfId="254" priority="171" operator="beginsWith" text="?">
      <formula>LEFT(AQ165,LEN("?"))="?"</formula>
    </cfRule>
    <cfRule type="containsText" dxfId="253" priority="172" operator="containsText" text="N">
      <formula>NOT(ISERROR(SEARCH("N",AQ165)))</formula>
    </cfRule>
    <cfRule type="containsText" dxfId="252" priority="173" operator="containsText" text="S">
      <formula>NOT(ISERROR(SEARCH("S",AQ165)))</formula>
    </cfRule>
  </conditionalFormatting>
  <conditionalFormatting sqref="AQ165:AQ168">
    <cfRule type="containsText" dxfId="251" priority="107" operator="containsText" text="N">
      <formula>NOT(ISERROR(SEARCH("N",AQ165)))</formula>
    </cfRule>
    <cfRule type="containsText" dxfId="250" priority="108" operator="containsText" text="S">
      <formula>NOT(ISERROR(SEARCH("S",AQ165)))</formula>
    </cfRule>
    <cfRule type="containsText" dxfId="249" priority="109" operator="containsText" text="N">
      <formula>NOT(ISERROR(SEARCH("N",AQ165)))</formula>
    </cfRule>
    <cfRule type="containsText" dxfId="248" priority="111" operator="containsText" text="N">
      <formula>NOT(ISERROR(SEARCH("N",AQ165)))</formula>
    </cfRule>
  </conditionalFormatting>
  <conditionalFormatting sqref="AQ166">
    <cfRule type="containsText" dxfId="247" priority="209" operator="containsText" text="N">
      <formula>NOT(ISERROR(SEARCH("N",AQ166)))</formula>
    </cfRule>
    <cfRule type="beginsWith" dxfId="246" priority="210" operator="beginsWith" text="?">
      <formula>LEFT(AQ166,LEN("?"))="?"</formula>
    </cfRule>
  </conditionalFormatting>
  <conditionalFormatting sqref="AQ166:AQ167">
    <cfRule type="containsText" dxfId="245" priority="207" operator="containsText" text="N">
      <formula>NOT(ISERROR(SEARCH("N",AQ166)))</formula>
    </cfRule>
  </conditionalFormatting>
  <conditionalFormatting sqref="AQ166:AQ168">
    <cfRule type="containsText" dxfId="244" priority="208" operator="containsText" text="S">
      <formula>NOT(ISERROR(SEARCH("S",AQ166)))</formula>
    </cfRule>
  </conditionalFormatting>
  <conditionalFormatting sqref="AQ167">
    <cfRule type="containsText" dxfId="243" priority="203" operator="containsText" text="N">
      <formula>NOT(ISERROR(SEARCH("N",AQ167)))</formula>
    </cfRule>
    <cfRule type="containsText" dxfId="242" priority="204" operator="containsText" text="S">
      <formula>NOT(ISERROR(SEARCH("S",AQ167)))</formula>
    </cfRule>
  </conditionalFormatting>
  <conditionalFormatting sqref="AQ167:AQ168">
    <cfRule type="containsText" dxfId="241" priority="205" operator="containsText" text="N">
      <formula>NOT(ISERROR(SEARCH("N",AQ167)))</formula>
    </cfRule>
    <cfRule type="beginsWith" dxfId="240" priority="206" operator="beginsWith" text="?">
      <formula>LEFT(AQ167,LEN("?"))="?"</formula>
    </cfRule>
  </conditionalFormatting>
  <conditionalFormatting sqref="AQ168">
    <cfRule type="containsText" dxfId="239" priority="218" operator="containsText" text="N">
      <formula>NOT(ISERROR(SEARCH("N",AQ168)))</formula>
    </cfRule>
  </conditionalFormatting>
  <conditionalFormatting sqref="AQ169">
    <cfRule type="containsText" dxfId="238" priority="125" operator="containsText" text="N">
      <formula>NOT(ISERROR(SEARCH("N",AQ169)))</formula>
    </cfRule>
    <cfRule type="containsText" dxfId="237" priority="126" operator="containsText" text="S">
      <formula>NOT(ISERROR(SEARCH("S",AQ169)))</formula>
    </cfRule>
    <cfRule type="containsText" dxfId="236" priority="127" operator="containsText" text="N">
      <formula>NOT(ISERROR(SEARCH("N",AQ169)))</formula>
    </cfRule>
    <cfRule type="beginsWith" dxfId="235" priority="128" operator="beginsWith" text="?">
      <formula>LEFT(AQ169,LEN("?"))="?"</formula>
    </cfRule>
    <cfRule type="containsText" dxfId="234" priority="129" operator="containsText" text="N">
      <formula>NOT(ISERROR(SEARCH("N",AQ169)))</formula>
    </cfRule>
    <cfRule type="containsText" dxfId="233" priority="130" operator="containsText" text="S">
      <formula>NOT(ISERROR(SEARCH("S",AQ169)))</formula>
    </cfRule>
    <cfRule type="containsText" dxfId="232" priority="131" operator="containsText" text="N">
      <formula>NOT(ISERROR(SEARCH("N",AQ169)))</formula>
    </cfRule>
    <cfRule type="containsText" dxfId="231" priority="132" operator="containsText" text="S">
      <formula>NOT(ISERROR(SEARCH("S",AQ169)))</formula>
    </cfRule>
    <cfRule type="containsText" dxfId="230" priority="133" operator="containsText" text="N">
      <formula>NOT(ISERROR(SEARCH("N",AQ169)))</formula>
    </cfRule>
    <cfRule type="beginsWith" dxfId="229" priority="134" operator="beginsWith" text="?">
      <formula>LEFT(AQ169,LEN("?"))="?"</formula>
    </cfRule>
    <cfRule type="beginsWith" dxfId="228" priority="200" operator="beginsWith" text="?">
      <formula>LEFT(AQ169,LEN("?"))="?"</formula>
    </cfRule>
    <cfRule type="containsText" dxfId="227" priority="201" operator="containsText" text="N">
      <formula>NOT(ISERROR(SEARCH("N",AQ169)))</formula>
    </cfRule>
    <cfRule type="containsText" dxfId="226" priority="202" operator="containsText" text="S">
      <formula>NOT(ISERROR(SEARCH("S",AQ169)))</formula>
    </cfRule>
  </conditionalFormatting>
  <conditionalFormatting sqref="AQ169:AQ170">
    <cfRule type="containsText" dxfId="225" priority="135" operator="containsText" text="N">
      <formula>NOT(ISERROR(SEARCH("N",AQ169)))</formula>
    </cfRule>
    <cfRule type="containsText" dxfId="224" priority="136" operator="containsText" text="S">
      <formula>NOT(ISERROR(SEARCH("S",AQ169)))</formula>
    </cfRule>
    <cfRule type="beginsWith" dxfId="223" priority="164" operator="beginsWith" text="?">
      <formula>LEFT(AQ169,LEN("?"))="?"</formula>
    </cfRule>
    <cfRule type="containsText" dxfId="222" priority="194" operator="containsText" text="N">
      <formula>NOT(ISERROR(SEARCH("N",AQ169)))</formula>
    </cfRule>
    <cfRule type="containsText" dxfId="221" priority="195" operator="containsText" text="S">
      <formula>NOT(ISERROR(SEARCH("S",AQ169)))</formula>
    </cfRule>
    <cfRule type="containsText" dxfId="220" priority="199" operator="containsText" text="N">
      <formula>NOT(ISERROR(SEARCH("N",AQ169)))</formula>
    </cfRule>
  </conditionalFormatting>
  <conditionalFormatting sqref="AQ170">
    <cfRule type="containsText" dxfId="219" priority="86" operator="containsText" text="N">
      <formula>NOT(ISERROR(SEARCH("N",AQ170)))</formula>
    </cfRule>
    <cfRule type="containsText" dxfId="218" priority="87" operator="containsText" text="S">
      <formula>NOT(ISERROR(SEARCH("S",AQ170)))</formula>
    </cfRule>
    <cfRule type="containsText" dxfId="217" priority="88" operator="containsText" text="N">
      <formula>NOT(ISERROR(SEARCH("N",AQ170)))</formula>
    </cfRule>
    <cfRule type="beginsWith" dxfId="216" priority="89" operator="beginsWith" text="?">
      <formula>LEFT(AQ170,LEN("?"))="?"</formula>
    </cfRule>
    <cfRule type="containsText" dxfId="215" priority="90" operator="containsText" text="N">
      <formula>NOT(ISERROR(SEARCH("N",AQ170)))</formula>
    </cfRule>
    <cfRule type="containsText" dxfId="214" priority="91" operator="containsText" text="S">
      <formula>NOT(ISERROR(SEARCH("S",AQ170)))</formula>
    </cfRule>
    <cfRule type="containsText" dxfId="213" priority="92" operator="containsText" text="N">
      <formula>NOT(ISERROR(SEARCH("N",AQ170)))</formula>
    </cfRule>
    <cfRule type="containsText" dxfId="212" priority="163" operator="containsText" text="N">
      <formula>NOT(ISERROR(SEARCH("N",AQ170)))</formula>
    </cfRule>
    <cfRule type="containsText" dxfId="211" priority="165" operator="containsText" text="N">
      <formula>NOT(ISERROR(SEARCH("N",AQ170)))</formula>
    </cfRule>
    <cfRule type="containsText" dxfId="210" priority="166" operator="containsText" text="S">
      <formula>NOT(ISERROR(SEARCH("S",AQ170)))</formula>
    </cfRule>
    <cfRule type="containsText" dxfId="209" priority="196" operator="containsText" text="N">
      <formula>NOT(ISERROR(SEARCH("N",AQ170)))</formula>
    </cfRule>
    <cfRule type="containsText" dxfId="208" priority="198" operator="containsText" text="S">
      <formula>NOT(ISERROR(SEARCH("S",AQ170)))</formula>
    </cfRule>
  </conditionalFormatting>
  <conditionalFormatting sqref="AQ170:AQ171">
    <cfRule type="beginsWith" dxfId="207" priority="93" operator="beginsWith" text="?">
      <formula>LEFT(AQ170,LEN("?"))="?"</formula>
    </cfRule>
    <cfRule type="containsText" dxfId="206" priority="94" operator="containsText" text="S">
      <formula>NOT(ISERROR(SEARCH("S",AQ170)))</formula>
    </cfRule>
  </conditionalFormatting>
  <conditionalFormatting sqref="AQ170:AQ178">
    <cfRule type="beginsWith" dxfId="205" priority="197" operator="beginsWith" text="?">
      <formula>LEFT(AQ170,LEN("?"))="?"</formula>
    </cfRule>
  </conditionalFormatting>
  <conditionalFormatting sqref="AQ171">
    <cfRule type="containsText" dxfId="204" priority="113" operator="containsText" text="N">
      <formula>NOT(ISERROR(SEARCH("N",AQ171)))</formula>
    </cfRule>
    <cfRule type="containsText" dxfId="203" priority="114" operator="containsText" text="S">
      <formula>NOT(ISERROR(SEARCH("S",AQ171)))</formula>
    </cfRule>
    <cfRule type="containsText" dxfId="202" priority="115" operator="containsText" text="N">
      <formula>NOT(ISERROR(SEARCH("N",AQ171)))</formula>
    </cfRule>
    <cfRule type="beginsWith" dxfId="201" priority="116" operator="beginsWith" text="?">
      <formula>LEFT(AQ171,LEN("?"))="?"</formula>
    </cfRule>
    <cfRule type="containsText" dxfId="200" priority="117" operator="containsText" text="N">
      <formula>NOT(ISERROR(SEARCH("N",AQ171)))</formula>
    </cfRule>
    <cfRule type="containsText" dxfId="199" priority="118" operator="containsText" text="S">
      <formula>NOT(ISERROR(SEARCH("S",AQ171)))</formula>
    </cfRule>
    <cfRule type="containsText" dxfId="198" priority="119" operator="containsText" text="N">
      <formula>NOT(ISERROR(SEARCH("N",AQ171)))</formula>
    </cfRule>
    <cfRule type="containsText" dxfId="197" priority="120" operator="containsText" text="S">
      <formula>NOT(ISERROR(SEARCH("S",AQ171)))</formula>
    </cfRule>
    <cfRule type="containsText" dxfId="196" priority="121" operator="containsText" text="N">
      <formula>NOT(ISERROR(SEARCH("N",AQ171)))</formula>
    </cfRule>
    <cfRule type="beginsWith" dxfId="195" priority="122" operator="beginsWith" text="?">
      <formula>LEFT(AQ171,LEN("?"))="?"</formula>
    </cfRule>
    <cfRule type="containsText" dxfId="194" priority="123" operator="containsText" text="N">
      <formula>NOT(ISERROR(SEARCH("N",AQ171)))</formula>
    </cfRule>
    <cfRule type="containsText" dxfId="193" priority="124" operator="containsText" text="S">
      <formula>NOT(ISERROR(SEARCH("S",AQ171)))</formula>
    </cfRule>
  </conditionalFormatting>
  <conditionalFormatting sqref="AQ175:AQ176">
    <cfRule type="containsText" dxfId="192" priority="247" operator="containsText" text="S">
      <formula>NOT(ISERROR(SEARCH("S",AQ175)))</formula>
    </cfRule>
  </conditionalFormatting>
  <conditionalFormatting sqref="AQ176:AQ177">
    <cfRule type="containsText" dxfId="191" priority="242" operator="containsText" text="N">
      <formula>NOT(ISERROR(SEARCH("N",AQ176)))</formula>
    </cfRule>
  </conditionalFormatting>
  <conditionalFormatting sqref="AQ177">
    <cfRule type="containsText" dxfId="190" priority="240" operator="containsText" text="N">
      <formula>NOT(ISERROR(SEARCH("N",AQ177)))</formula>
    </cfRule>
    <cfRule type="containsText" dxfId="189" priority="241" operator="containsText" text="S">
      <formula>NOT(ISERROR(SEARCH("S",AQ177)))</formula>
    </cfRule>
  </conditionalFormatting>
  <conditionalFormatting sqref="AQ177:AQ178">
    <cfRule type="containsText" dxfId="188" priority="235" operator="containsText" text="N">
      <formula>NOT(ISERROR(SEARCH("N",AQ177)))</formula>
    </cfRule>
    <cfRule type="containsText" dxfId="187" priority="236" operator="containsText" text="S">
      <formula>NOT(ISERROR(SEARCH("S",AQ177)))</formula>
    </cfRule>
  </conditionalFormatting>
  <conditionalFormatting sqref="AQ179:AQ180">
    <cfRule type="beginsWith" dxfId="186" priority="175" operator="beginsWith" text="?">
      <formula>LEFT(AQ179,LEN("?"))="?"</formula>
    </cfRule>
    <cfRule type="containsText" dxfId="185" priority="176" operator="containsText" text="N">
      <formula>NOT(ISERROR(SEARCH("N",AQ179)))</formula>
    </cfRule>
  </conditionalFormatting>
  <conditionalFormatting sqref="AQ181">
    <cfRule type="containsText" dxfId="184" priority="248" operator="containsText" text="S">
      <formula>NOT(ISERROR(SEARCH("S",AQ181)))</formula>
    </cfRule>
  </conditionalFormatting>
  <conditionalFormatting sqref="AQ181:AQ182">
    <cfRule type="beginsWith" dxfId="183" priority="191" operator="beginsWith" text="?">
      <formula>LEFT(AQ181,LEN("?"))="?"</formula>
    </cfRule>
    <cfRule type="containsText" dxfId="182" priority="193" operator="containsText" text="S">
      <formula>NOT(ISERROR(SEARCH("S",AQ181)))</formula>
    </cfRule>
  </conditionalFormatting>
  <conditionalFormatting sqref="AQ181:AQ184">
    <cfRule type="containsText" dxfId="181" priority="231" operator="containsText" text="N">
      <formula>NOT(ISERROR(SEARCH("N",AQ181)))</formula>
    </cfRule>
  </conditionalFormatting>
  <conditionalFormatting sqref="AQ182">
    <cfRule type="containsText" dxfId="180" priority="192" operator="containsText" text="N">
      <formula>NOT(ISERROR(SEARCH("N",AQ182)))</formula>
    </cfRule>
  </conditionalFormatting>
  <conditionalFormatting sqref="AQ183">
    <cfRule type="beginsWith" dxfId="179" priority="237" operator="beginsWith" text="?">
      <formula>LEFT(AQ183,LEN("?"))="?"</formula>
    </cfRule>
    <cfRule type="containsText" dxfId="178" priority="238" operator="containsText" text="N">
      <formula>NOT(ISERROR(SEARCH("N",AQ183)))</formula>
    </cfRule>
    <cfRule type="containsText" dxfId="177" priority="239" operator="containsText" text="S">
      <formula>NOT(ISERROR(SEARCH("S",AQ183)))</formula>
    </cfRule>
  </conditionalFormatting>
  <conditionalFormatting sqref="AQ183:AQ185">
    <cfRule type="containsText" dxfId="176" priority="234" operator="containsText" text="S">
      <formula>NOT(ISERROR(SEARCH("S",AQ183)))</formula>
    </cfRule>
  </conditionalFormatting>
  <conditionalFormatting sqref="AQ184">
    <cfRule type="beginsWith" dxfId="175" priority="187" operator="beginsWith" text="?">
      <formula>LEFT(AQ184,LEN("?"))="?"</formula>
    </cfRule>
    <cfRule type="containsText" dxfId="174" priority="188" operator="containsText" text="N">
      <formula>NOT(ISERROR(SEARCH("N",AQ184)))</formula>
    </cfRule>
    <cfRule type="containsText" dxfId="173" priority="189" operator="containsText" text="S">
      <formula>NOT(ISERROR(SEARCH("S",AQ184)))</formula>
    </cfRule>
    <cfRule type="beginsWith" dxfId="172" priority="232" operator="beginsWith" text="?">
      <formula>LEFT(AQ184,LEN("?"))="?"</formula>
    </cfRule>
    <cfRule type="containsText" dxfId="171" priority="233" operator="containsText" text="N">
      <formula>NOT(ISERROR(SEARCH("N",AQ184)))</formula>
    </cfRule>
  </conditionalFormatting>
  <conditionalFormatting sqref="AQ184:AQ185">
    <cfRule type="containsText" dxfId="170" priority="190" operator="containsText" text="N">
      <formula>NOT(ISERROR(SEARCH("N",AQ184)))</formula>
    </cfRule>
  </conditionalFormatting>
  <conditionalFormatting sqref="AQ184:AQ186">
    <cfRule type="containsText" dxfId="169" priority="230" operator="containsText" text="S">
      <formula>NOT(ISERROR(SEARCH("S",AQ184)))</formula>
    </cfRule>
  </conditionalFormatting>
  <conditionalFormatting sqref="AQ185">
    <cfRule type="beginsWith" dxfId="168" priority="246" operator="beginsWith" text="?">
      <formula>LEFT(AQ185,LEN("?"))="?"</formula>
    </cfRule>
  </conditionalFormatting>
  <conditionalFormatting sqref="AQ186">
    <cfRule type="containsText" dxfId="167" priority="184" operator="containsText" text="N">
      <formula>NOT(ISERROR(SEARCH("N",AQ186)))</formula>
    </cfRule>
    <cfRule type="containsText" dxfId="166" priority="185" operator="containsText" text="S">
      <formula>NOT(ISERROR(SEARCH("S",AQ186)))</formula>
    </cfRule>
    <cfRule type="beginsWith" dxfId="165" priority="186" operator="beginsWith" text="?">
      <formula>LEFT(AQ186,LEN("?"))="?"</formula>
    </cfRule>
  </conditionalFormatting>
  <conditionalFormatting sqref="AQ209:AQ229">
    <cfRule type="containsText" dxfId="164" priority="183" operator="containsText" text="S">
      <formula>NOT(ISERROR(SEARCH("S",AQ209)))</formula>
    </cfRule>
    <cfRule type="containsText" dxfId="163" priority="245" operator="containsText" text="N">
      <formula>NOT(ISERROR(SEARCH("N",AQ209)))</formula>
    </cfRule>
  </conditionalFormatting>
  <conditionalFormatting sqref="AQ226">
    <cfRule type="beginsWith" dxfId="162" priority="181" operator="beginsWith" text="?">
      <formula>LEFT(AQ226,LEN("?"))="?"</formula>
    </cfRule>
    <cfRule type="containsText" dxfId="161" priority="182" operator="containsText" text="N">
      <formula>NOT(ISERROR(SEARCH("N",AQ226)))</formula>
    </cfRule>
  </conditionalFormatting>
  <conditionalFormatting sqref="AQ228:AQ229">
    <cfRule type="beginsWith" dxfId="160" priority="178" operator="beginsWith" text="?">
      <formula>LEFT(AQ228,LEN("?"))="?"</formula>
    </cfRule>
    <cfRule type="containsText" dxfId="159" priority="179" operator="containsText" text="N">
      <formula>NOT(ISERROR(SEARCH("N",AQ228)))</formula>
    </cfRule>
    <cfRule type="containsText" dxfId="158" priority="180" operator="containsText" text="S">
      <formula>NOT(ISERROR(SEARCH("S",AQ228)))</formula>
    </cfRule>
  </conditionalFormatting>
  <conditionalFormatting sqref="AQ104:BD104">
    <cfRule type="containsText" dxfId="157" priority="309" operator="containsText" text="N">
      <formula>NOT(ISERROR(SEARCH("N",AQ104)))</formula>
    </cfRule>
  </conditionalFormatting>
  <conditionalFormatting sqref="AR172:AR188 AM176:AO188">
    <cfRule type="beginsWith" dxfId="156" priority="824" operator="beginsWith" text="?">
      <formula>LEFT(AM172,LEN("?"))="?"</formula>
    </cfRule>
  </conditionalFormatting>
  <conditionalFormatting sqref="AR42:BD46 R45:AP46">
    <cfRule type="beginsWith" dxfId="155" priority="44" operator="beginsWith" text="?">
      <formula>LEFT(R42,LEN("?"))="?"</formula>
    </cfRule>
    <cfRule type="containsText" dxfId="154" priority="45" operator="containsText" text="S">
      <formula>NOT(ISERROR(SEARCH("S",R42)))</formula>
    </cfRule>
  </conditionalFormatting>
  <conditionalFormatting sqref="AR158:BD171">
    <cfRule type="beginsWith" dxfId="153" priority="472" operator="beginsWith" text="?">
      <formula>LEFT(AR158,LEN("?"))="?"</formula>
    </cfRule>
  </conditionalFormatting>
  <conditionalFormatting sqref="AS158:AV160">
    <cfRule type="containsText" dxfId="152" priority="499" operator="containsText" text="N">
      <formula>NOT(ISERROR(SEARCH("N",AS158)))</formula>
    </cfRule>
  </conditionalFormatting>
  <conditionalFormatting sqref="AS225:AZ229">
    <cfRule type="beginsWith" dxfId="151" priority="412" operator="beginsWith" text="?">
      <formula>LEFT(AS225,LEN("?"))="?"</formula>
    </cfRule>
    <cfRule type="containsText" dxfId="150" priority="413" operator="containsText" text="N">
      <formula>NOT(ISERROR(SEARCH("N",AS225)))</formula>
    </cfRule>
    <cfRule type="containsText" dxfId="149" priority="414" operator="containsText" text="S">
      <formula>NOT(ISERROR(SEARCH("S",AS225)))</formula>
    </cfRule>
  </conditionalFormatting>
  <conditionalFormatting sqref="AS158:BD229">
    <cfRule type="containsText" dxfId="148" priority="498" operator="containsText" text="N">
      <formula>NOT(ISERROR(SEARCH("N",AS158)))</formula>
    </cfRule>
    <cfRule type="containsText" dxfId="147" priority="500" operator="containsText" text="S">
      <formula>NOT(ISERROR(SEARCH("S",AS158)))</formula>
    </cfRule>
  </conditionalFormatting>
  <conditionalFormatting sqref="AW191:AZ191">
    <cfRule type="beginsWith" dxfId="146" priority="441" operator="beginsWith" text="?">
      <formula>LEFT(AW191,LEN("?"))="?"</formula>
    </cfRule>
    <cfRule type="containsText" dxfId="145" priority="442" operator="containsText" text="N">
      <formula>NOT(ISERROR(SEARCH("N",AW191)))</formula>
    </cfRule>
    <cfRule type="containsText" dxfId="144" priority="443" operator="containsText" text="S">
      <formula>NOT(ISERROR(SEARCH("S",AW191)))</formula>
    </cfRule>
  </conditionalFormatting>
  <conditionalFormatting sqref="AW199:AZ199">
    <cfRule type="beginsWith" dxfId="143" priority="454" operator="beginsWith" text="?">
      <formula>LEFT(AW199,LEN("?"))="?"</formula>
    </cfRule>
    <cfRule type="containsText" dxfId="142" priority="455" operator="containsText" text="N">
      <formula>NOT(ISERROR(SEARCH("N",AW199)))</formula>
    </cfRule>
    <cfRule type="containsText" dxfId="141" priority="456" operator="containsText" text="S">
      <formula>NOT(ISERROR(SEARCH("S",AW199)))</formula>
    </cfRule>
  </conditionalFormatting>
  <conditionalFormatting sqref="AW213:AZ213">
    <cfRule type="beginsWith" dxfId="140" priority="428" operator="beginsWith" text="?">
      <formula>LEFT(AW213,LEN("?"))="?"</formula>
    </cfRule>
    <cfRule type="containsText" dxfId="139" priority="429" operator="containsText" text="N">
      <formula>NOT(ISERROR(SEARCH("N",AW213)))</formula>
    </cfRule>
    <cfRule type="containsText" dxfId="138" priority="430" operator="containsText" text="S">
      <formula>NOT(ISERROR(SEARCH("S",AW213)))</formula>
    </cfRule>
  </conditionalFormatting>
  <conditionalFormatting sqref="AW221:AZ221">
    <cfRule type="beginsWith" dxfId="137" priority="415" operator="beginsWith" text="?">
      <formula>LEFT(AW221,LEN("?"))="?"</formula>
    </cfRule>
    <cfRule type="containsText" dxfId="136" priority="416" operator="containsText" text="N">
      <formula>NOT(ISERROR(SEARCH("N",AW221)))</formula>
    </cfRule>
    <cfRule type="containsText" dxfId="135" priority="417" operator="containsText" text="S">
      <formula>NOT(ISERROR(SEARCH("S",AW221)))</formula>
    </cfRule>
  </conditionalFormatting>
  <conditionalFormatting sqref="AW187:BA187">
    <cfRule type="beginsWith" dxfId="134" priority="444" operator="beginsWith" text="?">
      <formula>LEFT(AW187,LEN("?"))="?"</formula>
    </cfRule>
    <cfRule type="containsText" dxfId="133" priority="445" operator="containsText" text="N">
      <formula>NOT(ISERROR(SEARCH("N",AW187)))</formula>
    </cfRule>
    <cfRule type="containsText" dxfId="132" priority="446" operator="containsText" text="S">
      <formula>NOT(ISERROR(SEARCH("S",AW187)))</formula>
    </cfRule>
  </conditionalFormatting>
  <conditionalFormatting sqref="AW195:BA195">
    <cfRule type="beginsWith" dxfId="131" priority="457" operator="beginsWith" text="?">
      <formula>LEFT(AW195,LEN("?"))="?"</formula>
    </cfRule>
    <cfRule type="containsText" dxfId="130" priority="458" operator="containsText" text="N">
      <formula>NOT(ISERROR(SEARCH("N",AW195)))</formula>
    </cfRule>
    <cfRule type="containsText" dxfId="129" priority="459" operator="containsText" text="S">
      <formula>NOT(ISERROR(SEARCH("S",AW195)))</formula>
    </cfRule>
  </conditionalFormatting>
  <conditionalFormatting sqref="AW209:BA209">
    <cfRule type="beginsWith" dxfId="128" priority="431" operator="beginsWith" text="?">
      <formula>LEFT(AW209,LEN("?"))="?"</formula>
    </cfRule>
    <cfRule type="containsText" dxfId="127" priority="432" operator="containsText" text="N">
      <formula>NOT(ISERROR(SEARCH("N",AW209)))</formula>
    </cfRule>
    <cfRule type="containsText" dxfId="126" priority="433" operator="containsText" text="S">
      <formula>NOT(ISERROR(SEARCH("S",AW209)))</formula>
    </cfRule>
  </conditionalFormatting>
  <conditionalFormatting sqref="AW217:BA217">
    <cfRule type="beginsWith" dxfId="125" priority="418" operator="beginsWith" text="?">
      <formula>LEFT(AW217,LEN("?"))="?"</formula>
    </cfRule>
    <cfRule type="containsText" dxfId="124" priority="419" operator="containsText" text="N">
      <formula>NOT(ISERROR(SEARCH("N",AW217)))</formula>
    </cfRule>
    <cfRule type="containsText" dxfId="123" priority="420" operator="containsText" text="S">
      <formula>NOT(ISERROR(SEARCH("S",AW217)))</formula>
    </cfRule>
  </conditionalFormatting>
  <conditionalFormatting sqref="BA187">
    <cfRule type="containsText" dxfId="122" priority="452" operator="containsText" text="N">
      <formula>NOT(ISERROR(SEARCH("N",BA187)))</formula>
    </cfRule>
    <cfRule type="containsText" dxfId="121" priority="453" operator="containsText" text="S">
      <formula>NOT(ISERROR(SEARCH("S",BA187)))</formula>
    </cfRule>
  </conditionalFormatting>
  <conditionalFormatting sqref="BA195">
    <cfRule type="containsText" dxfId="120" priority="465" operator="containsText" text="N">
      <formula>NOT(ISERROR(SEARCH("N",BA195)))</formula>
    </cfRule>
    <cfRule type="containsText" dxfId="119" priority="466" operator="containsText" text="S">
      <formula>NOT(ISERROR(SEARCH("S",BA195)))</formula>
    </cfRule>
  </conditionalFormatting>
  <conditionalFormatting sqref="BA207">
    <cfRule type="containsText" dxfId="118" priority="478" operator="containsText" text="N">
      <formula>NOT(ISERROR(SEARCH("N",BA207)))</formula>
    </cfRule>
    <cfRule type="containsText" dxfId="117" priority="479" operator="containsText" text="S">
      <formula>NOT(ISERROR(SEARCH("S",BA207)))</formula>
    </cfRule>
  </conditionalFormatting>
  <conditionalFormatting sqref="BA209">
    <cfRule type="containsText" dxfId="116" priority="439" operator="containsText" text="N">
      <formula>NOT(ISERROR(SEARCH("N",BA209)))</formula>
    </cfRule>
    <cfRule type="containsText" dxfId="115" priority="440" operator="containsText" text="S">
      <formula>NOT(ISERROR(SEARCH("S",BA209)))</formula>
    </cfRule>
  </conditionalFormatting>
  <conditionalFormatting sqref="BA217">
    <cfRule type="containsText" dxfId="114" priority="426" operator="containsText" text="N">
      <formula>NOT(ISERROR(SEARCH("N",BA217)))</formula>
    </cfRule>
    <cfRule type="containsText" dxfId="113" priority="427" operator="containsText" text="S">
      <formula>NOT(ISERROR(SEARCH("S",BA217)))</formula>
    </cfRule>
  </conditionalFormatting>
  <conditionalFormatting sqref="BA227">
    <cfRule type="beginsWith" dxfId="112" priority="409" operator="beginsWith" text="?">
      <formula>LEFT(BA227,LEN("?"))="?"</formula>
    </cfRule>
    <cfRule type="containsText" dxfId="111" priority="410" operator="containsText" text="N">
      <formula>NOT(ISERROR(SEARCH("N",BA227)))</formula>
    </cfRule>
    <cfRule type="containsText" dxfId="110" priority="411" operator="containsText" text="S">
      <formula>NOT(ISERROR(SEARCH("S",BA227)))</formula>
    </cfRule>
  </conditionalFormatting>
  <conditionalFormatting sqref="BA151:BB151">
    <cfRule type="containsText" dxfId="109" priority="374" operator="containsText" text="N">
      <formula>NOT(ISERROR(SEARCH("N",BA151)))</formula>
    </cfRule>
  </conditionalFormatting>
  <conditionalFormatting sqref="BA175:BB176">
    <cfRule type="containsText" dxfId="108" priority="497" operator="containsText" text="S">
      <formula>NOT(ISERROR(SEARCH("S",BA175)))</formula>
    </cfRule>
  </conditionalFormatting>
  <conditionalFormatting sqref="BA176:BB176">
    <cfRule type="containsText" dxfId="107" priority="494" operator="containsText" text="N">
      <formula>NOT(ISERROR(SEARCH("N",BA176)))</formula>
    </cfRule>
    <cfRule type="containsText" dxfId="106" priority="495" operator="containsText" text="S">
      <formula>NOT(ISERROR(SEARCH("S",BA176)))</formula>
    </cfRule>
    <cfRule type="containsText" dxfId="105" priority="496" operator="containsText" text="N">
      <formula>NOT(ISERROR(SEARCH("N",BA176)))</formula>
    </cfRule>
  </conditionalFormatting>
  <conditionalFormatting sqref="BA205:BB205">
    <cfRule type="beginsWith" dxfId="104" priority="480" operator="beginsWith" text="?">
      <formula>LEFT(BA205,LEN("?"))="?"</formula>
    </cfRule>
    <cfRule type="containsText" dxfId="103" priority="481" operator="containsText" text="N">
      <formula>NOT(ISERROR(SEARCH("N",BA205)))</formula>
    </cfRule>
    <cfRule type="containsText" dxfId="102" priority="482" operator="containsText" text="S">
      <formula>NOT(ISERROR(SEARCH("S",BA205)))</formula>
    </cfRule>
    <cfRule type="containsText" dxfId="101" priority="483" operator="containsText" text="N">
      <formula>NOT(ISERROR(SEARCH("N",BA205)))</formula>
    </cfRule>
    <cfRule type="containsText" dxfId="100" priority="484" operator="containsText" text="S">
      <formula>NOT(ISERROR(SEARCH("S",BA205)))</formula>
    </cfRule>
  </conditionalFormatting>
  <conditionalFormatting sqref="BA207:BB207">
    <cfRule type="beginsWith" dxfId="99" priority="473" operator="beginsWith" text="?">
      <formula>LEFT(BA207,LEN("?"))="?"</formula>
    </cfRule>
    <cfRule type="containsText" dxfId="98" priority="476" operator="containsText" text="N">
      <formula>NOT(ISERROR(SEARCH("N",BA207)))</formula>
    </cfRule>
    <cfRule type="containsText" dxfId="97" priority="477" operator="containsText" text="S">
      <formula>NOT(ISERROR(SEARCH("S",BA207)))</formula>
    </cfRule>
  </conditionalFormatting>
  <conditionalFormatting sqref="BA226:BB226">
    <cfRule type="beginsWith" dxfId="96" priority="406" operator="beginsWith" text="?">
      <formula>LEFT(BA226,LEN("?"))="?"</formula>
    </cfRule>
    <cfRule type="containsText" dxfId="95" priority="407" operator="containsText" text="N">
      <formula>NOT(ISERROR(SEARCH("N",BA226)))</formula>
    </cfRule>
    <cfRule type="containsText" dxfId="94" priority="408" operator="containsText" text="S">
      <formula>NOT(ISERROR(SEARCH("S",BA226)))</formula>
    </cfRule>
  </conditionalFormatting>
  <conditionalFormatting sqref="BA228:BB229">
    <cfRule type="beginsWith" dxfId="93" priority="403" operator="beginsWith" text="?">
      <formula>LEFT(BA228,LEN("?"))="?"</formula>
    </cfRule>
    <cfRule type="containsText" dxfId="92" priority="404" operator="containsText" text="N">
      <formula>NOT(ISERROR(SEARCH("N",BA228)))</formula>
    </cfRule>
    <cfRule type="containsText" dxfId="91" priority="405" operator="containsText" text="S">
      <formula>NOT(ISERROR(SEARCH("S",BA228)))</formula>
    </cfRule>
  </conditionalFormatting>
  <conditionalFormatting sqref="BB176 BA177:BB177">
    <cfRule type="containsText" dxfId="90" priority="486" operator="containsText" text="N">
      <formula>NOT(ISERROR(SEARCH("N",BA176)))</formula>
    </cfRule>
    <cfRule type="containsText" dxfId="89" priority="487" operator="containsText" text="S">
      <formula>NOT(ISERROR(SEARCH("S",BA176)))</formula>
    </cfRule>
    <cfRule type="containsText" dxfId="88" priority="488" operator="containsText" text="N">
      <formula>NOT(ISERROR(SEARCH("N",BA176)))</formula>
    </cfRule>
    <cfRule type="containsText" dxfId="87" priority="489" operator="containsText" text="S">
      <formula>NOT(ISERROR(SEARCH("S",BA176)))</formula>
    </cfRule>
    <cfRule type="containsText" dxfId="86" priority="490" operator="containsText" text="N">
      <formula>NOT(ISERROR(SEARCH("N",BA176)))</formula>
    </cfRule>
  </conditionalFormatting>
  <conditionalFormatting sqref="BB176">
    <cfRule type="containsText" dxfId="85" priority="492" operator="containsText" text="N">
      <formula>NOT(ISERROR(SEARCH("N",BB176)))</formula>
    </cfRule>
    <cfRule type="containsText" dxfId="84" priority="493" operator="containsText" text="S">
      <formula>NOT(ISERROR(SEARCH("S",BB176)))</formula>
    </cfRule>
  </conditionalFormatting>
  <conditionalFormatting sqref="BB176:BB177 BA177">
    <cfRule type="containsText" dxfId="83" priority="491" operator="containsText" text="S">
      <formula>NOT(ISERROR(SEARCH("S",BA176)))</formula>
    </cfRule>
  </conditionalFormatting>
  <conditionalFormatting sqref="BB191">
    <cfRule type="beginsWith" dxfId="82" priority="447" operator="beginsWith" text="?">
      <formula>LEFT(BB191,LEN("?"))="?"</formula>
    </cfRule>
    <cfRule type="containsText" dxfId="81" priority="448" operator="containsText" text="N">
      <formula>NOT(ISERROR(SEARCH("N",BB191)))</formula>
    </cfRule>
    <cfRule type="containsText" dxfId="80" priority="449" operator="containsText" text="S">
      <formula>NOT(ISERROR(SEARCH("S",BB191)))</formula>
    </cfRule>
    <cfRule type="containsText" dxfId="79" priority="450" operator="containsText" text="N">
      <formula>NOT(ISERROR(SEARCH("N",BB191)))</formula>
    </cfRule>
    <cfRule type="containsText" dxfId="78" priority="451" operator="containsText" text="S">
      <formula>NOT(ISERROR(SEARCH("S",BB191)))</formula>
    </cfRule>
  </conditionalFormatting>
  <conditionalFormatting sqref="BB199">
    <cfRule type="beginsWith" dxfId="77" priority="460" operator="beginsWith" text="?">
      <formula>LEFT(BB199,LEN("?"))="?"</formula>
    </cfRule>
    <cfRule type="containsText" dxfId="76" priority="461" operator="containsText" text="N">
      <formula>NOT(ISERROR(SEARCH("N",BB199)))</formula>
    </cfRule>
    <cfRule type="containsText" dxfId="75" priority="462" operator="containsText" text="S">
      <formula>NOT(ISERROR(SEARCH("S",BB199)))</formula>
    </cfRule>
    <cfRule type="containsText" dxfId="74" priority="463" operator="containsText" text="N">
      <formula>NOT(ISERROR(SEARCH("N",BB199)))</formula>
    </cfRule>
    <cfRule type="containsText" dxfId="73" priority="464" operator="containsText" text="S">
      <formula>NOT(ISERROR(SEARCH("S",BB199)))</formula>
    </cfRule>
  </conditionalFormatting>
  <conditionalFormatting sqref="BB207">
    <cfRule type="containsText" dxfId="72" priority="474" operator="containsText" text="N">
      <formula>NOT(ISERROR(SEARCH("N",BB207)))</formula>
    </cfRule>
    <cfRule type="containsText" dxfId="71" priority="475" operator="containsText" text="S">
      <formula>NOT(ISERROR(SEARCH("S",BB207)))</formula>
    </cfRule>
  </conditionalFormatting>
  <conditionalFormatting sqref="BB213">
    <cfRule type="beginsWith" dxfId="70" priority="434" operator="beginsWith" text="?">
      <formula>LEFT(BB213,LEN("?"))="?"</formula>
    </cfRule>
    <cfRule type="containsText" dxfId="69" priority="435" operator="containsText" text="N">
      <formula>NOT(ISERROR(SEARCH("N",BB213)))</formula>
    </cfRule>
    <cfRule type="containsText" dxfId="68" priority="436" operator="containsText" text="S">
      <formula>NOT(ISERROR(SEARCH("S",BB213)))</formula>
    </cfRule>
    <cfRule type="containsText" dxfId="67" priority="437" operator="containsText" text="N">
      <formula>NOT(ISERROR(SEARCH("N",BB213)))</formula>
    </cfRule>
    <cfRule type="containsText" dxfId="66" priority="438" operator="containsText" text="S">
      <formula>NOT(ISERROR(SEARCH("S",BB213)))</formula>
    </cfRule>
  </conditionalFormatting>
  <conditionalFormatting sqref="BB221">
    <cfRule type="beginsWith" dxfId="65" priority="421" operator="beginsWith" text="?">
      <formula>LEFT(BB221,LEN("?"))="?"</formula>
    </cfRule>
    <cfRule type="containsText" dxfId="64" priority="422" operator="containsText" text="N">
      <formula>NOT(ISERROR(SEARCH("N",BB221)))</formula>
    </cfRule>
    <cfRule type="containsText" dxfId="63" priority="423" operator="containsText" text="S">
      <formula>NOT(ISERROR(SEARCH("S",BB221)))</formula>
    </cfRule>
    <cfRule type="containsText" dxfId="62" priority="424" operator="containsText" text="N">
      <formula>NOT(ISERROR(SEARCH("N",BB221)))</formula>
    </cfRule>
    <cfRule type="containsText" dxfId="61" priority="425" operator="containsText" text="S">
      <formula>NOT(ISERROR(SEARCH("S",BB221)))</formula>
    </cfRule>
  </conditionalFormatting>
  <conditionalFormatting sqref="BD121:BD124">
    <cfRule type="containsText" dxfId="60" priority="1510" operator="containsText" text="N">
      <formula>NOT(ISERROR(SEARCH("N",BD121)))</formula>
    </cfRule>
    <cfRule type="containsText" dxfId="59" priority="1513" operator="containsText" text="S">
      <formula>NOT(ISERROR(SEARCH("S",BD121)))</formula>
    </cfRule>
  </conditionalFormatting>
  <conditionalFormatting sqref="BD199:BD200">
    <cfRule type="beginsWith" dxfId="58" priority="467" operator="beginsWith" text="?">
      <formula>LEFT(BD199,LEN("?"))="?"</formula>
    </cfRule>
    <cfRule type="containsText" dxfId="57" priority="468" operator="containsText" text="N">
      <formula>NOT(ISERROR(SEARCH("N",BD199)))</formula>
    </cfRule>
    <cfRule type="containsText" dxfId="56" priority="469" operator="containsText" text="S">
      <formula>NOT(ISERROR(SEARCH("S",BD199)))</formula>
    </cfRule>
    <cfRule type="containsText" dxfId="55" priority="470" operator="containsText" text="N">
      <formula>NOT(ISERROR(SEARCH("N",BD199)))</formula>
    </cfRule>
    <cfRule type="containsText" dxfId="54" priority="471" operator="containsText" text="S">
      <formula>NOT(ISERROR(SEARCH("S",BD199)))</formula>
    </cfRule>
  </conditionalFormatting>
  <conditionalFormatting sqref="BH30:BH32">
    <cfRule type="containsText" dxfId="53" priority="4101" operator="containsText" text="N">
      <formula>NOT(ISERROR(SEARCH("N",BH30)))</formula>
    </cfRule>
    <cfRule type="containsText" dxfId="52" priority="4102" operator="containsText" text="S">
      <formula>NOT(ISERROR(SEARCH("S",BH30)))</formula>
    </cfRule>
  </conditionalFormatting>
  <conditionalFormatting sqref="BH34:BH35">
    <cfRule type="containsText" dxfId="51" priority="62" operator="containsText" text="N">
      <formula>NOT(ISERROR(SEARCH("N",BH34)))</formula>
    </cfRule>
    <cfRule type="containsText" dxfId="50" priority="63" operator="containsText" text="S">
      <formula>NOT(ISERROR(SEARCH("S",BH34)))</formula>
    </cfRule>
  </conditionalFormatting>
  <conditionalFormatting sqref="BH37:BH38">
    <cfRule type="containsText" dxfId="49" priority="4078" operator="containsText" text="N">
      <formula>NOT(ISERROR(SEARCH("N",BH37)))</formula>
    </cfRule>
    <cfRule type="containsText" dxfId="48" priority="4079" operator="containsText" text="S">
      <formula>NOT(ISERROR(SEARCH("S",BH37)))</formula>
    </cfRule>
  </conditionalFormatting>
  <conditionalFormatting sqref="BH41:BH46">
    <cfRule type="containsText" dxfId="47" priority="39" operator="containsText" text="N">
      <formula>NOT(ISERROR(SEARCH("N",BH41)))</formula>
    </cfRule>
    <cfRule type="containsText" dxfId="46" priority="40" operator="containsText" text="S">
      <formula>NOT(ISERROR(SEARCH("S",BH41)))</formula>
    </cfRule>
  </conditionalFormatting>
  <printOptions horizontalCentered="1"/>
  <pageMargins left="0.70866141732283472" right="0.70866141732283472" top="0.86614173228346458" bottom="1.299212598425197" header="0.31496062992125984" footer="0.31496062992125984"/>
  <pageSetup paperSize="8" scale="41" fitToHeight="0" orientation="landscape"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rowBreaks count="3" manualBreakCount="3">
    <brk id="59" max="52" man="1"/>
    <brk id="108" max="52" man="1"/>
    <brk id="150" max="52" man="1"/>
  </rowBreaks>
  <picture r:id="rId2"/>
  <extLst>
    <ext xmlns:x14="http://schemas.microsoft.com/office/spreadsheetml/2009/9/main" uri="{78C0D931-6437-407d-A8EE-F0AAD7539E65}">
      <x14:conditionalFormattings>
        <x14:conditionalFormatting xmlns:xm="http://schemas.microsoft.com/office/excel/2006/main">
          <x14:cfRule type="cellIs" priority="5917" operator="equal" id="{54446243-215B-4397-92B0-F4AF7AAFEEC8}">
            <xm:f>'Cover Sheet'!$G$12</xm:f>
            <x14:dxf>
              <font>
                <color rgb="FF9C0006"/>
              </font>
              <fill>
                <patternFill>
                  <bgColor rgb="FFFFC7CE"/>
                </patternFill>
              </fill>
            </x14:dxf>
          </x14:cfRule>
          <xm:sqref>C7:C32 A106:D106</xm:sqref>
        </x14:conditionalFormatting>
        <x14:conditionalFormatting xmlns:xm="http://schemas.microsoft.com/office/excel/2006/main">
          <x14:cfRule type="cellIs" priority="60" operator="equal" id="{F4D4E857-137C-4FB6-90B0-2541D3CF082D}">
            <xm:f>'Cover Sheet'!$G$12</xm:f>
            <x14:dxf>
              <font>
                <color rgb="FF9C0006"/>
              </font>
              <fill>
                <patternFill>
                  <bgColor rgb="FFFFC7CE"/>
                </patternFill>
              </fill>
            </x14:dxf>
          </x14:cfRule>
          <xm:sqref>C34:C35</xm:sqref>
        </x14:conditionalFormatting>
        <x14:conditionalFormatting xmlns:xm="http://schemas.microsoft.com/office/excel/2006/main">
          <x14:cfRule type="cellIs" priority="1297" operator="equal" id="{6D6CDBC8-FA4C-4B79-A722-A0E416FC19B1}">
            <xm:f>'Cover Sheet'!$G$12</xm:f>
            <x14:dxf>
              <font>
                <color rgb="FF9C0006"/>
              </font>
              <fill>
                <patternFill>
                  <bgColor rgb="FFFFC7CE"/>
                </patternFill>
              </fill>
            </x14:dxf>
          </x14:cfRule>
          <xm:sqref>C36:C37 P56:P59</xm:sqref>
        </x14:conditionalFormatting>
        <x14:conditionalFormatting xmlns:xm="http://schemas.microsoft.com/office/excel/2006/main">
          <x14:cfRule type="cellIs" priority="2627" operator="equal" id="{FBA91FFC-5C83-4C9C-8BF3-8A6F47961FD6}">
            <xm:f>'Cover Sheet'!$G$12</xm:f>
            <x14:dxf>
              <font>
                <color rgb="FF9C0006"/>
              </font>
              <fill>
                <patternFill>
                  <bgColor rgb="FFFFC7CE"/>
                </patternFill>
              </fill>
            </x14:dxf>
          </x14:cfRule>
          <xm:sqref>C41</xm:sqref>
        </x14:conditionalFormatting>
        <x14:conditionalFormatting xmlns:xm="http://schemas.microsoft.com/office/excel/2006/main">
          <x14:cfRule type="cellIs" priority="46" operator="equal" id="{FBE30A20-54DB-4F66-900F-C997A763F065}">
            <xm:f>'Cover Sheet'!$G$12</xm:f>
            <x14:dxf>
              <font>
                <color rgb="FF9C0006"/>
              </font>
              <fill>
                <patternFill>
                  <bgColor rgb="FFFFC7CE"/>
                </patternFill>
              </fill>
            </x14:dxf>
          </x14:cfRule>
          <xm:sqref>C45:C50</xm:sqref>
        </x14:conditionalFormatting>
        <x14:conditionalFormatting xmlns:xm="http://schemas.microsoft.com/office/excel/2006/main">
          <x14:cfRule type="cellIs" priority="377" operator="equal" id="{ACEA680C-D44E-484C-AD3D-755C0A347926}">
            <xm:f>'Cover Sheet'!$G$12</xm:f>
            <x14:dxf>
              <font>
                <color rgb="FF9C0006"/>
              </font>
              <fill>
                <patternFill>
                  <bgColor rgb="FFFFC7CE"/>
                </patternFill>
              </fill>
            </x14:dxf>
          </x14:cfRule>
          <xm:sqref>C52:C56</xm:sqref>
        </x14:conditionalFormatting>
        <x14:conditionalFormatting xmlns:xm="http://schemas.microsoft.com/office/excel/2006/main">
          <x14:cfRule type="cellIs" priority="22" operator="equal" id="{E4DA0C9A-1288-4A4F-BC14-4EA406842CD1}">
            <xm:f>'Cover Sheet'!$G$12</xm:f>
            <x14:dxf>
              <font>
                <color rgb="FF9C0006"/>
              </font>
              <fill>
                <patternFill>
                  <bgColor rgb="FFFFC7CE"/>
                </patternFill>
              </fill>
            </x14:dxf>
          </x14:cfRule>
          <xm:sqref>C85</xm:sqref>
        </x14:conditionalFormatting>
        <x14:conditionalFormatting xmlns:xm="http://schemas.microsoft.com/office/excel/2006/main">
          <x14:cfRule type="cellIs" priority="3430" operator="equal" id="{488443BB-0B22-4382-A86B-50FE926C1062}">
            <xm:f>'Cover Sheet'!$G$12</xm:f>
            <x14:dxf>
              <font>
                <color rgb="FF9C0006"/>
              </font>
              <fill>
                <patternFill>
                  <bgColor rgb="FFFFC7CE"/>
                </patternFill>
              </fill>
            </x14:dxf>
          </x14:cfRule>
          <xm:sqref>C86:C90 C58:C74 C76:C84 C125:C130 C153:C157 A132:C150 P140 P143:P150 A152:B152 A153:C153</xm:sqref>
        </x14:conditionalFormatting>
        <x14:conditionalFormatting xmlns:xm="http://schemas.microsoft.com/office/excel/2006/main">
          <x14:cfRule type="cellIs" priority="1144" operator="equal" id="{015EEAA2-FD27-4005-BFF6-97727064FA30}">
            <xm:f>'Cover Sheet'!$G$12</xm:f>
            <x14:dxf>
              <font>
                <color rgb="FF9C0006"/>
              </font>
              <fill>
                <patternFill>
                  <bgColor rgb="FFFFC7CE"/>
                </patternFill>
              </fill>
            </x14:dxf>
          </x14:cfRule>
          <xm:sqref>C92:C93 C95:C104 C106:C109 A175:D175</xm:sqref>
        </x14:conditionalFormatting>
        <x14:conditionalFormatting xmlns:xm="http://schemas.microsoft.com/office/excel/2006/main">
          <x14:cfRule type="cellIs" priority="972" operator="equal" id="{5B5BF17A-383E-46C3-8387-797247BEA441}">
            <xm:f>'Cover Sheet'!$G$12</xm:f>
            <x14:dxf>
              <font>
                <color rgb="FF9C0006"/>
              </font>
              <fill>
                <patternFill>
                  <bgColor rgb="FFFFC7CE"/>
                </patternFill>
              </fill>
            </x14:dxf>
          </x14:cfRule>
          <xm:sqref>C110:C117</xm:sqref>
        </x14:conditionalFormatting>
        <x14:conditionalFormatting xmlns:xm="http://schemas.microsoft.com/office/excel/2006/main">
          <x14:cfRule type="cellIs" priority="1466" operator="equal" id="{683C71C7-5220-4E4D-B87C-96DF1531173A}">
            <xm:f>'Cover Sheet'!$G$12</xm:f>
            <x14:dxf>
              <font>
                <color rgb="FF9C0006"/>
              </font>
              <fill>
                <patternFill>
                  <bgColor rgb="FFFFC7CE"/>
                </patternFill>
              </fill>
            </x14:dxf>
          </x14:cfRule>
          <xm:sqref>C119:C121</xm:sqref>
        </x14:conditionalFormatting>
        <x14:conditionalFormatting xmlns:xm="http://schemas.microsoft.com/office/excel/2006/main">
          <x14:cfRule type="cellIs" priority="1886" operator="equal" id="{BEC9A9F7-A313-4C01-A161-4C275A82AD11}">
            <xm:f>'Cover Sheet'!$G$12</xm:f>
            <x14:dxf>
              <font>
                <color rgb="FF9C0006"/>
              </font>
              <fill>
                <patternFill>
                  <bgColor rgb="FFFFC7CE"/>
                </patternFill>
              </fill>
            </x14:dxf>
          </x14:cfRule>
          <xm:sqref>C123</xm:sqref>
        </x14:conditionalFormatting>
        <x14:conditionalFormatting xmlns:xm="http://schemas.microsoft.com/office/excel/2006/main">
          <x14:cfRule type="cellIs" priority="368" operator="equal" id="{346086A7-BAB4-4C35-B9CB-82C5FF09A0D4}">
            <xm:f>'Cover Sheet'!$G$12</xm:f>
            <x14:dxf>
              <font>
                <color rgb="FF9C0006"/>
              </font>
              <fill>
                <patternFill>
                  <bgColor rgb="FFFFC7CE"/>
                </patternFill>
              </fill>
            </x14:dxf>
          </x14:cfRule>
          <xm:sqref>C151</xm:sqref>
        </x14:conditionalFormatting>
        <x14:conditionalFormatting xmlns:xm="http://schemas.microsoft.com/office/excel/2006/main">
          <x14:cfRule type="cellIs" priority="2635" operator="equal" id="{CAF19784-B2F7-4433-93AC-1939AC3859FC}">
            <xm:f>'Cover Sheet'!$G$12</xm:f>
            <x14:dxf>
              <font>
                <color rgb="FF9C0006"/>
              </font>
              <fill>
                <patternFill>
                  <bgColor rgb="FFFFC7CE"/>
                </patternFill>
              </fill>
            </x14:dxf>
          </x14:cfRule>
          <xm:sqref>C178 Q187:R188</xm:sqref>
        </x14:conditionalFormatting>
        <x14:conditionalFormatting xmlns:xm="http://schemas.microsoft.com/office/excel/2006/main">
          <x14:cfRule type="cellIs" priority="3291" operator="equal" id="{11E007C4-34C4-4D93-B4F6-BBB054458B76}">
            <xm:f>'Cover Sheet'!$G$12</xm:f>
            <x14:dxf>
              <font>
                <color rgb="FF9C0006"/>
              </font>
              <fill>
                <patternFill>
                  <bgColor rgb="FFFFC7CE"/>
                </patternFill>
              </fill>
            </x14:dxf>
          </x14:cfRule>
          <xm:sqref>D111:D116</xm:sqref>
        </x14:conditionalFormatting>
        <x14:conditionalFormatting xmlns:xm="http://schemas.microsoft.com/office/excel/2006/main">
          <x14:cfRule type="cellIs" priority="2724" operator="equal" id="{6A552AA8-BA0C-43FE-BAE1-7A4FEA7632A1}">
            <xm:f>'Cover Sheet'!$G$12</xm:f>
            <x14:dxf>
              <font>
                <color rgb="FF9C0006"/>
              </font>
              <fill>
                <patternFill>
                  <bgColor rgb="FFFFC7CE"/>
                </patternFill>
              </fill>
            </x14:dxf>
          </x14:cfRule>
          <xm:sqref>F143</xm:sqref>
        </x14:conditionalFormatting>
        <x14:conditionalFormatting xmlns:xm="http://schemas.microsoft.com/office/excel/2006/main">
          <x14:cfRule type="cellIs" priority="35" operator="equal" id="{C1A9EF56-0E72-471D-9CFB-1F1745DA5231}">
            <xm:f>'Cover Sheet'!$G$12</xm:f>
            <x14:dxf>
              <font>
                <color rgb="FF9C0006"/>
              </font>
              <fill>
                <patternFill>
                  <bgColor rgb="FFFFC7CE"/>
                </patternFill>
              </fill>
            </x14:dxf>
          </x14:cfRule>
          <xm:sqref>F121:H124</xm:sqref>
        </x14:conditionalFormatting>
        <x14:conditionalFormatting xmlns:xm="http://schemas.microsoft.com/office/excel/2006/main">
          <x14:cfRule type="cellIs" priority="5757" operator="equal" id="{7295FB3C-6990-4025-97FD-32EE2F867F39}">
            <xm:f>'Cover Sheet'!$G$12</xm:f>
            <x14:dxf>
              <font>
                <color rgb="FF9C0006"/>
              </font>
              <fill>
                <patternFill>
                  <bgColor rgb="FFFFC7CE"/>
                </patternFill>
              </fill>
            </x14:dxf>
          </x14:cfRule>
          <xm:sqref>F111:I116 K111:N116 J140:M140 F142:M142</xm:sqref>
        </x14:conditionalFormatting>
        <x14:conditionalFormatting xmlns:xm="http://schemas.microsoft.com/office/excel/2006/main">
          <x14:cfRule type="cellIs" priority="2745" operator="equal" id="{1EDCA8C6-3DA4-4198-B3F5-20A0239C0A00}">
            <xm:f>'Cover Sheet'!$G$12</xm:f>
            <x14:dxf>
              <font>
                <color rgb="FF9C0006"/>
              </font>
              <fill>
                <patternFill>
                  <bgColor rgb="FFFFC7CE"/>
                </patternFill>
              </fill>
            </x14:dxf>
          </x14:cfRule>
          <xm:sqref>F140:I141</xm:sqref>
        </x14:conditionalFormatting>
        <x14:conditionalFormatting xmlns:xm="http://schemas.microsoft.com/office/excel/2006/main">
          <x14:cfRule type="cellIs" priority="2725" operator="equal" id="{9CEA3E62-8413-4FD9-ADD8-101C4224DA87}">
            <xm:f>'Cover Sheet'!$G$12</xm:f>
            <x14:dxf>
              <font>
                <color rgb="FF9C0006"/>
              </font>
              <fill>
                <patternFill>
                  <bgColor rgb="FFFFC7CE"/>
                </patternFill>
              </fill>
            </x14:dxf>
          </x14:cfRule>
          <xm:sqref>H143</xm:sqref>
        </x14:conditionalFormatting>
        <x14:conditionalFormatting xmlns:xm="http://schemas.microsoft.com/office/excel/2006/main">
          <x14:cfRule type="cellIs" priority="3347" operator="equal" id="{8C72C90E-6FC9-45DA-BDA7-83D6C13D244F}">
            <xm:f>'Cover Sheet'!$G$12</xm:f>
            <x14:dxf>
              <font>
                <color rgb="FF9C0006"/>
              </font>
              <fill>
                <patternFill>
                  <bgColor rgb="FFFFC7CE"/>
                </patternFill>
              </fill>
            </x14:dxf>
          </x14:cfRule>
          <xm:sqref>O9:O10 O13</xm:sqref>
        </x14:conditionalFormatting>
        <x14:conditionalFormatting xmlns:xm="http://schemas.microsoft.com/office/excel/2006/main">
          <x14:cfRule type="cellIs" priority="5428" operator="equal" id="{43ED4ADA-5858-4196-A5D6-E59B41356065}">
            <xm:f>'Cover Sheet'!$G$12</xm:f>
            <x14:dxf>
              <font>
                <color rgb="FF9C0006"/>
              </font>
              <fill>
                <patternFill>
                  <bgColor rgb="FFFFC7CE"/>
                </patternFill>
              </fill>
            </x14:dxf>
          </x14:cfRule>
          <xm:sqref>P122</xm:sqref>
        </x14:conditionalFormatting>
        <x14:conditionalFormatting xmlns:xm="http://schemas.microsoft.com/office/excel/2006/main">
          <x14:cfRule type="cellIs" priority="34" operator="equal" id="{B8501A00-19F5-4EBC-856E-A12AAB6A7C72}">
            <xm:f>'Cover Sheet'!$G$12</xm:f>
            <x14:dxf>
              <font>
                <color rgb="FF9C0006"/>
              </font>
              <fill>
                <patternFill>
                  <bgColor rgb="FFFFC7CE"/>
                </patternFill>
              </fill>
            </x14:dxf>
          </x14:cfRule>
          <xm:sqref>P124</xm:sqref>
        </x14:conditionalFormatting>
        <x14:conditionalFormatting xmlns:xm="http://schemas.microsoft.com/office/excel/2006/main">
          <x14:cfRule type="cellIs" priority="5897" operator="equal" id="{42363B8C-A82D-4009-B536-1FF4F7EA539D}">
            <xm:f>'Cover Sheet'!$G$12</xm:f>
            <x14:dxf>
              <font>
                <color rgb="FF9C0006"/>
              </font>
              <fill>
                <patternFill>
                  <bgColor rgb="FFFFC7CE"/>
                </patternFill>
              </fill>
            </x14:dxf>
          </x14:cfRule>
          <xm:sqref>P132 P135</xm:sqref>
        </x14:conditionalFormatting>
        <x14:conditionalFormatting xmlns:xm="http://schemas.microsoft.com/office/excel/2006/main">
          <x14:cfRule type="cellIs" priority="2695" operator="equal" id="{5CFAD7EA-82B2-458F-9370-CEDB496562FD}">
            <xm:f>'Cover Sheet'!$G$12</xm:f>
            <x14:dxf>
              <font>
                <color rgb="FF9C0006"/>
              </font>
              <fill>
                <patternFill>
                  <bgColor rgb="FFFFC7CE"/>
                </patternFill>
              </fill>
            </x14:dxf>
          </x14:cfRule>
          <xm:sqref>P157</xm:sqref>
        </x14:conditionalFormatting>
        <x14:conditionalFormatting xmlns:xm="http://schemas.microsoft.com/office/excel/2006/main">
          <x14:cfRule type="cellIs" priority="5888" operator="equal" id="{4BF883EC-AF06-4A28-833C-3898C9FEF1E9}">
            <xm:f>'Cover Sheet'!$G$12</xm:f>
            <x14:dxf>
              <font>
                <color rgb="FF9C0006"/>
              </font>
              <fill>
                <patternFill>
                  <bgColor rgb="FFFFC7CE"/>
                </patternFill>
              </fill>
            </x14:dxf>
          </x14:cfRule>
          <xm:sqref>P175 A150:B150</xm:sqref>
        </x14:conditionalFormatting>
        <x14:conditionalFormatting xmlns:xm="http://schemas.microsoft.com/office/excel/2006/main">
          <x14:cfRule type="cellIs" priority="4097" operator="equal" id="{DDDDC81D-B77C-4995-9192-A67373E282B5}">
            <xm:f>'Cover Sheet'!$G$12</xm:f>
            <x14:dxf>
              <font>
                <color rgb="FF9C0006"/>
              </font>
              <fill>
                <patternFill>
                  <bgColor rgb="FFFFC7CE"/>
                </patternFill>
              </fill>
            </x14:dxf>
          </x14:cfRule>
          <xm:sqref>Q30:Q32</xm:sqref>
        </x14:conditionalFormatting>
        <x14:conditionalFormatting xmlns:xm="http://schemas.microsoft.com/office/excel/2006/main">
          <x14:cfRule type="cellIs" priority="61" operator="equal" id="{F5422098-9492-43A7-A670-749E189AA71B}">
            <xm:f>'Cover Sheet'!$G$12</xm:f>
            <x14:dxf>
              <font>
                <color rgb="FF9C0006"/>
              </font>
              <fill>
                <patternFill>
                  <bgColor rgb="FFFFC7CE"/>
                </patternFill>
              </fill>
            </x14:dxf>
          </x14:cfRule>
          <xm:sqref>Q34:Q35</xm:sqref>
        </x14:conditionalFormatting>
        <x14:conditionalFormatting xmlns:xm="http://schemas.microsoft.com/office/excel/2006/main">
          <x14:cfRule type="cellIs" priority="47" operator="equal" id="{41AC4E3B-144C-4062-8EA7-A139D7FE44AF}">
            <xm:f>'Cover Sheet'!$G$12</xm:f>
            <x14:dxf>
              <font>
                <color rgb="FF9C0006"/>
              </font>
              <fill>
                <patternFill>
                  <bgColor rgb="FFFFC7CE"/>
                </patternFill>
              </fill>
            </x14:dxf>
          </x14:cfRule>
          <xm:sqref>Q41:Q46</xm:sqref>
        </x14:conditionalFormatting>
        <x14:conditionalFormatting xmlns:xm="http://schemas.microsoft.com/office/excel/2006/main">
          <x14:cfRule type="cellIs" priority="1870" operator="equal" id="{B90F0A5A-8350-4E07-925D-5B0A9A333D78}">
            <xm:f>'Cover Sheet'!$G$12</xm:f>
            <x14:dxf>
              <font>
                <color rgb="FF9C0006"/>
              </font>
              <fill>
                <patternFill>
                  <bgColor rgb="FFFFC7CE"/>
                </patternFill>
              </fill>
            </x14:dxf>
          </x14:cfRule>
          <xm:sqref>Q190:R193</xm:sqref>
        </x14:conditionalFormatting>
        <x14:conditionalFormatting xmlns:xm="http://schemas.microsoft.com/office/excel/2006/main">
          <x14:cfRule type="cellIs" priority="307" operator="equal" id="{A199D150-E6B2-4BA7-96E8-E188358B48D8}">
            <xm:f>'Cover Sheet'!$G$12</xm:f>
            <x14:dxf>
              <font>
                <color rgb="FF9C0006"/>
              </font>
              <fill>
                <patternFill>
                  <bgColor rgb="FFFFC7CE"/>
                </patternFill>
              </fill>
            </x14:dxf>
          </x14:cfRule>
          <xm:sqref>AP187:AP188</xm:sqref>
        </x14:conditionalFormatting>
        <x14:conditionalFormatting xmlns:xm="http://schemas.microsoft.com/office/excel/2006/main">
          <x14:cfRule type="cellIs" priority="287" operator="equal" id="{35232AF0-B7AB-4605-85AD-07280C534B81}">
            <xm:f>'Cover Sheet'!$G$12</xm:f>
            <x14:dxf>
              <font>
                <color rgb="FF9C0006"/>
              </font>
              <fill>
                <patternFill>
                  <bgColor rgb="FFFFC7CE"/>
                </patternFill>
              </fill>
            </x14:dxf>
          </x14:cfRule>
          <xm:sqref>AP190:AP193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F6625-DD84-4919-8A60-E79F8711FC26}">
  <sheetPr codeName="Tabelle7">
    <tabColor rgb="FF00B0F0"/>
    <pageSetUpPr fitToPage="1"/>
  </sheetPr>
  <dimension ref="A1:CH167"/>
  <sheetViews>
    <sheetView tabSelected="1" view="pageBreakPreview" topLeftCell="B1" zoomScaleNormal="55" zoomScaleSheetLayoutView="100" workbookViewId="0">
      <selection activeCell="D18" sqref="D18"/>
    </sheetView>
  </sheetViews>
  <sheetFormatPr baseColWidth="10" defaultColWidth="11.44140625" defaultRowHeight="12.75" customHeight="1" outlineLevelRow="1" outlineLevelCol="1" x14ac:dyDescent="0.25"/>
  <cols>
    <col min="1" max="1" width="46.6640625" style="26" hidden="1" customWidth="1"/>
    <col min="2" max="2" width="7.44140625" style="5" customWidth="1"/>
    <col min="3" max="3" width="8.33203125" style="2" customWidth="1"/>
    <col min="4" max="4" width="33.6640625" style="3" customWidth="1"/>
    <col min="5" max="5" width="8.6640625" style="3" customWidth="1"/>
    <col min="6" max="6" width="14.33203125" style="3" customWidth="1"/>
    <col min="7" max="7" width="13" style="3" bestFit="1" customWidth="1"/>
    <col min="8" max="8" width="11" style="3" customWidth="1"/>
    <col min="9" max="9" width="10" style="3" bestFit="1" customWidth="1"/>
    <col min="10" max="10" width="9.5546875" style="3" bestFit="1" customWidth="1"/>
    <col min="11" max="11" width="9.5546875" style="3" customWidth="1"/>
    <col min="12" max="13" width="8.6640625" style="3" customWidth="1"/>
    <col min="14" max="14" width="44.6640625" style="3" bestFit="1" customWidth="1"/>
    <col min="15" max="15" width="80.33203125" style="107" customWidth="1"/>
    <col min="16" max="16" width="19.6640625" style="107" hidden="1" customWidth="1" outlineLevel="1"/>
    <col min="17" max="17" width="19.33203125" style="107" hidden="1" customWidth="1" outlineLevel="1"/>
    <col min="18" max="18" width="56.33203125" style="5" customWidth="1" collapsed="1"/>
  </cols>
  <sheetData>
    <row r="1" spans="1:18" ht="132" customHeight="1" x14ac:dyDescent="0.25">
      <c r="A1" s="331" t="s">
        <v>1265</v>
      </c>
      <c r="B1" s="1303" t="s">
        <v>1266</v>
      </c>
      <c r="C1" s="1304"/>
      <c r="D1" s="1304"/>
      <c r="E1" s="1304"/>
      <c r="F1" s="1304"/>
      <c r="G1" s="1304"/>
      <c r="H1" s="1304"/>
      <c r="I1" s="1304"/>
      <c r="J1" s="1304"/>
      <c r="K1" s="1304"/>
      <c r="L1" s="1304"/>
      <c r="M1" s="1304"/>
      <c r="N1" s="1304"/>
      <c r="O1" s="1305"/>
      <c r="P1" s="332"/>
      <c r="Q1" s="307"/>
      <c r="R1" s="375"/>
    </row>
    <row r="2" spans="1:18" ht="13.8" thickBot="1" x14ac:dyDescent="0.3">
      <c r="A2" s="137"/>
      <c r="B2" s="138" t="s">
        <v>754</v>
      </c>
      <c r="C2" s="138" t="s">
        <v>128</v>
      </c>
      <c r="D2" s="139" t="s">
        <v>129</v>
      </c>
      <c r="E2" s="139" t="s">
        <v>130</v>
      </c>
      <c r="F2" s="139" t="s">
        <v>131</v>
      </c>
      <c r="G2" s="139" t="s">
        <v>1267</v>
      </c>
      <c r="H2" s="139" t="s">
        <v>133</v>
      </c>
      <c r="I2" s="139" t="s">
        <v>134</v>
      </c>
      <c r="J2" s="139" t="s">
        <v>757</v>
      </c>
      <c r="K2" s="139" t="s">
        <v>1268</v>
      </c>
      <c r="L2" s="139" t="s">
        <v>136</v>
      </c>
      <c r="M2" s="139" t="s">
        <v>760</v>
      </c>
      <c r="N2" s="139" t="s">
        <v>138</v>
      </c>
      <c r="O2" s="139" t="s">
        <v>139</v>
      </c>
      <c r="P2" s="212" t="s">
        <v>143</v>
      </c>
      <c r="Q2" s="212" t="s">
        <v>144</v>
      </c>
      <c r="R2" s="328" t="s">
        <v>126</v>
      </c>
    </row>
    <row r="3" spans="1:18" ht="13.2" x14ac:dyDescent="0.25">
      <c r="A3"/>
      <c r="B3" s="129"/>
      <c r="C3" s="95"/>
      <c r="D3" s="95"/>
      <c r="E3" s="95"/>
      <c r="F3" s="95"/>
      <c r="G3" s="95"/>
      <c r="H3" s="95"/>
      <c r="I3" s="95"/>
      <c r="J3" s="95"/>
      <c r="K3" s="95"/>
      <c r="L3" s="95"/>
      <c r="M3" s="95"/>
      <c r="N3" s="95"/>
      <c r="O3" s="95"/>
      <c r="P3" s="95"/>
      <c r="Q3" s="95"/>
      <c r="R3" s="329"/>
    </row>
    <row r="4" spans="1:18" ht="14.4" x14ac:dyDescent="0.3">
      <c r="A4" s="96" t="str">
        <f>B4</f>
        <v>GAS ANALYTICS H2</v>
      </c>
      <c r="B4" s="383" t="s">
        <v>343</v>
      </c>
      <c r="C4" s="543"/>
      <c r="D4" s="543"/>
      <c r="E4" s="543"/>
      <c r="F4" s="595"/>
      <c r="G4" s="595"/>
      <c r="H4" s="595"/>
      <c r="I4" s="595"/>
      <c r="J4" s="596"/>
      <c r="K4" s="596"/>
      <c r="L4" s="595"/>
      <c r="M4" s="595"/>
      <c r="N4" s="595"/>
      <c r="O4" s="595"/>
      <c r="P4" s="330"/>
      <c r="Q4" s="330"/>
      <c r="R4" s="70"/>
    </row>
    <row r="5" spans="1:18" ht="57.6" x14ac:dyDescent="0.3">
      <c r="A5" s="61" t="e">
        <f>#REF!</f>
        <v>#REF!</v>
      </c>
      <c r="B5" s="532"/>
      <c r="C5" s="498" t="s">
        <v>9</v>
      </c>
      <c r="D5" s="347" t="s">
        <v>362</v>
      </c>
      <c r="E5" s="499" t="s">
        <v>363</v>
      </c>
      <c r="F5" s="539">
        <v>0</v>
      </c>
      <c r="G5" s="539" t="s">
        <v>149</v>
      </c>
      <c r="H5" s="539" t="s">
        <v>149</v>
      </c>
      <c r="I5" s="539" t="s">
        <v>150</v>
      </c>
      <c r="J5" s="539" t="s">
        <v>149</v>
      </c>
      <c r="K5" s="539" t="s">
        <v>149</v>
      </c>
      <c r="L5" s="550"/>
      <c r="M5" s="539" t="s">
        <v>151</v>
      </c>
      <c r="N5" s="539" t="s">
        <v>1269</v>
      </c>
      <c r="O5" s="539" t="s">
        <v>1270</v>
      </c>
      <c r="P5" s="363"/>
      <c r="Q5" s="94"/>
      <c r="R5" s="108" t="s">
        <v>1271</v>
      </c>
    </row>
    <row r="6" spans="1:18" ht="57.6" x14ac:dyDescent="0.3">
      <c r="A6" s="61" t="e">
        <f>A5</f>
        <v>#REF!</v>
      </c>
      <c r="B6" s="437"/>
      <c r="C6" s="498" t="s">
        <v>9</v>
      </c>
      <c r="D6" s="347" t="s">
        <v>387</v>
      </c>
      <c r="E6" s="499" t="s">
        <v>363</v>
      </c>
      <c r="F6" s="539">
        <v>0</v>
      </c>
      <c r="G6" s="539" t="s">
        <v>149</v>
      </c>
      <c r="H6" s="539" t="s">
        <v>149</v>
      </c>
      <c r="I6" s="539" t="s">
        <v>150</v>
      </c>
      <c r="J6" s="539" t="s">
        <v>149</v>
      </c>
      <c r="K6" s="539" t="s">
        <v>149</v>
      </c>
      <c r="L6" s="550"/>
      <c r="M6" s="539" t="s">
        <v>151</v>
      </c>
      <c r="N6" s="539" t="s">
        <v>1272</v>
      </c>
      <c r="O6" s="539" t="s">
        <v>1273</v>
      </c>
      <c r="P6" s="363"/>
      <c r="Q6" s="94"/>
      <c r="R6" s="108" t="s">
        <v>1274</v>
      </c>
    </row>
    <row r="7" spans="1:18" ht="14.4" x14ac:dyDescent="0.3">
      <c r="A7" s="61" t="e">
        <f>A6</f>
        <v>#REF!</v>
      </c>
      <c r="B7" s="714"/>
      <c r="C7" s="1292" t="s">
        <v>9</v>
      </c>
      <c r="D7" s="503" t="s">
        <v>370</v>
      </c>
      <c r="E7" s="499" t="s">
        <v>1275</v>
      </c>
      <c r="F7" s="366">
        <v>0</v>
      </c>
      <c r="G7" s="539" t="s">
        <v>149</v>
      </c>
      <c r="H7" s="539" t="s">
        <v>149</v>
      </c>
      <c r="I7" s="539" t="s">
        <v>150</v>
      </c>
      <c r="J7" s="539" t="s">
        <v>372</v>
      </c>
      <c r="K7" s="539" t="s">
        <v>149</v>
      </c>
      <c r="L7" s="719" t="s">
        <v>270</v>
      </c>
      <c r="M7" s="719" t="s">
        <v>151</v>
      </c>
      <c r="N7" s="539" t="s">
        <v>1276</v>
      </c>
      <c r="O7" s="1306" t="s">
        <v>1277</v>
      </c>
      <c r="P7" s="1291"/>
      <c r="Q7" s="737"/>
      <c r="R7" s="737" t="s">
        <v>4336</v>
      </c>
    </row>
    <row r="8" spans="1:18" ht="14.4" x14ac:dyDescent="0.3">
      <c r="A8" s="61" t="e">
        <f>A7</f>
        <v>#REF!</v>
      </c>
      <c r="B8" s="715"/>
      <c r="C8" s="824"/>
      <c r="D8" s="503" t="s">
        <v>989</v>
      </c>
      <c r="E8" s="499"/>
      <c r="F8" s="539">
        <v>1</v>
      </c>
      <c r="G8" s="539" t="s">
        <v>149</v>
      </c>
      <c r="H8" s="539" t="s">
        <v>149</v>
      </c>
      <c r="I8" s="539" t="s">
        <v>150</v>
      </c>
      <c r="J8" s="539" t="s">
        <v>416</v>
      </c>
      <c r="K8" s="539" t="s">
        <v>149</v>
      </c>
      <c r="L8" s="720"/>
      <c r="M8" s="720"/>
      <c r="N8" s="539" t="s">
        <v>1278</v>
      </c>
      <c r="O8" s="720"/>
      <c r="P8" s="738"/>
      <c r="Q8" s="738"/>
      <c r="R8" s="738"/>
    </row>
    <row r="9" spans="1:18" ht="14.4" x14ac:dyDescent="0.3">
      <c r="A9" s="61" t="e">
        <f>A8</f>
        <v>#REF!</v>
      </c>
      <c r="B9" s="714"/>
      <c r="C9" s="1292" t="s">
        <v>9</v>
      </c>
      <c r="D9" s="503" t="s">
        <v>389</v>
      </c>
      <c r="E9" s="499" t="s">
        <v>1275</v>
      </c>
      <c r="F9" s="366">
        <v>0</v>
      </c>
      <c r="G9" s="539" t="s">
        <v>149</v>
      </c>
      <c r="H9" s="539" t="s">
        <v>149</v>
      </c>
      <c r="I9" s="539" t="s">
        <v>150</v>
      </c>
      <c r="J9" s="539" t="s">
        <v>372</v>
      </c>
      <c r="K9" s="539" t="s">
        <v>149</v>
      </c>
      <c r="L9" s="719" t="s">
        <v>270</v>
      </c>
      <c r="M9" s="719" t="s">
        <v>151</v>
      </c>
      <c r="N9" s="539" t="s">
        <v>1279</v>
      </c>
      <c r="O9" s="719" t="s">
        <v>1277</v>
      </c>
      <c r="P9" s="1291"/>
      <c r="Q9" s="737"/>
      <c r="R9" s="737" t="s">
        <v>4336</v>
      </c>
    </row>
    <row r="10" spans="1:18" ht="14.4" x14ac:dyDescent="0.3">
      <c r="A10" s="61" t="e">
        <f>A9</f>
        <v>#REF!</v>
      </c>
      <c r="B10" s="715"/>
      <c r="C10" s="824"/>
      <c r="D10" s="503" t="s">
        <v>989</v>
      </c>
      <c r="E10" s="499"/>
      <c r="F10" s="539">
        <v>1</v>
      </c>
      <c r="G10" s="539" t="s">
        <v>149</v>
      </c>
      <c r="H10" s="539" t="s">
        <v>149</v>
      </c>
      <c r="I10" s="539" t="s">
        <v>150</v>
      </c>
      <c r="J10" s="539" t="s">
        <v>416</v>
      </c>
      <c r="K10" s="539" t="s">
        <v>149</v>
      </c>
      <c r="L10" s="720"/>
      <c r="M10" s="720"/>
      <c r="N10" s="539" t="s">
        <v>1278</v>
      </c>
      <c r="O10" s="720"/>
      <c r="P10" s="738"/>
      <c r="Q10" s="738"/>
      <c r="R10" s="738"/>
    </row>
    <row r="11" spans="1:18" ht="43.2" x14ac:dyDescent="0.3">
      <c r="A11" s="61" t="e">
        <f>#REF!</f>
        <v>#REF!</v>
      </c>
      <c r="B11" s="499"/>
      <c r="C11" s="498" t="s">
        <v>9</v>
      </c>
      <c r="D11" s="503" t="s">
        <v>809</v>
      </c>
      <c r="E11" s="503" t="s">
        <v>193</v>
      </c>
      <c r="F11" s="500">
        <v>80</v>
      </c>
      <c r="G11" s="584" t="s">
        <v>149</v>
      </c>
      <c r="H11" s="503" t="s">
        <v>149</v>
      </c>
      <c r="I11" s="503" t="s">
        <v>1280</v>
      </c>
      <c r="J11" s="503" t="s">
        <v>372</v>
      </c>
      <c r="K11" s="503" t="s">
        <v>149</v>
      </c>
      <c r="L11" s="539"/>
      <c r="M11" s="539" t="s">
        <v>151</v>
      </c>
      <c r="N11" s="503" t="s">
        <v>1281</v>
      </c>
      <c r="O11" s="650" t="s">
        <v>4279</v>
      </c>
      <c r="P11" s="363"/>
      <c r="Q11" s="94"/>
      <c r="R11" s="97" t="s">
        <v>4281</v>
      </c>
    </row>
    <row r="12" spans="1:18" ht="28.8" x14ac:dyDescent="0.3">
      <c r="A12" s="61" t="e">
        <f>A11</f>
        <v>#REF!</v>
      </c>
      <c r="B12" s="499"/>
      <c r="C12" s="652" t="s">
        <v>835</v>
      </c>
      <c r="D12" s="395" t="s">
        <v>1282</v>
      </c>
      <c r="E12" s="395" t="s">
        <v>371</v>
      </c>
      <c r="F12" s="653">
        <v>0</v>
      </c>
      <c r="G12" s="654" t="s">
        <v>149</v>
      </c>
      <c r="H12" s="653" t="s">
        <v>149</v>
      </c>
      <c r="I12" s="395" t="s">
        <v>150</v>
      </c>
      <c r="J12" s="395" t="s">
        <v>372</v>
      </c>
      <c r="K12" s="395" t="s">
        <v>149</v>
      </c>
      <c r="L12" s="403"/>
      <c r="M12" s="403" t="s">
        <v>151</v>
      </c>
      <c r="N12" s="395" t="s">
        <v>1283</v>
      </c>
      <c r="O12" s="395" t="s">
        <v>1284</v>
      </c>
      <c r="P12" s="363"/>
      <c r="Q12" s="94"/>
      <c r="R12" s="97" t="s">
        <v>4288</v>
      </c>
    </row>
    <row r="13" spans="1:18" ht="28.8" x14ac:dyDescent="0.3">
      <c r="A13" s="61" t="e">
        <f>A12</f>
        <v>#REF!</v>
      </c>
      <c r="B13" s="499"/>
      <c r="C13" s="498" t="s">
        <v>9</v>
      </c>
      <c r="D13" s="503" t="s">
        <v>1285</v>
      </c>
      <c r="E13" s="503" t="s">
        <v>371</v>
      </c>
      <c r="F13" s="500">
        <v>0</v>
      </c>
      <c r="G13" s="584" t="s">
        <v>149</v>
      </c>
      <c r="H13" s="584" t="s">
        <v>149</v>
      </c>
      <c r="I13" s="503" t="s">
        <v>150</v>
      </c>
      <c r="J13" s="503" t="s">
        <v>372</v>
      </c>
      <c r="K13" s="503" t="s">
        <v>149</v>
      </c>
      <c r="L13" s="539"/>
      <c r="M13" s="539" t="s">
        <v>151</v>
      </c>
      <c r="N13" s="347" t="s">
        <v>4283</v>
      </c>
      <c r="O13" s="656" t="s">
        <v>4294</v>
      </c>
      <c r="P13" s="363"/>
      <c r="Q13" s="94"/>
      <c r="R13" s="42" t="s">
        <v>4296</v>
      </c>
    </row>
    <row r="14" spans="1:18" ht="28.8" x14ac:dyDescent="0.3">
      <c r="A14" s="61" t="e">
        <f>A13</f>
        <v>#REF!</v>
      </c>
      <c r="B14" s="499"/>
      <c r="C14" s="498" t="s">
        <v>9</v>
      </c>
      <c r="D14" s="347" t="s">
        <v>4282</v>
      </c>
      <c r="E14" s="347" t="s">
        <v>371</v>
      </c>
      <c r="F14" s="372">
        <v>0</v>
      </c>
      <c r="G14" s="651" t="s">
        <v>149</v>
      </c>
      <c r="H14" s="651" t="s">
        <v>149</v>
      </c>
      <c r="I14" s="347" t="s">
        <v>150</v>
      </c>
      <c r="J14" s="347" t="s">
        <v>372</v>
      </c>
      <c r="K14" s="347" t="s">
        <v>149</v>
      </c>
      <c r="L14" s="366"/>
      <c r="M14" s="366" t="s">
        <v>151</v>
      </c>
      <c r="N14" s="347" t="s">
        <v>4284</v>
      </c>
      <c r="O14" s="372" t="s">
        <v>4293</v>
      </c>
      <c r="P14" s="363"/>
      <c r="Q14" s="94"/>
      <c r="R14" s="42" t="s">
        <v>4295</v>
      </c>
    </row>
    <row r="15" spans="1:18" ht="14.4" x14ac:dyDescent="0.3">
      <c r="A15" s="61" t="e">
        <f>A14</f>
        <v>#REF!</v>
      </c>
      <c r="B15" s="499"/>
      <c r="C15" s="498" t="s">
        <v>9</v>
      </c>
      <c r="D15" s="347" t="s">
        <v>4298</v>
      </c>
      <c r="E15" s="347" t="s">
        <v>371</v>
      </c>
      <c r="F15" s="372">
        <v>0</v>
      </c>
      <c r="G15" s="651" t="s">
        <v>149</v>
      </c>
      <c r="H15" s="651" t="s">
        <v>149</v>
      </c>
      <c r="I15" s="347" t="s">
        <v>150</v>
      </c>
      <c r="J15" s="347" t="s">
        <v>372</v>
      </c>
      <c r="K15" s="347" t="s">
        <v>149</v>
      </c>
      <c r="L15" s="366"/>
      <c r="M15" s="366" t="s">
        <v>151</v>
      </c>
      <c r="N15" s="347" t="s">
        <v>4299</v>
      </c>
      <c r="O15" s="659" t="s">
        <v>4303</v>
      </c>
      <c r="P15" s="363"/>
      <c r="Q15" s="94"/>
      <c r="R15" s="42" t="s">
        <v>4300</v>
      </c>
    </row>
    <row r="16" spans="1:18" ht="14.4" x14ac:dyDescent="0.3">
      <c r="A16" s="61" t="e">
        <f>A15</f>
        <v>#REF!</v>
      </c>
      <c r="B16" s="499"/>
      <c r="C16" s="498" t="s">
        <v>9</v>
      </c>
      <c r="D16" s="347" t="s">
        <v>4301</v>
      </c>
      <c r="E16" s="347" t="s">
        <v>371</v>
      </c>
      <c r="F16" s="372">
        <v>0</v>
      </c>
      <c r="G16" s="651" t="s">
        <v>149</v>
      </c>
      <c r="H16" s="651" t="s">
        <v>149</v>
      </c>
      <c r="I16" s="347" t="s">
        <v>150</v>
      </c>
      <c r="J16" s="347" t="s">
        <v>372</v>
      </c>
      <c r="K16" s="347" t="s">
        <v>149</v>
      </c>
      <c r="L16" s="366"/>
      <c r="M16" s="366" t="s">
        <v>151</v>
      </c>
      <c r="N16" s="347" t="s">
        <v>4302</v>
      </c>
      <c r="O16" s="659" t="s">
        <v>4303</v>
      </c>
      <c r="P16" s="363"/>
      <c r="Q16" s="94"/>
      <c r="R16" s="42" t="s">
        <v>4300</v>
      </c>
    </row>
    <row r="17" spans="1:18" ht="28.8" x14ac:dyDescent="0.3">
      <c r="A17" s="61" t="e">
        <f>#REF!</f>
        <v>#REF!</v>
      </c>
      <c r="B17" s="588"/>
      <c r="C17" s="655" t="s">
        <v>835</v>
      </c>
      <c r="D17" s="658" t="s">
        <v>1286</v>
      </c>
      <c r="E17" s="395" t="s">
        <v>1033</v>
      </c>
      <c r="F17" s="403">
        <v>0</v>
      </c>
      <c r="G17" s="654" t="s">
        <v>149</v>
      </c>
      <c r="H17" s="654" t="s">
        <v>149</v>
      </c>
      <c r="I17" s="395" t="s">
        <v>150</v>
      </c>
      <c r="J17" s="654" t="s">
        <v>149</v>
      </c>
      <c r="K17" s="654" t="s">
        <v>149</v>
      </c>
      <c r="L17" s="403"/>
      <c r="M17" s="403" t="s">
        <v>151</v>
      </c>
      <c r="N17" s="395" t="s">
        <v>1287</v>
      </c>
      <c r="O17" s="395" t="s">
        <v>1288</v>
      </c>
      <c r="P17" s="363"/>
      <c r="Q17" s="94"/>
      <c r="R17" s="42" t="s">
        <v>4297</v>
      </c>
    </row>
    <row r="18" spans="1:18" ht="14.4" x14ac:dyDescent="0.3">
      <c r="A18" s="61" t="e">
        <f>#REF!</f>
        <v>#REF!</v>
      </c>
      <c r="B18" s="588"/>
      <c r="C18" s="123" t="s">
        <v>835</v>
      </c>
      <c r="D18" s="613" t="s">
        <v>1289</v>
      </c>
      <c r="E18" s="503" t="s">
        <v>1033</v>
      </c>
      <c r="F18" s="539">
        <v>0</v>
      </c>
      <c r="G18" s="584" t="s">
        <v>149</v>
      </c>
      <c r="H18" s="584" t="s">
        <v>149</v>
      </c>
      <c r="I18" s="503" t="s">
        <v>150</v>
      </c>
      <c r="J18" s="584" t="s">
        <v>149</v>
      </c>
      <c r="K18" s="584" t="s">
        <v>149</v>
      </c>
      <c r="L18" s="539"/>
      <c r="M18" s="539" t="s">
        <v>151</v>
      </c>
      <c r="N18" s="503" t="s">
        <v>1290</v>
      </c>
      <c r="O18" s="503" t="s">
        <v>1288</v>
      </c>
      <c r="P18" s="363"/>
      <c r="Q18" s="94"/>
      <c r="R18" s="97"/>
    </row>
    <row r="19" spans="1:18" ht="43.2" x14ac:dyDescent="0.3">
      <c r="A19" s="61" t="e">
        <f>#REF!</f>
        <v>#REF!</v>
      </c>
      <c r="B19" s="588"/>
      <c r="C19" s="605" t="s">
        <v>45</v>
      </c>
      <c r="D19" s="503" t="s">
        <v>1291</v>
      </c>
      <c r="E19" s="503" t="s">
        <v>193</v>
      </c>
      <c r="F19" s="503" t="s">
        <v>149</v>
      </c>
      <c r="G19" s="539" t="s">
        <v>1292</v>
      </c>
      <c r="H19" s="503" t="s">
        <v>1293</v>
      </c>
      <c r="I19" s="503" t="s">
        <v>380</v>
      </c>
      <c r="J19" s="528" t="s">
        <v>149</v>
      </c>
      <c r="K19" s="503" t="s">
        <v>149</v>
      </c>
      <c r="L19" s="539" t="s">
        <v>149</v>
      </c>
      <c r="M19" s="539" t="s">
        <v>151</v>
      </c>
      <c r="N19" s="539" t="s">
        <v>1294</v>
      </c>
      <c r="O19" s="539" t="s">
        <v>1295</v>
      </c>
      <c r="P19" s="94"/>
      <c r="Q19" s="94"/>
      <c r="R19" s="97" t="s">
        <v>1296</v>
      </c>
    </row>
    <row r="20" spans="1:18" ht="14.4" x14ac:dyDescent="0.3">
      <c r="A20" s="96" t="str">
        <f>B20</f>
        <v>GAS ANALYTICS O2</v>
      </c>
      <c r="B20" s="383" t="s">
        <v>426</v>
      </c>
      <c r="C20" s="506"/>
      <c r="D20" s="506"/>
      <c r="E20" s="506"/>
      <c r="F20" s="497"/>
      <c r="G20" s="497"/>
      <c r="H20" s="497"/>
      <c r="I20" s="497"/>
      <c r="J20" s="580"/>
      <c r="K20" s="580"/>
      <c r="L20" s="497"/>
      <c r="M20" s="497"/>
      <c r="N20" s="497"/>
      <c r="O20" s="497"/>
      <c r="P20" s="70"/>
      <c r="Q20" s="70"/>
      <c r="R20" s="70"/>
    </row>
    <row r="21" spans="1:18" ht="57.6" x14ac:dyDescent="0.3">
      <c r="A21" s="61" t="e">
        <f>#REF!</f>
        <v>#REF!</v>
      </c>
      <c r="B21" s="532"/>
      <c r="C21" s="498" t="s">
        <v>9</v>
      </c>
      <c r="D21" s="347" t="s">
        <v>437</v>
      </c>
      <c r="E21" s="499" t="s">
        <v>363</v>
      </c>
      <c r="F21" s="539">
        <v>0</v>
      </c>
      <c r="G21" s="539" t="s">
        <v>149</v>
      </c>
      <c r="H21" s="539" t="s">
        <v>149</v>
      </c>
      <c r="I21" s="539" t="s">
        <v>150</v>
      </c>
      <c r="J21" s="539" t="s">
        <v>149</v>
      </c>
      <c r="K21" s="539" t="s">
        <v>149</v>
      </c>
      <c r="L21" s="550"/>
      <c r="M21" s="539" t="s">
        <v>151</v>
      </c>
      <c r="N21" s="539" t="s">
        <v>1269</v>
      </c>
      <c r="O21" s="539" t="s">
        <v>1270</v>
      </c>
      <c r="P21" s="363"/>
      <c r="Q21" s="94"/>
      <c r="R21" s="108" t="s">
        <v>1271</v>
      </c>
    </row>
    <row r="22" spans="1:18" ht="57.6" x14ac:dyDescent="0.3">
      <c r="A22" s="61" t="e">
        <f>A21</f>
        <v>#REF!</v>
      </c>
      <c r="B22" s="437"/>
      <c r="C22" s="498" t="s">
        <v>9</v>
      </c>
      <c r="D22" s="347" t="s">
        <v>450</v>
      </c>
      <c r="E22" s="499" t="s">
        <v>363</v>
      </c>
      <c r="F22" s="539">
        <v>0</v>
      </c>
      <c r="G22" s="539" t="s">
        <v>149</v>
      </c>
      <c r="H22" s="539" t="s">
        <v>149</v>
      </c>
      <c r="I22" s="539" t="s">
        <v>150</v>
      </c>
      <c r="J22" s="539" t="s">
        <v>149</v>
      </c>
      <c r="K22" s="539" t="s">
        <v>149</v>
      </c>
      <c r="L22" s="550"/>
      <c r="M22" s="539" t="s">
        <v>151</v>
      </c>
      <c r="N22" s="539" t="s">
        <v>1272</v>
      </c>
      <c r="O22" s="539" t="s">
        <v>1273</v>
      </c>
      <c r="P22" s="363"/>
      <c r="Q22" s="94"/>
      <c r="R22" s="108" t="s">
        <v>1274</v>
      </c>
    </row>
    <row r="23" spans="1:18" ht="43.2" x14ac:dyDescent="0.3">
      <c r="A23" s="61" t="e">
        <f>#REF!</f>
        <v>#REF!</v>
      </c>
      <c r="B23" s="499"/>
      <c r="C23" s="498" t="s">
        <v>9</v>
      </c>
      <c r="D23" s="503" t="s">
        <v>440</v>
      </c>
      <c r="E23" s="499" t="s">
        <v>1275</v>
      </c>
      <c r="F23" s="366">
        <v>0</v>
      </c>
      <c r="G23" s="539" t="s">
        <v>149</v>
      </c>
      <c r="H23" s="539" t="s">
        <v>149</v>
      </c>
      <c r="I23" s="539" t="s">
        <v>150</v>
      </c>
      <c r="J23" s="539" t="s">
        <v>372</v>
      </c>
      <c r="K23" s="539" t="s">
        <v>149</v>
      </c>
      <c r="L23" s="539"/>
      <c r="M23" s="539" t="s">
        <v>151</v>
      </c>
      <c r="N23" s="539" t="s">
        <v>1297</v>
      </c>
      <c r="O23" s="675" t="s">
        <v>1298</v>
      </c>
      <c r="P23" s="363"/>
      <c r="Q23" s="94"/>
      <c r="R23" s="108" t="s">
        <v>4335</v>
      </c>
    </row>
    <row r="24" spans="1:18" ht="43.2" x14ac:dyDescent="0.3">
      <c r="A24" s="61" t="e">
        <f>A23</f>
        <v>#REF!</v>
      </c>
      <c r="B24" s="413"/>
      <c r="C24" s="498" t="s">
        <v>9</v>
      </c>
      <c r="D24" s="503" t="s">
        <v>452</v>
      </c>
      <c r="E24" s="499" t="s">
        <v>1275</v>
      </c>
      <c r="F24" s="366">
        <v>0</v>
      </c>
      <c r="G24" s="539" t="s">
        <v>149</v>
      </c>
      <c r="H24" s="539" t="s">
        <v>149</v>
      </c>
      <c r="I24" s="539" t="s">
        <v>150</v>
      </c>
      <c r="J24" s="539" t="s">
        <v>372</v>
      </c>
      <c r="K24" s="539" t="s">
        <v>149</v>
      </c>
      <c r="L24" s="539"/>
      <c r="M24" s="539" t="s">
        <v>151</v>
      </c>
      <c r="N24" s="539" t="s">
        <v>1299</v>
      </c>
      <c r="O24" s="539" t="s">
        <v>1298</v>
      </c>
      <c r="P24" s="363"/>
      <c r="Q24" s="94"/>
      <c r="R24" s="108" t="s">
        <v>4335</v>
      </c>
    </row>
    <row r="25" spans="1:18" ht="43.2" x14ac:dyDescent="0.3">
      <c r="A25" s="61" t="e">
        <f>#REF!</f>
        <v>#REF!</v>
      </c>
      <c r="B25" s="499"/>
      <c r="C25" s="498" t="s">
        <v>9</v>
      </c>
      <c r="D25" s="503" t="s">
        <v>830</v>
      </c>
      <c r="E25" s="503" t="s">
        <v>193</v>
      </c>
      <c r="F25" s="500">
        <v>80</v>
      </c>
      <c r="G25" s="584" t="s">
        <v>149</v>
      </c>
      <c r="H25" s="584" t="s">
        <v>149</v>
      </c>
      <c r="I25" s="503" t="s">
        <v>1280</v>
      </c>
      <c r="J25" s="503" t="s">
        <v>372</v>
      </c>
      <c r="K25" s="503" t="s">
        <v>149</v>
      </c>
      <c r="L25" s="539"/>
      <c r="M25" s="539" t="s">
        <v>151</v>
      </c>
      <c r="N25" s="503" t="s">
        <v>1281</v>
      </c>
      <c r="O25" s="650" t="s">
        <v>4280</v>
      </c>
      <c r="P25" s="363"/>
      <c r="Q25" s="94"/>
      <c r="R25" s="97" t="s">
        <v>4281</v>
      </c>
    </row>
    <row r="26" spans="1:18" ht="28.8" x14ac:dyDescent="0.3">
      <c r="A26" s="61" t="e">
        <f>A25</f>
        <v>#REF!</v>
      </c>
      <c r="B26" s="499"/>
      <c r="C26" s="655" t="s">
        <v>835</v>
      </c>
      <c r="D26" s="395" t="s">
        <v>1300</v>
      </c>
      <c r="E26" s="395" t="s">
        <v>371</v>
      </c>
      <c r="F26" s="653">
        <v>0</v>
      </c>
      <c r="G26" s="654" t="s">
        <v>149</v>
      </c>
      <c r="H26" s="653" t="s">
        <v>149</v>
      </c>
      <c r="I26" s="395" t="s">
        <v>150</v>
      </c>
      <c r="J26" s="395" t="s">
        <v>372</v>
      </c>
      <c r="K26" s="395" t="s">
        <v>149</v>
      </c>
      <c r="L26" s="403"/>
      <c r="M26" s="403" t="s">
        <v>151</v>
      </c>
      <c r="N26" s="395" t="s">
        <v>1283</v>
      </c>
      <c r="O26" s="395" t="s">
        <v>1284</v>
      </c>
      <c r="P26" s="363"/>
      <c r="Q26" s="94"/>
      <c r="R26" s="97" t="s">
        <v>4288</v>
      </c>
    </row>
    <row r="27" spans="1:18" ht="28.8" x14ac:dyDescent="0.3">
      <c r="A27" s="61" t="e">
        <f>A26</f>
        <v>#REF!</v>
      </c>
      <c r="B27" s="499"/>
      <c r="C27" s="498" t="s">
        <v>9</v>
      </c>
      <c r="D27" s="503" t="s">
        <v>1301</v>
      </c>
      <c r="E27" s="503" t="s">
        <v>371</v>
      </c>
      <c r="F27" s="500">
        <v>0</v>
      </c>
      <c r="G27" s="584" t="s">
        <v>149</v>
      </c>
      <c r="H27" s="584" t="s">
        <v>149</v>
      </c>
      <c r="I27" s="503" t="s">
        <v>150</v>
      </c>
      <c r="J27" s="503" t="s">
        <v>372</v>
      </c>
      <c r="K27" s="503" t="s">
        <v>149</v>
      </c>
      <c r="L27" s="539"/>
      <c r="M27" s="539" t="s">
        <v>151</v>
      </c>
      <c r="N27" s="347" t="s">
        <v>4286</v>
      </c>
      <c r="O27" s="656" t="s">
        <v>4294</v>
      </c>
      <c r="P27" s="363"/>
      <c r="Q27" s="94"/>
      <c r="R27" s="42" t="s">
        <v>4296</v>
      </c>
    </row>
    <row r="28" spans="1:18" ht="28.8" x14ac:dyDescent="0.3">
      <c r="A28" s="61" t="e">
        <f>A27</f>
        <v>#REF!</v>
      </c>
      <c r="B28" s="499"/>
      <c r="C28" s="498" t="s">
        <v>9</v>
      </c>
      <c r="D28" s="347" t="s">
        <v>4285</v>
      </c>
      <c r="E28" s="347" t="s">
        <v>371</v>
      </c>
      <c r="F28" s="372">
        <v>0</v>
      </c>
      <c r="G28" s="651" t="s">
        <v>149</v>
      </c>
      <c r="H28" s="651" t="s">
        <v>149</v>
      </c>
      <c r="I28" s="347" t="s">
        <v>150</v>
      </c>
      <c r="J28" s="347" t="s">
        <v>372</v>
      </c>
      <c r="K28" s="347" t="s">
        <v>149</v>
      </c>
      <c r="L28" s="366"/>
      <c r="M28" s="366" t="s">
        <v>151</v>
      </c>
      <c r="N28" s="347" t="s">
        <v>4287</v>
      </c>
      <c r="O28" s="372" t="s">
        <v>4293</v>
      </c>
      <c r="P28" s="363"/>
      <c r="Q28" s="94"/>
      <c r="R28" s="657" t="s">
        <v>4295</v>
      </c>
    </row>
    <row r="29" spans="1:18" ht="28.8" x14ac:dyDescent="0.3">
      <c r="A29" s="61" t="e">
        <f>#REF!</f>
        <v>#REF!</v>
      </c>
      <c r="B29" s="588"/>
      <c r="C29" s="655" t="s">
        <v>835</v>
      </c>
      <c r="D29" s="658" t="s">
        <v>1302</v>
      </c>
      <c r="E29" s="395" t="s">
        <v>1033</v>
      </c>
      <c r="F29" s="403">
        <v>0</v>
      </c>
      <c r="G29" s="654" t="s">
        <v>149</v>
      </c>
      <c r="H29" s="654" t="s">
        <v>149</v>
      </c>
      <c r="I29" s="395" t="s">
        <v>150</v>
      </c>
      <c r="J29" s="654" t="s">
        <v>149</v>
      </c>
      <c r="K29" s="654" t="s">
        <v>149</v>
      </c>
      <c r="L29" s="403"/>
      <c r="M29" s="403" t="s">
        <v>151</v>
      </c>
      <c r="N29" s="395" t="s">
        <v>1287</v>
      </c>
      <c r="O29" s="395" t="s">
        <v>1288</v>
      </c>
      <c r="P29" s="363"/>
      <c r="Q29" s="94"/>
      <c r="R29" s="42" t="s">
        <v>4297</v>
      </c>
    </row>
    <row r="30" spans="1:18" ht="14.4" x14ac:dyDescent="0.3">
      <c r="A30" s="61" t="e">
        <f>#REF!</f>
        <v>#REF!</v>
      </c>
      <c r="B30" s="588"/>
      <c r="C30" s="123" t="s">
        <v>835</v>
      </c>
      <c r="D30" s="613" t="s">
        <v>1303</v>
      </c>
      <c r="E30" s="503" t="s">
        <v>1033</v>
      </c>
      <c r="F30" s="539">
        <v>0</v>
      </c>
      <c r="G30" s="584" t="s">
        <v>149</v>
      </c>
      <c r="H30" s="584" t="s">
        <v>149</v>
      </c>
      <c r="I30" s="503" t="s">
        <v>150</v>
      </c>
      <c r="J30" s="584" t="s">
        <v>149</v>
      </c>
      <c r="K30" s="584" t="s">
        <v>149</v>
      </c>
      <c r="L30" s="539"/>
      <c r="M30" s="539" t="s">
        <v>151</v>
      </c>
      <c r="N30" s="503" t="s">
        <v>1290</v>
      </c>
      <c r="O30" s="503" t="s">
        <v>1288</v>
      </c>
      <c r="P30" s="363"/>
      <c r="Q30" s="94"/>
      <c r="R30" s="97"/>
    </row>
    <row r="31" spans="1:18" ht="43.2" x14ac:dyDescent="0.3">
      <c r="A31" s="61" t="e">
        <f>#REF!</f>
        <v>#REF!</v>
      </c>
      <c r="B31" s="588"/>
      <c r="C31" s="605" t="s">
        <v>45</v>
      </c>
      <c r="D31" s="503" t="s">
        <v>1304</v>
      </c>
      <c r="E31" s="503" t="s">
        <v>193</v>
      </c>
      <c r="F31" s="503" t="s">
        <v>149</v>
      </c>
      <c r="G31" s="539" t="s">
        <v>1305</v>
      </c>
      <c r="H31" s="503" t="s">
        <v>1306</v>
      </c>
      <c r="I31" s="539" t="s">
        <v>444</v>
      </c>
      <c r="J31" s="528" t="s">
        <v>149</v>
      </c>
      <c r="K31" s="503" t="s">
        <v>149</v>
      </c>
      <c r="L31" s="539" t="s">
        <v>149</v>
      </c>
      <c r="M31" s="539" t="s">
        <v>151</v>
      </c>
      <c r="N31" s="539" t="s">
        <v>1307</v>
      </c>
      <c r="O31" s="539" t="s">
        <v>1295</v>
      </c>
      <c r="P31" s="94"/>
      <c r="Q31" s="94"/>
      <c r="R31" s="97" t="s">
        <v>1308</v>
      </c>
    </row>
    <row r="32" spans="1:18" ht="14.4" x14ac:dyDescent="0.3">
      <c r="A32" s="96" t="str">
        <f>B32</f>
        <v>WATER MANAGEMENT</v>
      </c>
      <c r="B32" s="383" t="s">
        <v>834</v>
      </c>
      <c r="C32" s="506"/>
      <c r="D32" s="506"/>
      <c r="E32" s="506"/>
      <c r="F32" s="497"/>
      <c r="G32" s="497"/>
      <c r="H32" s="497"/>
      <c r="I32" s="497"/>
      <c r="J32" s="580"/>
      <c r="K32" s="580"/>
      <c r="L32" s="497"/>
      <c r="M32" s="497"/>
      <c r="N32" s="497"/>
      <c r="O32" s="497"/>
      <c r="P32" s="70"/>
      <c r="Q32" s="70"/>
      <c r="R32" s="70"/>
    </row>
    <row r="33" spans="1:18" ht="28.8" x14ac:dyDescent="0.3">
      <c r="A33" s="61" t="e">
        <f>#REF!</f>
        <v>#REF!</v>
      </c>
      <c r="B33" s="536"/>
      <c r="C33" s="582" t="s">
        <v>36</v>
      </c>
      <c r="D33" s="509" t="s">
        <v>1309</v>
      </c>
      <c r="E33" s="509" t="s">
        <v>193</v>
      </c>
      <c r="F33" s="539" t="s">
        <v>1310</v>
      </c>
      <c r="G33" s="539" t="s">
        <v>149</v>
      </c>
      <c r="H33" s="539" t="s">
        <v>36</v>
      </c>
      <c r="I33" s="539" t="s">
        <v>197</v>
      </c>
      <c r="J33" s="539" t="s">
        <v>398</v>
      </c>
      <c r="K33" s="539" t="s">
        <v>149</v>
      </c>
      <c r="L33" s="539"/>
      <c r="M33" s="539" t="s">
        <v>151</v>
      </c>
      <c r="N33" s="539" t="s">
        <v>1311</v>
      </c>
      <c r="O33" s="539" t="s">
        <v>1312</v>
      </c>
      <c r="P33" s="363"/>
      <c r="Q33" s="94"/>
      <c r="R33" s="94" t="s">
        <v>1313</v>
      </c>
    </row>
    <row r="34" spans="1:18" ht="28.95" customHeight="1" x14ac:dyDescent="0.3">
      <c r="A34" s="61" t="e">
        <f>#REF!</f>
        <v>#REF!</v>
      </c>
      <c r="B34" s="536"/>
      <c r="C34" s="582" t="s">
        <v>36</v>
      </c>
      <c r="D34" s="509" t="s">
        <v>1314</v>
      </c>
      <c r="E34" s="509" t="s">
        <v>193</v>
      </c>
      <c r="F34" s="539" t="s">
        <v>1310</v>
      </c>
      <c r="G34" s="539" t="s">
        <v>149</v>
      </c>
      <c r="H34" s="539" t="s">
        <v>36</v>
      </c>
      <c r="I34" s="539" t="s">
        <v>197</v>
      </c>
      <c r="J34" s="539" t="s">
        <v>398</v>
      </c>
      <c r="K34" s="539" t="s">
        <v>149</v>
      </c>
      <c r="L34" s="539"/>
      <c r="M34" s="539" t="s">
        <v>151</v>
      </c>
      <c r="N34" s="539" t="s">
        <v>1315</v>
      </c>
      <c r="O34" s="539" t="s">
        <v>1316</v>
      </c>
      <c r="P34" s="363"/>
      <c r="Q34" s="94"/>
      <c r="R34" s="94" t="s">
        <v>1313</v>
      </c>
    </row>
    <row r="35" spans="1:18" ht="26.4" customHeight="1" x14ac:dyDescent="0.3">
      <c r="A35" s="61" t="e">
        <f>#REF!</f>
        <v>#REF!</v>
      </c>
      <c r="B35" s="588"/>
      <c r="C35" s="123" t="s">
        <v>835</v>
      </c>
      <c r="D35" s="124" t="s">
        <v>1317</v>
      </c>
      <c r="E35" s="637" t="s">
        <v>1033</v>
      </c>
      <c r="F35" s="503">
        <v>0</v>
      </c>
      <c r="G35" s="503"/>
      <c r="H35" s="503"/>
      <c r="I35" s="503" t="s">
        <v>150</v>
      </c>
      <c r="J35" s="503"/>
      <c r="K35" s="503"/>
      <c r="L35" s="539"/>
      <c r="M35" s="539" t="s">
        <v>151</v>
      </c>
      <c r="N35" s="539" t="s">
        <v>1318</v>
      </c>
      <c r="O35" s="503" t="s">
        <v>1288</v>
      </c>
      <c r="P35" s="364"/>
      <c r="Q35" s="97"/>
      <c r="R35" s="97"/>
    </row>
    <row r="36" spans="1:18" ht="14.4" x14ac:dyDescent="0.3">
      <c r="A36" s="96" t="str">
        <f>B36</f>
        <v>GAS MANAGEMENT</v>
      </c>
      <c r="B36" s="383" t="s">
        <v>847</v>
      </c>
      <c r="C36" s="506"/>
      <c r="D36" s="506"/>
      <c r="E36" s="506"/>
      <c r="F36" s="497"/>
      <c r="G36" s="497"/>
      <c r="H36" s="497"/>
      <c r="I36" s="497"/>
      <c r="J36" s="580"/>
      <c r="K36" s="580"/>
      <c r="L36" s="497"/>
      <c r="M36" s="497"/>
      <c r="N36" s="497"/>
      <c r="O36" s="497"/>
      <c r="P36" s="70"/>
      <c r="Q36" s="70"/>
      <c r="R36" s="70"/>
    </row>
    <row r="37" spans="1:18" ht="28.2" customHeight="1" x14ac:dyDescent="0.3">
      <c r="A37" s="61" t="e">
        <f>#REF!</f>
        <v>#REF!</v>
      </c>
      <c r="B37" s="536"/>
      <c r="C37" s="582" t="s">
        <v>36</v>
      </c>
      <c r="D37" s="509" t="s">
        <v>1319</v>
      </c>
      <c r="E37" s="509" t="s">
        <v>193</v>
      </c>
      <c r="F37" s="539" t="s">
        <v>1320</v>
      </c>
      <c r="G37" s="539" t="s">
        <v>149</v>
      </c>
      <c r="H37" s="539" t="s">
        <v>239</v>
      </c>
      <c r="I37" s="539" t="s">
        <v>1280</v>
      </c>
      <c r="J37" s="539" t="s">
        <v>675</v>
      </c>
      <c r="K37" s="539" t="s">
        <v>149</v>
      </c>
      <c r="L37" s="539"/>
      <c r="M37" s="539" t="s">
        <v>151</v>
      </c>
      <c r="N37" s="539" t="s">
        <v>1321</v>
      </c>
      <c r="O37" s="539" t="s">
        <v>1322</v>
      </c>
      <c r="P37" s="363"/>
      <c r="Q37" s="94"/>
      <c r="R37" s="94" t="s">
        <v>1313</v>
      </c>
    </row>
    <row r="38" spans="1:18" ht="28.95" customHeight="1" x14ac:dyDescent="0.3">
      <c r="A38" s="61" t="e">
        <f>#REF!</f>
        <v>#REF!</v>
      </c>
      <c r="B38" s="536"/>
      <c r="C38" s="582" t="s">
        <v>36</v>
      </c>
      <c r="D38" s="509" t="s">
        <v>1323</v>
      </c>
      <c r="E38" s="509" t="s">
        <v>193</v>
      </c>
      <c r="F38" s="539" t="s">
        <v>1320</v>
      </c>
      <c r="G38" s="539" t="s">
        <v>149</v>
      </c>
      <c r="H38" s="539" t="s">
        <v>239</v>
      </c>
      <c r="I38" s="539" t="s">
        <v>1280</v>
      </c>
      <c r="J38" s="539" t="s">
        <v>675</v>
      </c>
      <c r="K38" s="539" t="s">
        <v>149</v>
      </c>
      <c r="L38" s="539"/>
      <c r="M38" s="539" t="s">
        <v>151</v>
      </c>
      <c r="N38" s="539" t="s">
        <v>1324</v>
      </c>
      <c r="O38" s="539" t="s">
        <v>1325</v>
      </c>
      <c r="P38" s="363"/>
      <c r="Q38" s="94"/>
      <c r="R38" s="94" t="s">
        <v>1313</v>
      </c>
    </row>
    <row r="39" spans="1:18" ht="33" customHeight="1" x14ac:dyDescent="0.3">
      <c r="A39" s="61"/>
      <c r="B39" s="499"/>
      <c r="C39" s="123" t="s">
        <v>45</v>
      </c>
      <c r="D39" s="503" t="s">
        <v>848</v>
      </c>
      <c r="E39" s="503" t="s">
        <v>193</v>
      </c>
      <c r="F39" s="503" t="s">
        <v>237</v>
      </c>
      <c r="G39" s="555" t="s">
        <v>149</v>
      </c>
      <c r="H39" s="503" t="s">
        <v>239</v>
      </c>
      <c r="I39" s="503" t="s">
        <v>240</v>
      </c>
      <c r="J39" s="555" t="s">
        <v>149</v>
      </c>
      <c r="K39" s="539" t="s">
        <v>149</v>
      </c>
      <c r="L39" s="539"/>
      <c r="M39" s="539" t="s">
        <v>151</v>
      </c>
      <c r="N39" s="503" t="s">
        <v>1326</v>
      </c>
      <c r="O39" s="539"/>
      <c r="P39" s="94"/>
      <c r="Q39" s="94"/>
      <c r="R39" s="291" t="s">
        <v>1327</v>
      </c>
    </row>
    <row r="40" spans="1:18" ht="30.6" customHeight="1" x14ac:dyDescent="0.3">
      <c r="A40" s="61"/>
      <c r="B40" s="501"/>
      <c r="C40" s="123" t="s">
        <v>45</v>
      </c>
      <c r="D40" s="503" t="s">
        <v>858</v>
      </c>
      <c r="E40" s="503" t="s">
        <v>193</v>
      </c>
      <c r="F40" s="503" t="s">
        <v>237</v>
      </c>
      <c r="G40" s="555" t="s">
        <v>149</v>
      </c>
      <c r="H40" s="503" t="s">
        <v>239</v>
      </c>
      <c r="I40" s="503" t="s">
        <v>240</v>
      </c>
      <c r="J40" s="555" t="s">
        <v>149</v>
      </c>
      <c r="K40" s="539" t="s">
        <v>149</v>
      </c>
      <c r="L40" s="539"/>
      <c r="M40" s="539" t="s">
        <v>151</v>
      </c>
      <c r="N40" s="503" t="s">
        <v>1328</v>
      </c>
      <c r="O40" s="554"/>
      <c r="P40" s="94"/>
      <c r="Q40" s="94"/>
      <c r="R40" s="291" t="s">
        <v>1327</v>
      </c>
    </row>
    <row r="41" spans="1:18" ht="14.4" x14ac:dyDescent="0.3">
      <c r="A41" s="61" t="e">
        <f>A33</f>
        <v>#REF!</v>
      </c>
      <c r="B41" s="588"/>
      <c r="C41" s="123" t="s">
        <v>835</v>
      </c>
      <c r="D41" s="539" t="s">
        <v>1329</v>
      </c>
      <c r="E41" s="503" t="s">
        <v>1033</v>
      </c>
      <c r="F41" s="539">
        <v>0</v>
      </c>
      <c r="G41" s="503"/>
      <c r="H41" s="539"/>
      <c r="I41" s="503" t="s">
        <v>150</v>
      </c>
      <c r="J41" s="503"/>
      <c r="K41" s="602"/>
      <c r="L41" s="539"/>
      <c r="M41" s="539" t="s">
        <v>151</v>
      </c>
      <c r="N41" s="503"/>
      <c r="O41" s="503" t="s">
        <v>1288</v>
      </c>
      <c r="P41" s="363"/>
      <c r="Q41" s="94"/>
      <c r="R41" s="97"/>
    </row>
    <row r="42" spans="1:18" ht="14.4" x14ac:dyDescent="0.3">
      <c r="A42" s="61" t="e">
        <f>A34</f>
        <v>#REF!</v>
      </c>
      <c r="B42" s="588"/>
      <c r="C42" s="123" t="s">
        <v>835</v>
      </c>
      <c r="D42" s="539" t="s">
        <v>1330</v>
      </c>
      <c r="E42" s="503" t="s">
        <v>1033</v>
      </c>
      <c r="F42" s="539">
        <v>0</v>
      </c>
      <c r="G42" s="503"/>
      <c r="H42" s="539"/>
      <c r="I42" s="503" t="s">
        <v>150</v>
      </c>
      <c r="J42" s="503"/>
      <c r="K42" s="602"/>
      <c r="L42" s="539"/>
      <c r="M42" s="539" t="s">
        <v>151</v>
      </c>
      <c r="N42" s="503"/>
      <c r="O42" s="503" t="s">
        <v>1288</v>
      </c>
      <c r="P42" s="363"/>
      <c r="Q42" s="94"/>
      <c r="R42" s="97"/>
    </row>
    <row r="43" spans="1:18" ht="14.4" x14ac:dyDescent="0.3">
      <c r="A43" s="61" t="e">
        <f>A37</f>
        <v>#REF!</v>
      </c>
      <c r="B43" s="588"/>
      <c r="C43" s="123" t="s">
        <v>835</v>
      </c>
      <c r="D43" s="539" t="s">
        <v>1331</v>
      </c>
      <c r="E43" s="503" t="s">
        <v>1033</v>
      </c>
      <c r="F43" s="539">
        <v>0</v>
      </c>
      <c r="G43" s="503"/>
      <c r="H43" s="539"/>
      <c r="I43" s="503" t="s">
        <v>150</v>
      </c>
      <c r="J43" s="503"/>
      <c r="K43" s="602"/>
      <c r="L43" s="539"/>
      <c r="M43" s="539" t="s">
        <v>151</v>
      </c>
      <c r="N43" s="503"/>
      <c r="O43" s="503" t="s">
        <v>1288</v>
      </c>
      <c r="P43" s="363"/>
      <c r="Q43" s="94"/>
      <c r="R43" s="97"/>
    </row>
    <row r="44" spans="1:18" ht="14.4" x14ac:dyDescent="0.3">
      <c r="A44" s="61" t="e">
        <f>#REF!</f>
        <v>#REF!</v>
      </c>
      <c r="B44" s="588"/>
      <c r="C44" s="528" t="s">
        <v>222</v>
      </c>
      <c r="D44" s="503" t="s">
        <v>1332</v>
      </c>
      <c r="E44" s="503" t="s">
        <v>193</v>
      </c>
      <c r="F44" s="539" t="s">
        <v>867</v>
      </c>
      <c r="G44" s="503" t="s">
        <v>149</v>
      </c>
      <c r="H44" s="539" t="s">
        <v>196</v>
      </c>
      <c r="I44" s="503" t="s">
        <v>300</v>
      </c>
      <c r="J44" s="503" t="s">
        <v>675</v>
      </c>
      <c r="K44" s="602" t="s">
        <v>149</v>
      </c>
      <c r="L44" s="539"/>
      <c r="M44" s="539" t="s">
        <v>151</v>
      </c>
      <c r="N44" s="503" t="s">
        <v>1333</v>
      </c>
      <c r="O44" s="503"/>
      <c r="P44" s="364"/>
      <c r="Q44" s="97"/>
      <c r="R44" s="97"/>
    </row>
    <row r="45" spans="1:18" ht="14.4" x14ac:dyDescent="0.3">
      <c r="A45" s="61" t="e">
        <f>A44</f>
        <v>#REF!</v>
      </c>
      <c r="B45" s="588"/>
      <c r="C45" s="528" t="s">
        <v>222</v>
      </c>
      <c r="D45" s="503" t="s">
        <v>1334</v>
      </c>
      <c r="E45" s="503" t="s">
        <v>193</v>
      </c>
      <c r="F45" s="539" t="s">
        <v>1335</v>
      </c>
      <c r="G45" s="503" t="s">
        <v>149</v>
      </c>
      <c r="H45" s="539" t="s">
        <v>196</v>
      </c>
      <c r="I45" s="503" t="s">
        <v>300</v>
      </c>
      <c r="J45" s="503" t="s">
        <v>675</v>
      </c>
      <c r="K45" s="602" t="s">
        <v>149</v>
      </c>
      <c r="L45" s="539"/>
      <c r="M45" s="539" t="s">
        <v>151</v>
      </c>
      <c r="N45" s="503" t="s">
        <v>1336</v>
      </c>
      <c r="O45" s="503" t="s">
        <v>1337</v>
      </c>
      <c r="P45" s="364"/>
      <c r="Q45" s="97"/>
      <c r="R45" s="97"/>
    </row>
    <row r="46" spans="1:18" ht="14.4" x14ac:dyDescent="0.3">
      <c r="A46" s="61" t="e">
        <f>A45</f>
        <v>#REF!</v>
      </c>
      <c r="B46" s="588"/>
      <c r="C46" s="528" t="s">
        <v>222</v>
      </c>
      <c r="D46" s="503" t="s">
        <v>1338</v>
      </c>
      <c r="E46" s="503" t="s">
        <v>193</v>
      </c>
      <c r="F46" s="539" t="s">
        <v>867</v>
      </c>
      <c r="G46" s="503" t="s">
        <v>149</v>
      </c>
      <c r="H46" s="539" t="s">
        <v>196</v>
      </c>
      <c r="I46" s="503" t="s">
        <v>300</v>
      </c>
      <c r="J46" s="503" t="s">
        <v>675</v>
      </c>
      <c r="K46" s="602" t="s">
        <v>149</v>
      </c>
      <c r="L46" s="539"/>
      <c r="M46" s="539" t="s">
        <v>151</v>
      </c>
      <c r="N46" s="503" t="s">
        <v>1333</v>
      </c>
      <c r="O46" s="503"/>
      <c r="P46" s="364"/>
      <c r="Q46" s="97"/>
      <c r="R46" s="97"/>
    </row>
    <row r="47" spans="1:18" ht="14.4" x14ac:dyDescent="0.3">
      <c r="A47" s="61" t="e">
        <f>A46</f>
        <v>#REF!</v>
      </c>
      <c r="B47" s="588"/>
      <c r="C47" s="528" t="s">
        <v>222</v>
      </c>
      <c r="D47" s="503" t="s">
        <v>1339</v>
      </c>
      <c r="E47" s="503" t="s">
        <v>193</v>
      </c>
      <c r="F47" s="539" t="s">
        <v>1335</v>
      </c>
      <c r="G47" s="503" t="s">
        <v>149</v>
      </c>
      <c r="H47" s="539" t="s">
        <v>196</v>
      </c>
      <c r="I47" s="503" t="s">
        <v>300</v>
      </c>
      <c r="J47" s="503" t="s">
        <v>675</v>
      </c>
      <c r="K47" s="602" t="s">
        <v>149</v>
      </c>
      <c r="L47" s="539"/>
      <c r="M47" s="539" t="s">
        <v>151</v>
      </c>
      <c r="N47" s="503" t="s">
        <v>1336</v>
      </c>
      <c r="O47" s="503"/>
      <c r="P47" s="364"/>
      <c r="Q47" s="97"/>
      <c r="R47" s="97"/>
    </row>
    <row r="48" spans="1:18" ht="28.8" x14ac:dyDescent="0.3">
      <c r="A48" s="61" t="e">
        <f>#REF!</f>
        <v>#REF!</v>
      </c>
      <c r="B48" s="588"/>
      <c r="C48" s="123" t="s">
        <v>45</v>
      </c>
      <c r="D48" s="124" t="s">
        <v>1340</v>
      </c>
      <c r="E48" s="124" t="s">
        <v>193</v>
      </c>
      <c r="F48" s="503" t="s">
        <v>1341</v>
      </c>
      <c r="G48" s="503"/>
      <c r="H48" s="503"/>
      <c r="I48" s="503" t="s">
        <v>300</v>
      </c>
      <c r="J48" s="503" t="s">
        <v>900</v>
      </c>
      <c r="K48" s="503"/>
      <c r="L48" s="539"/>
      <c r="M48" s="539" t="s">
        <v>151</v>
      </c>
      <c r="N48" s="539" t="s">
        <v>1342</v>
      </c>
      <c r="O48" s="503" t="s">
        <v>1343</v>
      </c>
      <c r="P48" s="364"/>
      <c r="Q48" s="97"/>
      <c r="R48" s="97" t="s">
        <v>1344</v>
      </c>
    </row>
    <row r="49" spans="1:18" ht="28.8" x14ac:dyDescent="0.3">
      <c r="A49" s="61" t="e">
        <f>A48</f>
        <v>#REF!</v>
      </c>
      <c r="B49" s="588"/>
      <c r="C49" s="123" t="s">
        <v>45</v>
      </c>
      <c r="D49" s="124" t="s">
        <v>1345</v>
      </c>
      <c r="E49" s="124" t="s">
        <v>193</v>
      </c>
      <c r="F49" s="503" t="s">
        <v>1341</v>
      </c>
      <c r="G49" s="503"/>
      <c r="H49" s="503"/>
      <c r="I49" s="503" t="s">
        <v>300</v>
      </c>
      <c r="J49" s="503" t="s">
        <v>900</v>
      </c>
      <c r="K49" s="503"/>
      <c r="L49" s="539"/>
      <c r="M49" s="539" t="s">
        <v>151</v>
      </c>
      <c r="N49" s="539" t="s">
        <v>1346</v>
      </c>
      <c r="O49" s="503" t="s">
        <v>1343</v>
      </c>
      <c r="P49" s="364"/>
      <c r="Q49" s="97"/>
      <c r="R49" s="97" t="s">
        <v>1344</v>
      </c>
    </row>
    <row r="50" spans="1:18" ht="14.4" x14ac:dyDescent="0.3">
      <c r="A50" s="61" t="e">
        <f>A49</f>
        <v>#REF!</v>
      </c>
      <c r="B50" s="588"/>
      <c r="C50" s="123" t="s">
        <v>835</v>
      </c>
      <c r="D50" s="124" t="s">
        <v>1347</v>
      </c>
      <c r="E50" s="125" t="s">
        <v>1033</v>
      </c>
      <c r="F50" s="539">
        <v>1</v>
      </c>
      <c r="G50" s="503"/>
      <c r="H50" s="539"/>
      <c r="I50" s="503" t="s">
        <v>150</v>
      </c>
      <c r="J50" s="503"/>
      <c r="K50" s="602"/>
      <c r="L50" s="539"/>
      <c r="M50" s="539" t="s">
        <v>151</v>
      </c>
      <c r="N50" s="503" t="s">
        <v>1348</v>
      </c>
      <c r="O50" s="503" t="s">
        <v>1288</v>
      </c>
      <c r="P50" s="364"/>
      <c r="Q50" s="97"/>
      <c r="R50" s="97"/>
    </row>
    <row r="51" spans="1:18" ht="14.4" x14ac:dyDescent="0.3">
      <c r="A51" s="61" t="e">
        <f>#REF!</f>
        <v>#REF!</v>
      </c>
      <c r="B51" s="588"/>
      <c r="C51" s="123" t="s">
        <v>835</v>
      </c>
      <c r="D51" s="124" t="s">
        <v>1349</v>
      </c>
      <c r="E51" s="125" t="s">
        <v>1033</v>
      </c>
      <c r="F51" s="539">
        <v>1</v>
      </c>
      <c r="G51" s="503"/>
      <c r="H51" s="539"/>
      <c r="I51" s="503" t="s">
        <v>150</v>
      </c>
      <c r="J51" s="503"/>
      <c r="K51" s="602"/>
      <c r="L51" s="539"/>
      <c r="M51" s="539" t="s">
        <v>151</v>
      </c>
      <c r="N51" s="503" t="s">
        <v>1350</v>
      </c>
      <c r="O51" s="503" t="s">
        <v>1288</v>
      </c>
      <c r="P51" s="364"/>
      <c r="Q51" s="97"/>
      <c r="R51" s="97"/>
    </row>
    <row r="52" spans="1:18" ht="14.4" customHeight="1" x14ac:dyDescent="0.3">
      <c r="A52" s="96" t="str">
        <f>B52</f>
        <v>STACK GROUP x (x = 1..6)</v>
      </c>
      <c r="B52" s="434" t="s">
        <v>1351</v>
      </c>
      <c r="C52" s="506"/>
      <c r="D52" s="506"/>
      <c r="E52" s="506"/>
      <c r="F52" s="497"/>
      <c r="G52" s="497"/>
      <c r="H52" s="497"/>
      <c r="I52" s="497"/>
      <c r="J52" s="580"/>
      <c r="K52" s="580"/>
      <c r="L52" s="497"/>
      <c r="M52" s="497"/>
      <c r="N52" s="497"/>
      <c r="O52" s="497"/>
      <c r="P52" s="70"/>
      <c r="Q52" s="70"/>
      <c r="R52" s="70"/>
    </row>
    <row r="53" spans="1:18" ht="28.95" customHeight="1" x14ac:dyDescent="0.3">
      <c r="A53" s="61" t="str">
        <f t="shared" ref="A53" si="0">A52</f>
        <v>STACK GROUP x (x = 1..6)</v>
      </c>
      <c r="B53" s="503"/>
      <c r="C53" s="605" t="s">
        <v>51</v>
      </c>
      <c r="D53" s="613" t="s">
        <v>904</v>
      </c>
      <c r="E53" s="613" t="s">
        <v>193</v>
      </c>
      <c r="F53" s="539" t="s">
        <v>1352</v>
      </c>
      <c r="G53" s="403" t="s">
        <v>149</v>
      </c>
      <c r="H53" s="503" t="s">
        <v>196</v>
      </c>
      <c r="I53" s="503" t="s">
        <v>1148</v>
      </c>
      <c r="J53" s="503" t="s">
        <v>900</v>
      </c>
      <c r="K53" s="602" t="s">
        <v>149</v>
      </c>
      <c r="L53" s="539"/>
      <c r="M53" s="539" t="s">
        <v>151</v>
      </c>
      <c r="N53" s="613" t="s">
        <v>1353</v>
      </c>
      <c r="O53" s="503"/>
      <c r="P53" s="364"/>
      <c r="Q53" s="97"/>
      <c r="R53" s="42" t="s">
        <v>1354</v>
      </c>
    </row>
    <row r="54" spans="1:18" s="127" customFormat="1" ht="28.95" customHeight="1" x14ac:dyDescent="0.3">
      <c r="A54" s="128" t="e">
        <f>#REF!</f>
        <v>#REF!</v>
      </c>
      <c r="B54" s="503"/>
      <c r="C54" s="605" t="s">
        <v>51</v>
      </c>
      <c r="D54" s="613" t="s">
        <v>909</v>
      </c>
      <c r="E54" s="613" t="s">
        <v>193</v>
      </c>
      <c r="F54" s="539" t="s">
        <v>1352</v>
      </c>
      <c r="G54" s="403" t="s">
        <v>149</v>
      </c>
      <c r="H54" s="503" t="s">
        <v>196</v>
      </c>
      <c r="I54" s="503" t="s">
        <v>1148</v>
      </c>
      <c r="J54" s="503" t="s">
        <v>900</v>
      </c>
      <c r="K54" s="602" t="s">
        <v>149</v>
      </c>
      <c r="L54" s="539"/>
      <c r="M54" s="539" t="s">
        <v>151</v>
      </c>
      <c r="N54" s="613" t="s">
        <v>1355</v>
      </c>
      <c r="O54" s="503"/>
      <c r="P54" s="364"/>
      <c r="Q54" s="97"/>
      <c r="R54" s="42" t="s">
        <v>1354</v>
      </c>
    </row>
    <row r="55" spans="1:18" ht="28.8" x14ac:dyDescent="0.3">
      <c r="A55" s="61" t="e">
        <f>#REF!</f>
        <v>#REF!</v>
      </c>
      <c r="B55" s="588"/>
      <c r="C55" s="605" t="s">
        <v>51</v>
      </c>
      <c r="D55" s="613" t="s">
        <v>1356</v>
      </c>
      <c r="E55" s="503" t="s">
        <v>1033</v>
      </c>
      <c r="F55" s="539">
        <v>0</v>
      </c>
      <c r="G55" s="503"/>
      <c r="H55" s="539"/>
      <c r="I55" s="503" t="s">
        <v>150</v>
      </c>
      <c r="J55" s="539"/>
      <c r="K55" s="602"/>
      <c r="L55" s="539"/>
      <c r="M55" s="539" t="s">
        <v>151</v>
      </c>
      <c r="N55" s="503" t="s">
        <v>1357</v>
      </c>
      <c r="O55" s="503" t="s">
        <v>1288</v>
      </c>
      <c r="P55" s="364"/>
      <c r="Q55" s="97"/>
      <c r="R55" s="42" t="s">
        <v>1358</v>
      </c>
    </row>
    <row r="56" spans="1:18" ht="14.4" x14ac:dyDescent="0.3">
      <c r="A56" s="61" t="e">
        <f>#REF!</f>
        <v>#REF!</v>
      </c>
      <c r="B56" s="588"/>
      <c r="C56" s="123" t="s">
        <v>835</v>
      </c>
      <c r="D56" s="613" t="s">
        <v>1359</v>
      </c>
      <c r="E56" s="503" t="s">
        <v>1360</v>
      </c>
      <c r="F56" s="539">
        <v>0</v>
      </c>
      <c r="G56" s="503"/>
      <c r="H56" s="539"/>
      <c r="I56" s="503" t="s">
        <v>150</v>
      </c>
      <c r="J56" s="503"/>
      <c r="K56" s="602"/>
      <c r="L56" s="539"/>
      <c r="M56" s="539" t="s">
        <v>151</v>
      </c>
      <c r="N56" s="503" t="s">
        <v>1361</v>
      </c>
      <c r="O56" s="503" t="s">
        <v>1288</v>
      </c>
      <c r="P56" s="364"/>
      <c r="Q56" s="97"/>
      <c r="R56" s="97"/>
    </row>
    <row r="57" spans="1:18" ht="14.4" x14ac:dyDescent="0.3">
      <c r="A57" s="61" t="e">
        <f>A56</f>
        <v>#REF!</v>
      </c>
      <c r="B57" s="588"/>
      <c r="C57" s="123" t="s">
        <v>835</v>
      </c>
      <c r="D57" s="613" t="s">
        <v>1362</v>
      </c>
      <c r="E57" s="503" t="s">
        <v>1360</v>
      </c>
      <c r="F57" s="539">
        <v>0</v>
      </c>
      <c r="G57" s="503"/>
      <c r="H57" s="539"/>
      <c r="I57" s="503" t="s">
        <v>150</v>
      </c>
      <c r="J57" s="503"/>
      <c r="K57" s="602"/>
      <c r="L57" s="539"/>
      <c r="M57" s="539" t="s">
        <v>151</v>
      </c>
      <c r="N57" s="503" t="s">
        <v>1363</v>
      </c>
      <c r="O57" s="503" t="s">
        <v>1288</v>
      </c>
      <c r="P57" s="364"/>
      <c r="Q57" s="97"/>
      <c r="R57" s="97"/>
    </row>
    <row r="58" spans="1:18" ht="14.4" x14ac:dyDescent="0.3">
      <c r="A58" s="96" t="str">
        <f>B58</f>
        <v>WATER REFINEMENT</v>
      </c>
      <c r="B58" s="383" t="s">
        <v>933</v>
      </c>
      <c r="C58" s="497"/>
      <c r="D58" s="497"/>
      <c r="E58" s="497"/>
      <c r="F58" s="497"/>
      <c r="G58" s="497"/>
      <c r="H58" s="497"/>
      <c r="I58" s="497"/>
      <c r="J58" s="580"/>
      <c r="K58" s="580"/>
      <c r="L58" s="497"/>
      <c r="M58" s="497"/>
      <c r="N58" s="497"/>
      <c r="O58" s="497"/>
      <c r="P58" s="70"/>
      <c r="Q58" s="70"/>
      <c r="R58" s="70"/>
    </row>
    <row r="59" spans="1:18" ht="57.6" x14ac:dyDescent="0.3">
      <c r="A59" s="61" t="e">
        <f>#REF!</f>
        <v>#REF!</v>
      </c>
      <c r="B59" s="714"/>
      <c r="C59" s="823" t="s">
        <v>45</v>
      </c>
      <c r="D59" s="503" t="s">
        <v>1364</v>
      </c>
      <c r="E59" s="503" t="s">
        <v>193</v>
      </c>
      <c r="F59" s="539" t="s">
        <v>1365</v>
      </c>
      <c r="G59" s="503" t="s">
        <v>149</v>
      </c>
      <c r="H59" s="503" t="s">
        <v>149</v>
      </c>
      <c r="I59" s="503" t="s">
        <v>431</v>
      </c>
      <c r="J59" s="712" t="s">
        <v>956</v>
      </c>
      <c r="K59" s="878" t="s">
        <v>149</v>
      </c>
      <c r="L59" s="719"/>
      <c r="M59" s="719" t="s">
        <v>478</v>
      </c>
      <c r="N59" s="712" t="s">
        <v>1366</v>
      </c>
      <c r="O59" s="712" t="s">
        <v>1367</v>
      </c>
      <c r="P59" s="1302"/>
      <c r="Q59" s="1302"/>
      <c r="R59" s="97" t="s">
        <v>1368</v>
      </c>
    </row>
    <row r="60" spans="1:18" ht="14.4" x14ac:dyDescent="0.3">
      <c r="A60" s="61"/>
      <c r="B60" s="715"/>
      <c r="C60" s="824"/>
      <c r="D60" s="503" t="s">
        <v>1369</v>
      </c>
      <c r="E60" s="528" t="s">
        <v>149</v>
      </c>
      <c r="F60" s="539">
        <v>1</v>
      </c>
      <c r="G60" s="528" t="s">
        <v>149</v>
      </c>
      <c r="H60" s="528" t="s">
        <v>149</v>
      </c>
      <c r="I60" s="503" t="s">
        <v>150</v>
      </c>
      <c r="J60" s="713"/>
      <c r="K60" s="825"/>
      <c r="L60" s="720"/>
      <c r="M60" s="720"/>
      <c r="N60" s="713"/>
      <c r="O60" s="713"/>
      <c r="P60" s="1302"/>
      <c r="Q60" s="1302"/>
      <c r="R60" s="97"/>
    </row>
    <row r="61" spans="1:18" ht="14.4" x14ac:dyDescent="0.3">
      <c r="A61" s="61" t="e">
        <f>#REF!</f>
        <v>#REF!</v>
      </c>
      <c r="B61" s="588"/>
      <c r="C61" s="123" t="s">
        <v>835</v>
      </c>
      <c r="D61" s="613" t="s">
        <v>1370</v>
      </c>
      <c r="E61" s="503" t="s">
        <v>905</v>
      </c>
      <c r="F61" s="539" t="s">
        <v>1371</v>
      </c>
      <c r="G61" s="503"/>
      <c r="H61" s="539"/>
      <c r="I61" s="503" t="s">
        <v>300</v>
      </c>
      <c r="J61" s="503" t="s">
        <v>372</v>
      </c>
      <c r="K61" s="602"/>
      <c r="L61" s="539"/>
      <c r="M61" s="539" t="s">
        <v>151</v>
      </c>
      <c r="N61" s="503" t="s">
        <v>1372</v>
      </c>
      <c r="O61" s="503"/>
      <c r="P61" s="364"/>
      <c r="Q61" s="97"/>
      <c r="R61" s="97"/>
    </row>
    <row r="62" spans="1:18" ht="44.4" customHeight="1" x14ac:dyDescent="0.3">
      <c r="A62" s="61" t="e">
        <f>A59</f>
        <v>#REF!</v>
      </c>
      <c r="B62" s="532"/>
      <c r="C62" s="123" t="s">
        <v>45</v>
      </c>
      <c r="D62" s="503" t="s">
        <v>1373</v>
      </c>
      <c r="E62" s="503" t="s">
        <v>193</v>
      </c>
      <c r="F62" s="539" t="s">
        <v>1374</v>
      </c>
      <c r="G62" s="539" t="s">
        <v>1375</v>
      </c>
      <c r="H62" s="539" t="s">
        <v>1306</v>
      </c>
      <c r="I62" s="539" t="s">
        <v>1148</v>
      </c>
      <c r="J62" s="539" t="s">
        <v>372</v>
      </c>
      <c r="K62" s="539" t="s">
        <v>149</v>
      </c>
      <c r="L62" s="539" t="s">
        <v>149</v>
      </c>
      <c r="M62" s="539" t="s">
        <v>151</v>
      </c>
      <c r="N62" s="539" t="s">
        <v>1376</v>
      </c>
      <c r="O62" s="503" t="s">
        <v>1377</v>
      </c>
      <c r="P62" s="94"/>
      <c r="Q62" s="94"/>
      <c r="R62" s="267" t="s">
        <v>1378</v>
      </c>
    </row>
    <row r="63" spans="1:18" ht="43.95" customHeight="1" x14ac:dyDescent="0.3">
      <c r="A63" s="61" t="e">
        <f>A62</f>
        <v>#REF!</v>
      </c>
      <c r="B63" s="532"/>
      <c r="C63" s="123" t="s">
        <v>45</v>
      </c>
      <c r="D63" s="503" t="s">
        <v>1379</v>
      </c>
      <c r="E63" s="503" t="s">
        <v>193</v>
      </c>
      <c r="F63" s="539" t="s">
        <v>1374</v>
      </c>
      <c r="G63" s="539" t="s">
        <v>1375</v>
      </c>
      <c r="H63" s="539" t="s">
        <v>1306</v>
      </c>
      <c r="I63" s="539" t="s">
        <v>1148</v>
      </c>
      <c r="J63" s="539" t="s">
        <v>372</v>
      </c>
      <c r="K63" s="539" t="s">
        <v>149</v>
      </c>
      <c r="L63" s="539" t="s">
        <v>149</v>
      </c>
      <c r="M63" s="539" t="s">
        <v>151</v>
      </c>
      <c r="N63" s="539" t="s">
        <v>1380</v>
      </c>
      <c r="O63" s="503" t="s">
        <v>1377</v>
      </c>
      <c r="P63" s="94"/>
      <c r="Q63" s="94"/>
      <c r="R63" s="42" t="s">
        <v>1378</v>
      </c>
    </row>
    <row r="64" spans="1:18" ht="43.2" x14ac:dyDescent="0.3">
      <c r="A64" s="61"/>
      <c r="B64" s="532"/>
      <c r="C64" s="123" t="s">
        <v>51</v>
      </c>
      <c r="D64" s="503" t="s">
        <v>1381</v>
      </c>
      <c r="E64" s="503" t="s">
        <v>193</v>
      </c>
      <c r="F64" s="539" t="s">
        <v>1382</v>
      </c>
      <c r="G64" s="503" t="s">
        <v>149</v>
      </c>
      <c r="H64" s="503" t="s">
        <v>430</v>
      </c>
      <c r="I64" s="503" t="s">
        <v>287</v>
      </c>
      <c r="J64" s="503" t="s">
        <v>850</v>
      </c>
      <c r="K64" s="602" t="s">
        <v>149</v>
      </c>
      <c r="L64" s="539"/>
      <c r="M64" s="539" t="s">
        <v>151</v>
      </c>
      <c r="N64" s="503" t="s">
        <v>1383</v>
      </c>
      <c r="O64" s="547" t="s">
        <v>1384</v>
      </c>
      <c r="P64" s="94"/>
      <c r="Q64" s="94"/>
      <c r="R64" s="42" t="s">
        <v>1385</v>
      </c>
    </row>
    <row r="65" spans="1:18" ht="57.6" x14ac:dyDescent="0.3">
      <c r="A65" s="61" t="e">
        <f>A63</f>
        <v>#REF!</v>
      </c>
      <c r="B65" s="532"/>
      <c r="C65" s="123" t="s">
        <v>9</v>
      </c>
      <c r="D65" s="503" t="s">
        <v>1386</v>
      </c>
      <c r="E65" s="503" t="s">
        <v>193</v>
      </c>
      <c r="F65" s="539" t="s">
        <v>1387</v>
      </c>
      <c r="G65" s="503" t="s">
        <v>149</v>
      </c>
      <c r="H65" s="503" t="s">
        <v>430</v>
      </c>
      <c r="I65" s="503" t="s">
        <v>287</v>
      </c>
      <c r="J65" s="503" t="s">
        <v>372</v>
      </c>
      <c r="K65" s="602" t="s">
        <v>149</v>
      </c>
      <c r="L65" s="539"/>
      <c r="M65" s="539" t="s">
        <v>151</v>
      </c>
      <c r="N65" s="503" t="s">
        <v>1388</v>
      </c>
      <c r="O65" s="547" t="s">
        <v>1389</v>
      </c>
      <c r="P65" s="94"/>
      <c r="Q65" s="94"/>
      <c r="R65" s="42" t="s">
        <v>1390</v>
      </c>
    </row>
    <row r="66" spans="1:18" ht="28.8" x14ac:dyDescent="0.3">
      <c r="A66" s="61">
        <f>A64</f>
        <v>0</v>
      </c>
      <c r="B66" s="532"/>
      <c r="C66" s="123" t="s">
        <v>51</v>
      </c>
      <c r="D66" s="503" t="s">
        <v>1391</v>
      </c>
      <c r="E66" s="503" t="s">
        <v>193</v>
      </c>
      <c r="F66" s="539" t="s">
        <v>1374</v>
      </c>
      <c r="G66" s="503" t="s">
        <v>149</v>
      </c>
      <c r="H66" s="503" t="s">
        <v>430</v>
      </c>
      <c r="I66" s="503" t="s">
        <v>287</v>
      </c>
      <c r="J66" s="503" t="s">
        <v>850</v>
      </c>
      <c r="K66" s="602" t="s">
        <v>149</v>
      </c>
      <c r="L66" s="539"/>
      <c r="M66" s="539" t="s">
        <v>151</v>
      </c>
      <c r="N66" s="503" t="s">
        <v>1392</v>
      </c>
      <c r="O66" s="547" t="s">
        <v>1393</v>
      </c>
      <c r="P66" s="94"/>
      <c r="Q66" s="94"/>
      <c r="R66" s="42" t="s">
        <v>1394</v>
      </c>
    </row>
    <row r="67" spans="1:18" ht="28.8" x14ac:dyDescent="0.3">
      <c r="A67" s="61" t="e">
        <f>A65</f>
        <v>#REF!</v>
      </c>
      <c r="B67" s="532"/>
      <c r="C67" s="123" t="s">
        <v>51</v>
      </c>
      <c r="D67" s="503" t="s">
        <v>1395</v>
      </c>
      <c r="E67" s="503" t="s">
        <v>193</v>
      </c>
      <c r="F67" s="539" t="s">
        <v>1374</v>
      </c>
      <c r="G67" s="503" t="s">
        <v>149</v>
      </c>
      <c r="H67" s="503" t="s">
        <v>430</v>
      </c>
      <c r="I67" s="503" t="s">
        <v>287</v>
      </c>
      <c r="J67" s="503" t="s">
        <v>850</v>
      </c>
      <c r="K67" s="602" t="s">
        <v>149</v>
      </c>
      <c r="L67" s="539"/>
      <c r="M67" s="539" t="s">
        <v>151</v>
      </c>
      <c r="N67" s="503" t="s">
        <v>1396</v>
      </c>
      <c r="O67" s="547" t="s">
        <v>1397</v>
      </c>
      <c r="P67" s="94"/>
      <c r="Q67" s="94"/>
      <c r="R67" s="42" t="s">
        <v>1398</v>
      </c>
    </row>
    <row r="68" spans="1:18" ht="14.4" x14ac:dyDescent="0.3">
      <c r="A68" s="96" t="str">
        <f>B68</f>
        <v>N2 SYSTEM</v>
      </c>
      <c r="B68" s="383" t="s">
        <v>954</v>
      </c>
      <c r="C68" s="506"/>
      <c r="D68" s="506"/>
      <c r="E68" s="506"/>
      <c r="F68" s="497"/>
      <c r="G68" s="497"/>
      <c r="H68" s="497"/>
      <c r="I68" s="497"/>
      <c r="J68" s="580"/>
      <c r="K68" s="580"/>
      <c r="L68" s="497"/>
      <c r="M68" s="497"/>
      <c r="N68" s="497"/>
      <c r="O68" s="497"/>
      <c r="P68" s="70"/>
      <c r="Q68" s="70"/>
      <c r="R68" s="70"/>
    </row>
    <row r="69" spans="1:18" ht="14.4" customHeight="1" x14ac:dyDescent="0.3">
      <c r="A69" s="61" t="e">
        <f>#REF!</f>
        <v>#REF!</v>
      </c>
      <c r="B69" s="532"/>
      <c r="C69" s="823" t="s">
        <v>45</v>
      </c>
      <c r="D69" s="503" t="s">
        <v>283</v>
      </c>
      <c r="E69" s="503" t="s">
        <v>193</v>
      </c>
      <c r="F69" s="817" t="s">
        <v>1399</v>
      </c>
      <c r="G69" s="983" t="s">
        <v>149</v>
      </c>
      <c r="H69" s="817" t="s">
        <v>286</v>
      </c>
      <c r="I69" s="817" t="s">
        <v>287</v>
      </c>
      <c r="J69" s="817" t="s">
        <v>372</v>
      </c>
      <c r="K69" s="817" t="s">
        <v>956</v>
      </c>
      <c r="L69" s="817"/>
      <c r="M69" s="817" t="s">
        <v>301</v>
      </c>
      <c r="N69" s="817" t="s">
        <v>1400</v>
      </c>
      <c r="O69" s="817" t="s">
        <v>1401</v>
      </c>
      <c r="P69" s="1302"/>
      <c r="Q69" s="1302"/>
      <c r="R69" s="1307" t="s">
        <v>1402</v>
      </c>
    </row>
    <row r="70" spans="1:18" ht="14.4" x14ac:dyDescent="0.3">
      <c r="A70" s="61" t="e">
        <f>A69</f>
        <v>#REF!</v>
      </c>
      <c r="B70" s="532"/>
      <c r="C70" s="824"/>
      <c r="D70" s="503" t="s">
        <v>293</v>
      </c>
      <c r="E70" s="503" t="s">
        <v>193</v>
      </c>
      <c r="F70" s="817" t="s">
        <v>1403</v>
      </c>
      <c r="G70" s="817" t="s">
        <v>149</v>
      </c>
      <c r="H70" s="817" t="s">
        <v>286</v>
      </c>
      <c r="I70" s="817" t="s">
        <v>287</v>
      </c>
      <c r="J70" s="817" t="s">
        <v>149</v>
      </c>
      <c r="K70" s="817" t="s">
        <v>956</v>
      </c>
      <c r="L70" s="817"/>
      <c r="M70" s="817"/>
      <c r="N70" s="817" t="s">
        <v>961</v>
      </c>
      <c r="O70" s="817" t="s">
        <v>1404</v>
      </c>
      <c r="P70" s="1302"/>
      <c r="Q70" s="1302"/>
      <c r="R70" s="1307"/>
    </row>
    <row r="71" spans="1:18" ht="28.8" x14ac:dyDescent="0.3">
      <c r="A71" s="61" t="e">
        <f>#REF!</f>
        <v>#REF!</v>
      </c>
      <c r="B71" s="532"/>
      <c r="C71" s="126" t="s">
        <v>992</v>
      </c>
      <c r="D71" s="503" t="s">
        <v>1405</v>
      </c>
      <c r="E71" s="503" t="s">
        <v>193</v>
      </c>
      <c r="F71" s="539" t="s">
        <v>1406</v>
      </c>
      <c r="G71" s="555" t="s">
        <v>149</v>
      </c>
      <c r="H71" s="539" t="s">
        <v>430</v>
      </c>
      <c r="I71" s="539" t="s">
        <v>287</v>
      </c>
      <c r="J71" s="539" t="s">
        <v>372</v>
      </c>
      <c r="K71" s="539" t="s">
        <v>956</v>
      </c>
      <c r="L71" s="539"/>
      <c r="M71" s="539" t="s">
        <v>151</v>
      </c>
      <c r="N71" s="539" t="s">
        <v>1407</v>
      </c>
      <c r="O71" s="539" t="s">
        <v>1408</v>
      </c>
      <c r="P71" s="364"/>
      <c r="Q71" s="97"/>
      <c r="R71" s="556"/>
    </row>
    <row r="72" spans="1:18" s="119" customFormat="1" ht="14.4" customHeight="1" x14ac:dyDescent="0.3">
      <c r="A72" s="118" t="e">
        <f>#REF!</f>
        <v>#REF!</v>
      </c>
      <c r="B72" s="1293"/>
      <c r="C72" s="1295" t="s">
        <v>580</v>
      </c>
      <c r="D72" s="638" t="s">
        <v>265</v>
      </c>
      <c r="E72" s="638" t="s">
        <v>193</v>
      </c>
      <c r="F72" s="500" t="s">
        <v>1409</v>
      </c>
      <c r="G72" s="584" t="s">
        <v>149</v>
      </c>
      <c r="H72" s="500" t="s">
        <v>267</v>
      </c>
      <c r="I72" s="500" t="s">
        <v>268</v>
      </c>
      <c r="J72" s="1297" t="s">
        <v>251</v>
      </c>
      <c r="K72" s="1299"/>
      <c r="L72" s="1299"/>
      <c r="M72" s="1299" t="s">
        <v>478</v>
      </c>
      <c r="N72" s="500" t="s">
        <v>1410</v>
      </c>
      <c r="O72" s="817" t="s">
        <v>1411</v>
      </c>
      <c r="P72" s="1302"/>
      <c r="Q72" s="1302"/>
      <c r="R72" s="1301"/>
    </row>
    <row r="73" spans="1:18" s="119" customFormat="1" ht="14.4" x14ac:dyDescent="0.3">
      <c r="A73" s="118" t="e">
        <f>#REF!</f>
        <v>#REF!</v>
      </c>
      <c r="B73" s="1294"/>
      <c r="C73" s="1296"/>
      <c r="D73" s="638" t="s">
        <v>1412</v>
      </c>
      <c r="E73" s="638"/>
      <c r="F73" s="500">
        <v>1</v>
      </c>
      <c r="G73" s="584" t="s">
        <v>149</v>
      </c>
      <c r="H73" s="584" t="s">
        <v>149</v>
      </c>
      <c r="I73" s="500" t="s">
        <v>150</v>
      </c>
      <c r="J73" s="1298"/>
      <c r="K73" s="1300"/>
      <c r="L73" s="1300"/>
      <c r="M73" s="1300"/>
      <c r="N73" s="500" t="s">
        <v>1413</v>
      </c>
      <c r="O73" s="817"/>
      <c r="P73" s="1302"/>
      <c r="Q73" s="1302"/>
      <c r="R73" s="1301"/>
    </row>
    <row r="74" spans="1:18" ht="14.4" x14ac:dyDescent="0.3">
      <c r="A74" s="61" t="e">
        <f>A72</f>
        <v>#REF!</v>
      </c>
      <c r="B74" s="588"/>
      <c r="C74" s="123" t="s">
        <v>835</v>
      </c>
      <c r="D74" s="539" t="s">
        <v>1414</v>
      </c>
      <c r="E74" s="503" t="s">
        <v>1033</v>
      </c>
      <c r="F74" s="539">
        <v>0</v>
      </c>
      <c r="G74" s="528" t="s">
        <v>149</v>
      </c>
      <c r="H74" s="528" t="s">
        <v>149</v>
      </c>
      <c r="I74" s="503" t="s">
        <v>150</v>
      </c>
      <c r="J74" s="528" t="s">
        <v>149</v>
      </c>
      <c r="K74" s="528" t="s">
        <v>149</v>
      </c>
      <c r="L74" s="539"/>
      <c r="M74" s="539" t="s">
        <v>151</v>
      </c>
      <c r="N74" s="503" t="s">
        <v>1415</v>
      </c>
      <c r="O74" s="503" t="s">
        <v>1288</v>
      </c>
      <c r="P74" s="364"/>
      <c r="Q74" s="97"/>
      <c r="R74" s="639"/>
    </row>
    <row r="75" spans="1:18" ht="14.4" x14ac:dyDescent="0.25">
      <c r="A75" s="132" t="e">
        <f>A72</f>
        <v>#REF!</v>
      </c>
      <c r="B75" s="1293"/>
      <c r="C75" s="1295" t="s">
        <v>580</v>
      </c>
      <c r="D75" s="638" t="s">
        <v>277</v>
      </c>
      <c r="E75" s="638" t="s">
        <v>193</v>
      </c>
      <c r="F75" s="500" t="s">
        <v>1409</v>
      </c>
      <c r="G75" s="584" t="s">
        <v>149</v>
      </c>
      <c r="H75" s="500" t="s">
        <v>267</v>
      </c>
      <c r="I75" s="500" t="s">
        <v>268</v>
      </c>
      <c r="J75" s="1297" t="s">
        <v>251</v>
      </c>
      <c r="K75" s="1299"/>
      <c r="L75" s="1299"/>
      <c r="M75" s="1299" t="s">
        <v>478</v>
      </c>
      <c r="N75" s="500" t="s">
        <v>1416</v>
      </c>
      <c r="O75" s="817" t="s">
        <v>1417</v>
      </c>
      <c r="P75" s="1302"/>
      <c r="Q75" s="1302"/>
      <c r="R75" s="1301"/>
    </row>
    <row r="76" spans="1:18" s="119" customFormat="1" ht="14.4" x14ac:dyDescent="0.3">
      <c r="A76" s="118" t="e">
        <f>#REF!</f>
        <v>#REF!</v>
      </c>
      <c r="B76" s="1294"/>
      <c r="C76" s="1296"/>
      <c r="D76" s="638" t="s">
        <v>1418</v>
      </c>
      <c r="E76" s="638"/>
      <c r="F76" s="500">
        <v>1</v>
      </c>
      <c r="G76" s="584" t="s">
        <v>149</v>
      </c>
      <c r="H76" s="584" t="s">
        <v>149</v>
      </c>
      <c r="I76" s="500" t="s">
        <v>150</v>
      </c>
      <c r="J76" s="1298"/>
      <c r="K76" s="1300"/>
      <c r="L76" s="1300"/>
      <c r="M76" s="1300"/>
      <c r="N76" s="500" t="s">
        <v>1419</v>
      </c>
      <c r="O76" s="817"/>
      <c r="P76" s="1302"/>
      <c r="Q76" s="1302"/>
      <c r="R76" s="1301"/>
    </row>
    <row r="77" spans="1:18" ht="14.4" x14ac:dyDescent="0.3">
      <c r="A77" s="61" t="e">
        <f>A75</f>
        <v>#REF!</v>
      </c>
      <c r="B77" s="588"/>
      <c r="C77" s="123" t="s">
        <v>835</v>
      </c>
      <c r="D77" s="539" t="s">
        <v>1420</v>
      </c>
      <c r="E77" s="503" t="s">
        <v>1033</v>
      </c>
      <c r="F77" s="539">
        <v>0</v>
      </c>
      <c r="G77" s="528" t="s">
        <v>149</v>
      </c>
      <c r="H77" s="528" t="s">
        <v>149</v>
      </c>
      <c r="I77" s="503" t="s">
        <v>150</v>
      </c>
      <c r="J77" s="528" t="s">
        <v>149</v>
      </c>
      <c r="K77" s="528" t="s">
        <v>149</v>
      </c>
      <c r="L77" s="539"/>
      <c r="M77" s="539" t="s">
        <v>151</v>
      </c>
      <c r="N77" s="503" t="s">
        <v>1421</v>
      </c>
      <c r="O77" s="503" t="s">
        <v>1288</v>
      </c>
      <c r="P77" s="364"/>
      <c r="Q77" s="97"/>
      <c r="R77" s="639"/>
    </row>
    <row r="78" spans="1:18" ht="14.4" x14ac:dyDescent="0.3">
      <c r="A78" s="96" t="str">
        <f>B78</f>
        <v>SYSTEM CONTROL</v>
      </c>
      <c r="B78" s="431" t="s">
        <v>145</v>
      </c>
      <c r="C78" s="506"/>
      <c r="D78" s="506"/>
      <c r="E78" s="506"/>
      <c r="F78" s="497"/>
      <c r="G78" s="497"/>
      <c r="H78" s="497"/>
      <c r="I78" s="497"/>
      <c r="J78" s="580"/>
      <c r="K78" s="580"/>
      <c r="L78" s="497"/>
      <c r="M78" s="497"/>
      <c r="N78" s="497"/>
      <c r="O78" s="497"/>
      <c r="P78" s="70"/>
      <c r="Q78" s="70"/>
      <c r="R78" s="70"/>
    </row>
    <row r="79" spans="1:18" ht="44.4" customHeight="1" x14ac:dyDescent="0.3">
      <c r="A79" s="61" t="str">
        <f>A78</f>
        <v>SYSTEM CONTROL</v>
      </c>
      <c r="B79" s="588"/>
      <c r="C79" s="123" t="s">
        <v>835</v>
      </c>
      <c r="D79" s="539" t="s">
        <v>1422</v>
      </c>
      <c r="E79" s="539" t="s">
        <v>790</v>
      </c>
      <c r="F79" s="503">
        <v>0</v>
      </c>
      <c r="G79" s="503"/>
      <c r="H79" s="503"/>
      <c r="I79" s="503" t="s">
        <v>150</v>
      </c>
      <c r="J79" s="503"/>
      <c r="K79" s="503"/>
      <c r="L79" s="539"/>
      <c r="M79" s="539" t="s">
        <v>151</v>
      </c>
      <c r="N79" s="503" t="s">
        <v>1423</v>
      </c>
      <c r="O79" s="503" t="s">
        <v>1424</v>
      </c>
      <c r="P79" s="94"/>
      <c r="Q79" s="94"/>
      <c r="R79" s="97"/>
    </row>
    <row r="80" spans="1:18" ht="14.4" x14ac:dyDescent="0.3">
      <c r="A80" s="61" t="str">
        <f>A79</f>
        <v>SYSTEM CONTROL</v>
      </c>
      <c r="B80" s="588"/>
      <c r="C80" s="123" t="s">
        <v>835</v>
      </c>
      <c r="D80" s="539" t="s">
        <v>1425</v>
      </c>
      <c r="E80" s="539" t="s">
        <v>790</v>
      </c>
      <c r="F80" s="503">
        <v>0</v>
      </c>
      <c r="G80" s="503"/>
      <c r="H80" s="503"/>
      <c r="I80" s="503" t="s">
        <v>150</v>
      </c>
      <c r="J80" s="503"/>
      <c r="K80" s="503"/>
      <c r="L80" s="539"/>
      <c r="M80" s="539" t="s">
        <v>151</v>
      </c>
      <c r="N80" s="503" t="s">
        <v>1287</v>
      </c>
      <c r="O80" s="503" t="s">
        <v>1424</v>
      </c>
      <c r="P80" s="94"/>
      <c r="Q80" s="94"/>
      <c r="R80" s="97"/>
    </row>
    <row r="81" spans="1:56" ht="14.4" x14ac:dyDescent="0.3">
      <c r="A81" s="61" t="str">
        <f>A80</f>
        <v>SYSTEM CONTROL</v>
      </c>
      <c r="B81" s="588"/>
      <c r="C81" s="123" t="s">
        <v>835</v>
      </c>
      <c r="D81" s="539" t="s">
        <v>1426</v>
      </c>
      <c r="E81" s="539" t="s">
        <v>790</v>
      </c>
      <c r="F81" s="503">
        <v>0</v>
      </c>
      <c r="G81" s="503"/>
      <c r="H81" s="503"/>
      <c r="I81" s="503" t="s">
        <v>150</v>
      </c>
      <c r="J81" s="503"/>
      <c r="K81" s="503"/>
      <c r="L81" s="539"/>
      <c r="M81" s="539" t="s">
        <v>151</v>
      </c>
      <c r="N81" s="503" t="s">
        <v>1287</v>
      </c>
      <c r="O81" s="503" t="s">
        <v>1424</v>
      </c>
      <c r="P81" s="94"/>
      <c r="Q81" s="94"/>
      <c r="R81" s="97"/>
    </row>
    <row r="82" spans="1:56" ht="14.4" x14ac:dyDescent="0.3">
      <c r="A82" s="61" t="str">
        <f>A81</f>
        <v>SYSTEM CONTROL</v>
      </c>
      <c r="B82" s="588"/>
      <c r="C82" s="123" t="s">
        <v>835</v>
      </c>
      <c r="D82" s="539" t="s">
        <v>1427</v>
      </c>
      <c r="E82" s="539" t="s">
        <v>790</v>
      </c>
      <c r="F82" s="503">
        <v>0</v>
      </c>
      <c r="G82" s="503"/>
      <c r="H82" s="503"/>
      <c r="I82" s="503" t="s">
        <v>150</v>
      </c>
      <c r="J82" s="503"/>
      <c r="K82" s="503"/>
      <c r="L82" s="539"/>
      <c r="M82" s="539" t="s">
        <v>151</v>
      </c>
      <c r="N82" s="503" t="s">
        <v>1428</v>
      </c>
      <c r="O82" s="503" t="s">
        <v>1424</v>
      </c>
      <c r="P82" s="94"/>
      <c r="Q82" s="94"/>
      <c r="R82" s="97"/>
    </row>
    <row r="83" spans="1:56" ht="28.8" x14ac:dyDescent="0.3">
      <c r="A83" s="61" t="str">
        <f>A80</f>
        <v>SYSTEM CONTROL</v>
      </c>
      <c r="B83" s="588"/>
      <c r="C83" s="123" t="s">
        <v>45</v>
      </c>
      <c r="D83" s="539" t="s">
        <v>1429</v>
      </c>
      <c r="E83" s="539"/>
      <c r="F83" s="503">
        <v>0</v>
      </c>
      <c r="G83" s="503"/>
      <c r="H83" s="503"/>
      <c r="I83" s="503" t="s">
        <v>150</v>
      </c>
      <c r="J83" s="503"/>
      <c r="K83" s="503"/>
      <c r="L83" s="539"/>
      <c r="M83" s="539" t="s">
        <v>151</v>
      </c>
      <c r="N83" s="503" t="s">
        <v>1430</v>
      </c>
      <c r="O83" s="503" t="s">
        <v>1431</v>
      </c>
      <c r="P83" s="94"/>
      <c r="Q83" s="94"/>
      <c r="R83" s="97" t="s">
        <v>1432</v>
      </c>
    </row>
    <row r="84" spans="1:56" ht="28.8" x14ac:dyDescent="0.3">
      <c r="A84" s="61" t="str">
        <f>A81</f>
        <v>SYSTEM CONTROL</v>
      </c>
      <c r="B84" s="588"/>
      <c r="C84" s="123" t="s">
        <v>45</v>
      </c>
      <c r="D84" s="539" t="s">
        <v>1433</v>
      </c>
      <c r="E84" s="539"/>
      <c r="F84" s="503">
        <v>0</v>
      </c>
      <c r="G84" s="503"/>
      <c r="H84" s="503"/>
      <c r="I84" s="503" t="s">
        <v>150</v>
      </c>
      <c r="J84" s="503"/>
      <c r="K84" s="503"/>
      <c r="L84" s="539"/>
      <c r="M84" s="539" t="s">
        <v>151</v>
      </c>
      <c r="N84" s="503" t="s">
        <v>1434</v>
      </c>
      <c r="O84" s="503" t="s">
        <v>1431</v>
      </c>
      <c r="P84" s="94"/>
      <c r="Q84" s="94"/>
      <c r="R84" s="97" t="s">
        <v>1432</v>
      </c>
    </row>
    <row r="85" spans="1:56" ht="14.4" x14ac:dyDescent="0.3">
      <c r="A85" s="96" t="str">
        <f>B85</f>
        <v>TRANSFORMER (THYRIPOL)</v>
      </c>
      <c r="B85" s="383" t="s">
        <v>545</v>
      </c>
      <c r="C85" s="506"/>
      <c r="D85" s="506"/>
      <c r="E85" s="506"/>
      <c r="F85" s="497"/>
      <c r="G85" s="497"/>
      <c r="H85" s="497"/>
      <c r="I85" s="497"/>
      <c r="J85" s="580"/>
      <c r="K85" s="580"/>
      <c r="L85" s="497"/>
      <c r="M85" s="497"/>
      <c r="N85" s="497"/>
      <c r="O85" s="497"/>
      <c r="P85" s="70"/>
      <c r="Q85" s="70"/>
      <c r="R85" s="70"/>
    </row>
    <row r="86" spans="1:56" ht="14.4" x14ac:dyDescent="0.3">
      <c r="A86" s="61" t="str">
        <f>A85</f>
        <v>TRANSFORMER (THYRIPOL)</v>
      </c>
      <c r="B86" s="588"/>
      <c r="C86" s="432" t="s">
        <v>1435</v>
      </c>
      <c r="D86" s="637" t="s">
        <v>547</v>
      </c>
      <c r="E86" s="640" t="s">
        <v>148</v>
      </c>
      <c r="F86" s="503">
        <v>0</v>
      </c>
      <c r="G86" s="503" t="s">
        <v>149</v>
      </c>
      <c r="H86" s="503" t="s">
        <v>149</v>
      </c>
      <c r="I86" s="503" t="s">
        <v>150</v>
      </c>
      <c r="J86" s="503" t="s">
        <v>149</v>
      </c>
      <c r="K86" s="602" t="s">
        <v>149</v>
      </c>
      <c r="L86" s="539"/>
      <c r="M86" s="539" t="s">
        <v>151</v>
      </c>
      <c r="N86" s="503" t="s">
        <v>1436</v>
      </c>
      <c r="O86" s="503"/>
      <c r="P86" s="364"/>
      <c r="Q86" s="97"/>
      <c r="R86" s="97"/>
    </row>
    <row r="87" spans="1:56" ht="14.4" x14ac:dyDescent="0.3">
      <c r="A87" s="61" t="str">
        <f>A86</f>
        <v>TRANSFORMER (THYRIPOL)</v>
      </c>
      <c r="B87" s="499"/>
      <c r="C87" s="555" t="s">
        <v>222</v>
      </c>
      <c r="D87" s="637" t="s">
        <v>555</v>
      </c>
      <c r="E87" s="640" t="s">
        <v>148</v>
      </c>
      <c r="F87" s="503">
        <v>0</v>
      </c>
      <c r="G87" s="503" t="s">
        <v>149</v>
      </c>
      <c r="H87" s="503" t="s">
        <v>149</v>
      </c>
      <c r="I87" s="503" t="s">
        <v>150</v>
      </c>
      <c r="J87" s="503" t="s">
        <v>149</v>
      </c>
      <c r="K87" s="602" t="s">
        <v>149</v>
      </c>
      <c r="L87" s="539"/>
      <c r="M87" s="539" t="s">
        <v>151</v>
      </c>
      <c r="N87" s="503" t="s">
        <v>1437</v>
      </c>
      <c r="O87" s="503"/>
      <c r="P87" s="364"/>
      <c r="Q87" s="97"/>
      <c r="R87" s="97"/>
    </row>
    <row r="88" spans="1:56" s="6" customFormat="1" ht="28.2" customHeight="1" x14ac:dyDescent="0.3">
      <c r="A88" s="131"/>
      <c r="B88" s="499"/>
      <c r="C88" s="123" t="s">
        <v>45</v>
      </c>
      <c r="D88" s="640" t="s">
        <v>1438</v>
      </c>
      <c r="E88" s="640" t="s">
        <v>193</v>
      </c>
      <c r="F88" s="503" t="s">
        <v>194</v>
      </c>
      <c r="G88" s="503"/>
      <c r="H88" s="503" t="s">
        <v>36</v>
      </c>
      <c r="I88" s="503" t="s">
        <v>300</v>
      </c>
      <c r="J88" s="503" t="s">
        <v>675</v>
      </c>
      <c r="K88" s="503"/>
      <c r="L88" s="539"/>
      <c r="M88" s="539" t="s">
        <v>151</v>
      </c>
      <c r="N88" s="503" t="s">
        <v>1439</v>
      </c>
      <c r="O88" s="503" t="s">
        <v>1440</v>
      </c>
      <c r="P88" s="364"/>
      <c r="Q88" s="97"/>
      <c r="R88" s="97" t="s">
        <v>1441</v>
      </c>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79"/>
    </row>
    <row r="89" spans="1:56" s="6" customFormat="1" ht="28.95" customHeight="1" x14ac:dyDescent="0.3">
      <c r="A89" s="131"/>
      <c r="B89" s="499"/>
      <c r="C89" s="123" t="s">
        <v>45</v>
      </c>
      <c r="D89" s="640" t="s">
        <v>1442</v>
      </c>
      <c r="E89" s="640" t="s">
        <v>193</v>
      </c>
      <c r="F89" s="503" t="s">
        <v>1335</v>
      </c>
      <c r="G89" s="503"/>
      <c r="H89" s="503" t="s">
        <v>36</v>
      </c>
      <c r="I89" s="503" t="s">
        <v>300</v>
      </c>
      <c r="J89" s="503" t="s">
        <v>675</v>
      </c>
      <c r="K89" s="503"/>
      <c r="L89" s="539"/>
      <c r="M89" s="539" t="s">
        <v>151</v>
      </c>
      <c r="N89" s="503" t="s">
        <v>1443</v>
      </c>
      <c r="O89" s="503" t="s">
        <v>1440</v>
      </c>
      <c r="P89" s="364"/>
      <c r="Q89" s="97"/>
      <c r="R89" s="97" t="s">
        <v>1441</v>
      </c>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79"/>
    </row>
    <row r="90" spans="1:56" ht="14.4" x14ac:dyDescent="0.3">
      <c r="A90" s="61" t="e">
        <f>#REF!</f>
        <v>#REF!</v>
      </c>
      <c r="B90" s="499"/>
      <c r="C90" s="432" t="s">
        <v>1435</v>
      </c>
      <c r="D90" s="637" t="s">
        <v>552</v>
      </c>
      <c r="E90" s="640" t="s">
        <v>148</v>
      </c>
      <c r="F90" s="503">
        <v>0</v>
      </c>
      <c r="G90" s="503" t="s">
        <v>149</v>
      </c>
      <c r="H90" s="503" t="s">
        <v>149</v>
      </c>
      <c r="I90" s="503" t="s">
        <v>150</v>
      </c>
      <c r="J90" s="503" t="s">
        <v>149</v>
      </c>
      <c r="K90" s="602" t="s">
        <v>149</v>
      </c>
      <c r="L90" s="539"/>
      <c r="M90" s="539" t="s">
        <v>151</v>
      </c>
      <c r="N90" s="503" t="s">
        <v>1444</v>
      </c>
      <c r="O90" s="503"/>
      <c r="P90" s="364"/>
      <c r="Q90" s="97"/>
      <c r="R90" s="97"/>
    </row>
    <row r="91" spans="1:56" ht="14.4" x14ac:dyDescent="0.3">
      <c r="A91" s="61" t="e">
        <f>#REF!</f>
        <v>#REF!</v>
      </c>
      <c r="B91" s="499"/>
      <c r="C91" s="432" t="s">
        <v>222</v>
      </c>
      <c r="D91" s="640" t="s">
        <v>1445</v>
      </c>
      <c r="E91" s="640" t="s">
        <v>148</v>
      </c>
      <c r="F91" s="503">
        <v>0</v>
      </c>
      <c r="G91" s="503" t="s">
        <v>149</v>
      </c>
      <c r="H91" s="503" t="s">
        <v>149</v>
      </c>
      <c r="I91" s="503" t="s">
        <v>150</v>
      </c>
      <c r="J91" s="503" t="s">
        <v>149</v>
      </c>
      <c r="K91" s="503" t="s">
        <v>149</v>
      </c>
      <c r="L91" s="539"/>
      <c r="M91" s="539" t="s">
        <v>151</v>
      </c>
      <c r="N91" s="503" t="s">
        <v>1446</v>
      </c>
      <c r="O91" s="503"/>
      <c r="P91" s="364"/>
      <c r="Q91" s="97"/>
      <c r="R91" s="97"/>
    </row>
    <row r="92" spans="1:56" ht="14.4" x14ac:dyDescent="0.3">
      <c r="A92" s="61" t="e">
        <f>A91</f>
        <v>#REF!</v>
      </c>
      <c r="B92" s="499"/>
      <c r="C92" s="432" t="s">
        <v>222</v>
      </c>
      <c r="D92" s="640" t="s">
        <v>1445</v>
      </c>
      <c r="E92" s="640" t="s">
        <v>374</v>
      </c>
      <c r="F92" s="503">
        <v>0</v>
      </c>
      <c r="G92" s="503" t="s">
        <v>149</v>
      </c>
      <c r="H92" s="503" t="s">
        <v>149</v>
      </c>
      <c r="I92" s="503" t="s">
        <v>150</v>
      </c>
      <c r="J92" s="503" t="s">
        <v>149</v>
      </c>
      <c r="K92" s="503" t="s">
        <v>149</v>
      </c>
      <c r="L92" s="539"/>
      <c r="M92" s="539" t="s">
        <v>151</v>
      </c>
      <c r="N92" s="503" t="s">
        <v>1447</v>
      </c>
      <c r="O92" s="503"/>
      <c r="P92" s="364"/>
      <c r="Q92" s="97"/>
      <c r="R92" s="97"/>
    </row>
    <row r="93" spans="1:56" ht="14.4" x14ac:dyDescent="0.3">
      <c r="A93" s="61" t="e">
        <f>A92</f>
        <v>#REF!</v>
      </c>
      <c r="B93" s="588"/>
      <c r="C93" s="432" t="s">
        <v>1435</v>
      </c>
      <c r="D93" s="640" t="s">
        <v>1448</v>
      </c>
      <c r="E93" s="640" t="s">
        <v>148</v>
      </c>
      <c r="F93" s="503">
        <v>0</v>
      </c>
      <c r="G93" s="503" t="s">
        <v>149</v>
      </c>
      <c r="H93" s="503" t="s">
        <v>149</v>
      </c>
      <c r="I93" s="503" t="s">
        <v>150</v>
      </c>
      <c r="J93" s="503" t="s">
        <v>149</v>
      </c>
      <c r="K93" s="503" t="s">
        <v>149</v>
      </c>
      <c r="L93" s="539"/>
      <c r="M93" s="539" t="s">
        <v>151</v>
      </c>
      <c r="N93" s="503" t="s">
        <v>1449</v>
      </c>
      <c r="O93" s="503"/>
      <c r="P93" s="364"/>
      <c r="Q93" s="97"/>
      <c r="R93" s="97"/>
    </row>
    <row r="94" spans="1:56" ht="14.4" x14ac:dyDescent="0.3">
      <c r="A94" s="61" t="e">
        <f>A93</f>
        <v>#REF!</v>
      </c>
      <c r="B94" s="499"/>
      <c r="C94" s="432" t="s">
        <v>1435</v>
      </c>
      <c r="D94" s="640" t="s">
        <v>1450</v>
      </c>
      <c r="E94" s="640" t="s">
        <v>148</v>
      </c>
      <c r="F94" s="503">
        <v>0</v>
      </c>
      <c r="G94" s="503" t="s">
        <v>149</v>
      </c>
      <c r="H94" s="503" t="s">
        <v>149</v>
      </c>
      <c r="I94" s="503" t="s">
        <v>150</v>
      </c>
      <c r="J94" s="503" t="s">
        <v>149</v>
      </c>
      <c r="K94" s="503" t="s">
        <v>149</v>
      </c>
      <c r="L94" s="539"/>
      <c r="M94" s="539" t="s">
        <v>151</v>
      </c>
      <c r="N94" s="503" t="s">
        <v>1451</v>
      </c>
      <c r="O94" s="503"/>
      <c r="P94" s="364"/>
      <c r="Q94" s="97"/>
      <c r="R94" s="97"/>
    </row>
    <row r="95" spans="1:56" ht="14.4" x14ac:dyDescent="0.3">
      <c r="A95" s="61" t="e">
        <f>A94</f>
        <v>#REF!</v>
      </c>
      <c r="B95" s="499"/>
      <c r="C95" s="432" t="s">
        <v>1435</v>
      </c>
      <c r="D95" s="640" t="s">
        <v>1450</v>
      </c>
      <c r="E95" s="640" t="s">
        <v>374</v>
      </c>
      <c r="F95" s="503">
        <v>0</v>
      </c>
      <c r="G95" s="503" t="s">
        <v>149</v>
      </c>
      <c r="H95" s="503" t="s">
        <v>149</v>
      </c>
      <c r="I95" s="503" t="s">
        <v>150</v>
      </c>
      <c r="J95" s="503" t="s">
        <v>149</v>
      </c>
      <c r="K95" s="503" t="s">
        <v>149</v>
      </c>
      <c r="L95" s="539"/>
      <c r="M95" s="539" t="s">
        <v>151</v>
      </c>
      <c r="N95" s="503" t="s">
        <v>1452</v>
      </c>
      <c r="O95" s="503"/>
      <c r="P95" s="364"/>
      <c r="Q95" s="97"/>
      <c r="R95" s="97"/>
    </row>
    <row r="96" spans="1:56" ht="14.4" x14ac:dyDescent="0.3">
      <c r="A96" s="61" t="e">
        <f>#REF!</f>
        <v>#REF!</v>
      </c>
      <c r="B96" s="499"/>
      <c r="C96" s="432" t="s">
        <v>222</v>
      </c>
      <c r="D96" s="640" t="s">
        <v>1002</v>
      </c>
      <c r="E96" s="640" t="s">
        <v>148</v>
      </c>
      <c r="F96" s="503">
        <v>0</v>
      </c>
      <c r="G96" s="503" t="s">
        <v>149</v>
      </c>
      <c r="H96" s="503" t="s">
        <v>149</v>
      </c>
      <c r="I96" s="503" t="s">
        <v>150</v>
      </c>
      <c r="J96" s="503" t="s">
        <v>149</v>
      </c>
      <c r="K96" s="503" t="s">
        <v>149</v>
      </c>
      <c r="L96" s="539"/>
      <c r="M96" s="539" t="s">
        <v>151</v>
      </c>
      <c r="N96" s="503" t="s">
        <v>1453</v>
      </c>
      <c r="O96" s="503"/>
      <c r="P96" s="364"/>
      <c r="Q96" s="97"/>
      <c r="R96" s="97"/>
    </row>
    <row r="97" spans="1:18" ht="14.4" x14ac:dyDescent="0.3">
      <c r="A97" s="61" t="e">
        <f>A96</f>
        <v>#REF!</v>
      </c>
      <c r="B97" s="499"/>
      <c r="C97" s="123" t="s">
        <v>45</v>
      </c>
      <c r="D97" s="640" t="s">
        <v>1454</v>
      </c>
      <c r="E97" s="640" t="s">
        <v>148</v>
      </c>
      <c r="F97" s="503">
        <v>0</v>
      </c>
      <c r="G97" s="503" t="s">
        <v>149</v>
      </c>
      <c r="H97" s="503" t="s">
        <v>149</v>
      </c>
      <c r="I97" s="503" t="s">
        <v>150</v>
      </c>
      <c r="J97" s="503" t="s">
        <v>149</v>
      </c>
      <c r="K97" s="503" t="s">
        <v>149</v>
      </c>
      <c r="L97" s="539"/>
      <c r="M97" s="539" t="s">
        <v>151</v>
      </c>
      <c r="N97" s="503" t="s">
        <v>1455</v>
      </c>
      <c r="O97" s="503" t="s">
        <v>1440</v>
      </c>
      <c r="P97" s="364"/>
      <c r="Q97" s="97"/>
      <c r="R97" s="97" t="s">
        <v>1441</v>
      </c>
    </row>
    <row r="98" spans="1:18" ht="14.4" x14ac:dyDescent="0.3">
      <c r="A98" s="61" t="e">
        <f>A97</f>
        <v>#REF!</v>
      </c>
      <c r="B98" s="499"/>
      <c r="C98" s="432" t="s">
        <v>1435</v>
      </c>
      <c r="D98" s="640" t="s">
        <v>572</v>
      </c>
      <c r="E98" s="640" t="s">
        <v>148</v>
      </c>
      <c r="F98" s="503">
        <v>1</v>
      </c>
      <c r="G98" s="503" t="s">
        <v>149</v>
      </c>
      <c r="H98" s="503" t="s">
        <v>149</v>
      </c>
      <c r="I98" s="503" t="s">
        <v>150</v>
      </c>
      <c r="J98" s="503" t="s">
        <v>149</v>
      </c>
      <c r="K98" s="503" t="s">
        <v>149</v>
      </c>
      <c r="L98" s="539"/>
      <c r="M98" s="539" t="s">
        <v>151</v>
      </c>
      <c r="N98" s="503" t="s">
        <v>1456</v>
      </c>
      <c r="O98" s="503"/>
      <c r="P98" s="364"/>
      <c r="Q98" s="97"/>
      <c r="R98" s="97"/>
    </row>
    <row r="99" spans="1:18" ht="14.4" x14ac:dyDescent="0.3">
      <c r="A99" s="61" t="e">
        <f>#REF!</f>
        <v>#REF!</v>
      </c>
      <c r="B99" s="499"/>
      <c r="C99" s="123" t="s">
        <v>835</v>
      </c>
      <c r="D99" s="640" t="s">
        <v>572</v>
      </c>
      <c r="E99" s="640" t="s">
        <v>1033</v>
      </c>
      <c r="F99" s="503">
        <v>1</v>
      </c>
      <c r="G99" s="503" t="s">
        <v>149</v>
      </c>
      <c r="H99" s="503" t="s">
        <v>149</v>
      </c>
      <c r="I99" s="503" t="s">
        <v>150</v>
      </c>
      <c r="J99" s="503" t="s">
        <v>149</v>
      </c>
      <c r="K99" s="503" t="s">
        <v>149</v>
      </c>
      <c r="L99" s="539"/>
      <c r="M99" s="539" t="s">
        <v>151</v>
      </c>
      <c r="N99" s="503" t="s">
        <v>1457</v>
      </c>
      <c r="O99" s="503" t="s">
        <v>1288</v>
      </c>
      <c r="P99" s="364"/>
      <c r="Q99" s="97"/>
      <c r="R99" s="97"/>
    </row>
    <row r="100" spans="1:18" ht="14.4" x14ac:dyDescent="0.3">
      <c r="A100" s="61" t="e">
        <f>#REF!</f>
        <v>#REF!</v>
      </c>
      <c r="B100" s="499"/>
      <c r="C100" s="432" t="s">
        <v>1435</v>
      </c>
      <c r="D100" s="640" t="s">
        <v>577</v>
      </c>
      <c r="E100" s="640" t="s">
        <v>148</v>
      </c>
      <c r="F100" s="503">
        <v>1</v>
      </c>
      <c r="G100" s="503" t="s">
        <v>149</v>
      </c>
      <c r="H100" s="503" t="s">
        <v>149</v>
      </c>
      <c r="I100" s="503" t="s">
        <v>150</v>
      </c>
      <c r="J100" s="503" t="s">
        <v>149</v>
      </c>
      <c r="K100" s="503" t="s">
        <v>149</v>
      </c>
      <c r="L100" s="539"/>
      <c r="M100" s="539" t="s">
        <v>151</v>
      </c>
      <c r="N100" s="503" t="s">
        <v>1456</v>
      </c>
      <c r="O100" s="503"/>
      <c r="P100" s="364"/>
      <c r="Q100" s="97"/>
      <c r="R100" s="97"/>
    </row>
    <row r="101" spans="1:18" ht="14.4" x14ac:dyDescent="0.3">
      <c r="A101" s="61" t="e">
        <f>A100</f>
        <v>#REF!</v>
      </c>
      <c r="B101" s="499"/>
      <c r="C101" s="123" t="s">
        <v>835</v>
      </c>
      <c r="D101" s="640" t="s">
        <v>577</v>
      </c>
      <c r="E101" s="640" t="s">
        <v>1033</v>
      </c>
      <c r="F101" s="503">
        <v>1</v>
      </c>
      <c r="G101" s="503" t="s">
        <v>149</v>
      </c>
      <c r="H101" s="503" t="s">
        <v>149</v>
      </c>
      <c r="I101" s="503" t="s">
        <v>150</v>
      </c>
      <c r="J101" s="503" t="s">
        <v>149</v>
      </c>
      <c r="K101" s="503" t="s">
        <v>149</v>
      </c>
      <c r="L101" s="539"/>
      <c r="M101" s="539" t="s">
        <v>151</v>
      </c>
      <c r="N101" s="503" t="s">
        <v>1457</v>
      </c>
      <c r="O101" s="503" t="s">
        <v>1288</v>
      </c>
      <c r="P101" s="364"/>
      <c r="Q101" s="97"/>
      <c r="R101" s="97"/>
    </row>
    <row r="102" spans="1:18" ht="14.4" x14ac:dyDescent="0.3">
      <c r="A102" s="61" t="e">
        <f>#REF!</f>
        <v>#REF!</v>
      </c>
      <c r="B102" s="499"/>
      <c r="C102" s="123" t="s">
        <v>835</v>
      </c>
      <c r="D102" s="640" t="s">
        <v>1458</v>
      </c>
      <c r="E102" s="640" t="s">
        <v>1105</v>
      </c>
      <c r="F102" s="503">
        <v>1</v>
      </c>
      <c r="G102" s="503" t="s">
        <v>149</v>
      </c>
      <c r="H102" s="503" t="s">
        <v>149</v>
      </c>
      <c r="I102" s="503" t="s">
        <v>150</v>
      </c>
      <c r="J102" s="503" t="s">
        <v>149</v>
      </c>
      <c r="K102" s="503" t="s">
        <v>149</v>
      </c>
      <c r="L102" s="539"/>
      <c r="M102" s="539" t="s">
        <v>151</v>
      </c>
      <c r="N102" s="503" t="s">
        <v>1459</v>
      </c>
      <c r="O102" s="503" t="s">
        <v>1460</v>
      </c>
      <c r="P102" s="364"/>
      <c r="Q102" s="97"/>
      <c r="R102" s="97"/>
    </row>
    <row r="103" spans="1:18" ht="14.4" x14ac:dyDescent="0.3">
      <c r="A103" s="61" t="e">
        <f>A102</f>
        <v>#REF!</v>
      </c>
      <c r="B103" s="499"/>
      <c r="C103" s="432" t="s">
        <v>580</v>
      </c>
      <c r="D103" s="640" t="s">
        <v>581</v>
      </c>
      <c r="E103" s="640" t="s">
        <v>1461</v>
      </c>
      <c r="F103" s="503">
        <v>0</v>
      </c>
      <c r="G103" s="503" t="s">
        <v>149</v>
      </c>
      <c r="H103" s="503" t="s">
        <v>149</v>
      </c>
      <c r="I103" s="503" t="s">
        <v>150</v>
      </c>
      <c r="J103" s="503" t="s">
        <v>149</v>
      </c>
      <c r="K103" s="503" t="s">
        <v>149</v>
      </c>
      <c r="L103" s="539"/>
      <c r="M103" s="539" t="s">
        <v>151</v>
      </c>
      <c r="N103" s="503" t="s">
        <v>1462</v>
      </c>
      <c r="O103" s="503" t="s">
        <v>1463</v>
      </c>
      <c r="P103" s="364"/>
      <c r="Q103" s="97"/>
      <c r="R103" s="97"/>
    </row>
    <row r="104" spans="1:18" ht="14.4" x14ac:dyDescent="0.3">
      <c r="A104" s="61" t="e">
        <f>#REF!</f>
        <v>#REF!</v>
      </c>
      <c r="B104" s="499"/>
      <c r="C104" s="432" t="s">
        <v>580</v>
      </c>
      <c r="D104" s="640" t="s">
        <v>581</v>
      </c>
      <c r="E104" s="640" t="s">
        <v>1464</v>
      </c>
      <c r="F104" s="503">
        <v>0</v>
      </c>
      <c r="G104" s="503" t="s">
        <v>149</v>
      </c>
      <c r="H104" s="503" t="s">
        <v>149</v>
      </c>
      <c r="I104" s="503" t="s">
        <v>150</v>
      </c>
      <c r="J104" s="503" t="s">
        <v>149</v>
      </c>
      <c r="K104" s="503" t="s">
        <v>149</v>
      </c>
      <c r="L104" s="539"/>
      <c r="M104" s="539" t="s">
        <v>151</v>
      </c>
      <c r="N104" s="503" t="s">
        <v>1465</v>
      </c>
      <c r="O104" s="503"/>
      <c r="P104" s="364"/>
      <c r="Q104" s="97"/>
      <c r="R104" s="97"/>
    </row>
    <row r="105" spans="1:18" ht="14.4" x14ac:dyDescent="0.3">
      <c r="A105" s="96" t="str">
        <f>B105</f>
        <v>RECTIFIER ROW x (THYRIPOL, x = 1..4)</v>
      </c>
      <c r="B105" s="383" t="s">
        <v>1031</v>
      </c>
      <c r="C105" s="506"/>
      <c r="D105" s="506"/>
      <c r="E105" s="506"/>
      <c r="F105" s="497"/>
      <c r="G105" s="497"/>
      <c r="H105" s="497"/>
      <c r="I105" s="497"/>
      <c r="J105" s="580"/>
      <c r="K105" s="580"/>
      <c r="L105" s="497"/>
      <c r="M105" s="497"/>
      <c r="N105" s="497"/>
      <c r="O105" s="497"/>
      <c r="P105" s="70"/>
      <c r="Q105" s="70"/>
      <c r="R105" s="70"/>
    </row>
    <row r="106" spans="1:18" ht="14.4" x14ac:dyDescent="0.3">
      <c r="A106" s="61" t="e">
        <f>#REF!</f>
        <v>#REF!</v>
      </c>
      <c r="B106" s="588"/>
      <c r="C106" s="126" t="s">
        <v>580</v>
      </c>
      <c r="D106" s="539" t="s">
        <v>1466</v>
      </c>
      <c r="E106" s="539" t="s">
        <v>790</v>
      </c>
      <c r="F106" s="503">
        <v>0</v>
      </c>
      <c r="G106" s="503"/>
      <c r="H106" s="503"/>
      <c r="I106" s="503" t="s">
        <v>150</v>
      </c>
      <c r="J106" s="503"/>
      <c r="K106" s="503"/>
      <c r="L106" s="539"/>
      <c r="M106" s="539" t="s">
        <v>151</v>
      </c>
      <c r="N106" s="503" t="s">
        <v>1467</v>
      </c>
      <c r="O106" s="503" t="s">
        <v>1468</v>
      </c>
      <c r="P106" s="364"/>
      <c r="Q106" s="97"/>
    </row>
    <row r="107" spans="1:18" ht="14.4" x14ac:dyDescent="0.3">
      <c r="A107" s="61" t="e">
        <f>#REF!</f>
        <v>#REF!</v>
      </c>
      <c r="B107" s="588"/>
      <c r="C107" s="126" t="s">
        <v>580</v>
      </c>
      <c r="D107" s="539" t="s">
        <v>1469</v>
      </c>
      <c r="E107" s="539" t="s">
        <v>790</v>
      </c>
      <c r="F107" s="503">
        <v>0</v>
      </c>
      <c r="G107" s="503"/>
      <c r="H107" s="503"/>
      <c r="I107" s="503" t="s">
        <v>150</v>
      </c>
      <c r="J107" s="503"/>
      <c r="K107" s="503"/>
      <c r="L107" s="539"/>
      <c r="M107" s="539" t="s">
        <v>151</v>
      </c>
      <c r="N107" s="503" t="s">
        <v>1470</v>
      </c>
      <c r="O107" s="503" t="s">
        <v>1468</v>
      </c>
      <c r="P107" s="364"/>
      <c r="Q107" s="97"/>
    </row>
    <row r="108" spans="1:18" ht="14.4" x14ac:dyDescent="0.3">
      <c r="A108" s="61" t="e">
        <f>#REF!</f>
        <v>#REF!</v>
      </c>
      <c r="B108" s="588"/>
      <c r="C108" s="126" t="s">
        <v>580</v>
      </c>
      <c r="D108" s="539" t="s">
        <v>1471</v>
      </c>
      <c r="E108" s="539" t="s">
        <v>790</v>
      </c>
      <c r="F108" s="503">
        <v>0</v>
      </c>
      <c r="G108" s="503"/>
      <c r="H108" s="503"/>
      <c r="I108" s="503" t="s">
        <v>150</v>
      </c>
      <c r="J108" s="503"/>
      <c r="K108" s="503"/>
      <c r="L108" s="539"/>
      <c r="M108" s="539" t="s">
        <v>151</v>
      </c>
      <c r="N108" s="503" t="s">
        <v>1472</v>
      </c>
      <c r="O108" s="503" t="s">
        <v>1468</v>
      </c>
      <c r="P108" s="364"/>
      <c r="Q108" s="97"/>
    </row>
    <row r="109" spans="1:18" ht="14.4" x14ac:dyDescent="0.3">
      <c r="A109" s="61" t="e">
        <f>#REF!</f>
        <v>#REF!</v>
      </c>
      <c r="B109" s="588"/>
      <c r="C109" s="126" t="s">
        <v>580</v>
      </c>
      <c r="D109" s="539" t="s">
        <v>1473</v>
      </c>
      <c r="E109" s="539" t="s">
        <v>790</v>
      </c>
      <c r="F109" s="503">
        <v>0</v>
      </c>
      <c r="G109" s="503"/>
      <c r="H109" s="503"/>
      <c r="I109" s="503" t="s">
        <v>150</v>
      </c>
      <c r="J109" s="503"/>
      <c r="K109" s="503"/>
      <c r="L109" s="539"/>
      <c r="M109" s="539" t="s">
        <v>151</v>
      </c>
      <c r="N109" s="503" t="s">
        <v>1474</v>
      </c>
      <c r="O109" s="503" t="s">
        <v>1468</v>
      </c>
      <c r="P109" s="364"/>
      <c r="Q109" s="97"/>
    </row>
    <row r="110" spans="1:18" ht="14.4" x14ac:dyDescent="0.3">
      <c r="A110" s="61" t="e">
        <f>#REF!</f>
        <v>#REF!</v>
      </c>
      <c r="B110" s="588"/>
      <c r="C110" s="126" t="s">
        <v>580</v>
      </c>
      <c r="D110" s="539" t="s">
        <v>1475</v>
      </c>
      <c r="E110" s="539" t="s">
        <v>790</v>
      </c>
      <c r="F110" s="503">
        <v>0</v>
      </c>
      <c r="G110" s="503"/>
      <c r="H110" s="503"/>
      <c r="I110" s="503" t="s">
        <v>150</v>
      </c>
      <c r="J110" s="503"/>
      <c r="K110" s="503"/>
      <c r="L110" s="539"/>
      <c r="M110" s="539" t="s">
        <v>151</v>
      </c>
      <c r="N110" s="503" t="s">
        <v>1476</v>
      </c>
      <c r="O110" s="503" t="s">
        <v>1468</v>
      </c>
      <c r="P110" s="364"/>
      <c r="Q110" s="97"/>
    </row>
    <row r="111" spans="1:18" ht="14.4" x14ac:dyDescent="0.3">
      <c r="A111" s="61" t="e">
        <f>#REF!</f>
        <v>#REF!</v>
      </c>
      <c r="B111" s="588"/>
      <c r="C111" s="126" t="s">
        <v>580</v>
      </c>
      <c r="D111" s="539" t="s">
        <v>1477</v>
      </c>
      <c r="E111" s="539" t="s">
        <v>790</v>
      </c>
      <c r="F111" s="503">
        <v>0</v>
      </c>
      <c r="G111" s="503"/>
      <c r="H111" s="503"/>
      <c r="I111" s="503" t="s">
        <v>150</v>
      </c>
      <c r="J111" s="503"/>
      <c r="K111" s="503"/>
      <c r="L111" s="539"/>
      <c r="M111" s="539" t="s">
        <v>151</v>
      </c>
      <c r="N111" s="503" t="s">
        <v>1478</v>
      </c>
      <c r="O111" s="503" t="s">
        <v>1468</v>
      </c>
      <c r="P111" s="364"/>
      <c r="Q111" s="97"/>
    </row>
    <row r="112" spans="1:18" ht="14.4" x14ac:dyDescent="0.3">
      <c r="A112" s="61" t="e">
        <f>#REF!</f>
        <v>#REF!</v>
      </c>
      <c r="B112" s="588"/>
      <c r="C112" s="126" t="s">
        <v>580</v>
      </c>
      <c r="D112" s="539" t="s">
        <v>1479</v>
      </c>
      <c r="E112" s="539" t="s">
        <v>790</v>
      </c>
      <c r="F112" s="503">
        <v>0</v>
      </c>
      <c r="G112" s="503"/>
      <c r="H112" s="503"/>
      <c r="I112" s="503" t="s">
        <v>150</v>
      </c>
      <c r="J112" s="503"/>
      <c r="K112" s="503"/>
      <c r="L112" s="539"/>
      <c r="M112" s="539" t="s">
        <v>151</v>
      </c>
      <c r="N112" s="503" t="s">
        <v>1480</v>
      </c>
      <c r="O112" s="503" t="s">
        <v>1468</v>
      </c>
      <c r="P112" s="364"/>
      <c r="Q112" s="97"/>
    </row>
    <row r="113" spans="1:86" ht="14.4" x14ac:dyDescent="0.3">
      <c r="A113" s="61" t="e">
        <f>#REF!</f>
        <v>#REF!</v>
      </c>
      <c r="B113" s="588"/>
      <c r="C113" s="126" t="s">
        <v>580</v>
      </c>
      <c r="D113" s="539" t="s">
        <v>1481</v>
      </c>
      <c r="E113" s="539" t="s">
        <v>790</v>
      </c>
      <c r="F113" s="503">
        <v>0</v>
      </c>
      <c r="G113" s="503"/>
      <c r="H113" s="503"/>
      <c r="I113" s="503" t="s">
        <v>150</v>
      </c>
      <c r="J113" s="503"/>
      <c r="K113" s="503"/>
      <c r="L113" s="539"/>
      <c r="M113" s="539" t="s">
        <v>151</v>
      </c>
      <c r="N113" s="503" t="s">
        <v>1482</v>
      </c>
      <c r="O113" s="503" t="s">
        <v>1468</v>
      </c>
      <c r="P113" s="364"/>
      <c r="Q113" s="97"/>
    </row>
    <row r="114" spans="1:86" ht="14.4" x14ac:dyDescent="0.3">
      <c r="A114" s="61"/>
      <c r="B114" s="588"/>
      <c r="C114" s="123" t="s">
        <v>51</v>
      </c>
      <c r="D114" s="549" t="s">
        <v>1483</v>
      </c>
      <c r="E114" s="539" t="s">
        <v>1033</v>
      </c>
      <c r="F114" s="503">
        <v>0</v>
      </c>
      <c r="G114" s="503"/>
      <c r="H114" s="503"/>
      <c r="I114" s="503" t="s">
        <v>150</v>
      </c>
      <c r="J114" s="503"/>
      <c r="K114" s="503"/>
      <c r="L114" s="539"/>
      <c r="M114" s="539" t="s">
        <v>151</v>
      </c>
      <c r="N114" s="503" t="s">
        <v>1484</v>
      </c>
      <c r="O114" s="503" t="s">
        <v>1288</v>
      </c>
      <c r="P114" s="364"/>
      <c r="Q114" s="97"/>
      <c r="R114" s="378" t="s">
        <v>1485</v>
      </c>
    </row>
    <row r="115" spans="1:86" ht="40.200000000000003" x14ac:dyDescent="0.3">
      <c r="A115" s="61"/>
      <c r="B115" s="588"/>
      <c r="C115" s="123" t="s">
        <v>51</v>
      </c>
      <c r="D115" s="539" t="s">
        <v>1486</v>
      </c>
      <c r="E115" s="539" t="s">
        <v>1360</v>
      </c>
      <c r="F115" s="503">
        <v>0</v>
      </c>
      <c r="G115" s="503"/>
      <c r="H115" s="503"/>
      <c r="I115" s="503" t="s">
        <v>150</v>
      </c>
      <c r="J115" s="503"/>
      <c r="K115" s="503"/>
      <c r="L115" s="539"/>
      <c r="M115" s="539" t="s">
        <v>151</v>
      </c>
      <c r="N115" s="503" t="s">
        <v>1487</v>
      </c>
      <c r="O115" s="503" t="s">
        <v>1488</v>
      </c>
      <c r="P115" s="364"/>
      <c r="Q115" s="97"/>
      <c r="R115" s="379" t="s">
        <v>1489</v>
      </c>
    </row>
    <row r="116" spans="1:86" ht="43.2" x14ac:dyDescent="0.3">
      <c r="A116" s="61"/>
      <c r="B116" s="588"/>
      <c r="C116" s="498" t="s">
        <v>9</v>
      </c>
      <c r="D116" s="549" t="s">
        <v>1490</v>
      </c>
      <c r="E116" s="539" t="s">
        <v>363</v>
      </c>
      <c r="F116" s="347">
        <v>1</v>
      </c>
      <c r="G116" s="503"/>
      <c r="H116" s="503"/>
      <c r="I116" s="503" t="s">
        <v>150</v>
      </c>
      <c r="J116" s="503"/>
      <c r="K116" s="503"/>
      <c r="L116" s="539"/>
      <c r="M116" s="539" t="s">
        <v>151</v>
      </c>
      <c r="N116" s="503" t="s">
        <v>1491</v>
      </c>
      <c r="O116" s="347" t="s">
        <v>1492</v>
      </c>
      <c r="P116" s="364"/>
      <c r="Q116" s="97"/>
      <c r="R116" s="42" t="s">
        <v>1493</v>
      </c>
    </row>
    <row r="117" spans="1:86" ht="43.2" x14ac:dyDescent="0.3">
      <c r="A117" s="61"/>
      <c r="B117" s="588"/>
      <c r="C117" s="498" t="s">
        <v>9</v>
      </c>
      <c r="D117" s="549" t="s">
        <v>1494</v>
      </c>
      <c r="E117" s="539" t="s">
        <v>363</v>
      </c>
      <c r="F117" s="347">
        <v>1</v>
      </c>
      <c r="G117" s="503"/>
      <c r="H117" s="503"/>
      <c r="I117" s="503" t="s">
        <v>150</v>
      </c>
      <c r="J117" s="503"/>
      <c r="K117" s="503"/>
      <c r="L117" s="539"/>
      <c r="M117" s="539" t="s">
        <v>151</v>
      </c>
      <c r="N117" s="503" t="s">
        <v>1495</v>
      </c>
      <c r="O117" s="347" t="s">
        <v>1492</v>
      </c>
      <c r="P117" s="364"/>
      <c r="Q117" s="97"/>
      <c r="R117" s="42" t="s">
        <v>1493</v>
      </c>
    </row>
    <row r="118" spans="1:86" ht="14.4" x14ac:dyDescent="0.3">
      <c r="A118" s="96" t="str">
        <f>B118</f>
        <v>RECTIFIER ROW x (THYRIPOL, x = 1..4)</v>
      </c>
      <c r="B118" s="383" t="s">
        <v>1031</v>
      </c>
      <c r="C118" s="506"/>
      <c r="D118" s="506"/>
      <c r="E118" s="506"/>
      <c r="F118" s="497"/>
      <c r="G118" s="497"/>
      <c r="H118" s="497"/>
      <c r="I118" s="497"/>
      <c r="J118" s="580"/>
      <c r="K118" s="580"/>
      <c r="L118" s="497"/>
      <c r="M118" s="497"/>
      <c r="N118" s="497"/>
      <c r="O118" s="497"/>
      <c r="P118" s="70"/>
      <c r="Q118" s="70"/>
      <c r="R118" s="70"/>
    </row>
    <row r="119" spans="1:86" ht="27" x14ac:dyDescent="0.3">
      <c r="A119" s="61" t="e">
        <f>#REF!</f>
        <v>#REF!</v>
      </c>
      <c r="B119" s="588"/>
      <c r="C119" s="126" t="s">
        <v>40</v>
      </c>
      <c r="D119" s="719" t="s">
        <v>1145</v>
      </c>
      <c r="E119" s="719" t="s">
        <v>905</v>
      </c>
      <c r="F119" s="503" t="s">
        <v>1496</v>
      </c>
      <c r="G119" s="528" t="s">
        <v>149</v>
      </c>
      <c r="H119" s="503" t="s">
        <v>36</v>
      </c>
      <c r="I119" s="503" t="s">
        <v>300</v>
      </c>
      <c r="J119" s="503" t="s">
        <v>149</v>
      </c>
      <c r="K119" s="503" t="s">
        <v>149</v>
      </c>
      <c r="L119" s="539"/>
      <c r="M119" s="539" t="s">
        <v>151</v>
      </c>
      <c r="N119" s="503" t="s">
        <v>1497</v>
      </c>
      <c r="O119" s="503"/>
      <c r="P119" s="364"/>
      <c r="Q119" s="97"/>
      <c r="R119" s="220" t="s">
        <v>1498</v>
      </c>
    </row>
    <row r="120" spans="1:86" s="19" customFormat="1" ht="40.200000000000003" x14ac:dyDescent="0.3">
      <c r="A120" s="342"/>
      <c r="B120" s="503"/>
      <c r="C120" s="555" t="s">
        <v>45</v>
      </c>
      <c r="D120" s="720"/>
      <c r="E120" s="720"/>
      <c r="F120" s="503" t="s">
        <v>1066</v>
      </c>
      <c r="G120" s="503" t="s">
        <v>149</v>
      </c>
      <c r="H120" s="503" t="s">
        <v>36</v>
      </c>
      <c r="I120" s="503" t="s">
        <v>300</v>
      </c>
      <c r="J120" s="503" t="s">
        <v>149</v>
      </c>
      <c r="K120" s="503" t="s">
        <v>149</v>
      </c>
      <c r="L120" s="503" t="s">
        <v>149</v>
      </c>
      <c r="M120" s="539" t="s">
        <v>151</v>
      </c>
      <c r="N120" s="503" t="s">
        <v>1499</v>
      </c>
      <c r="O120" s="503" t="s">
        <v>1500</v>
      </c>
      <c r="P120" s="97"/>
      <c r="Q120" s="97"/>
      <c r="R120" s="220" t="s">
        <v>1501</v>
      </c>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row>
    <row r="121" spans="1:86" ht="14.4" x14ac:dyDescent="0.3">
      <c r="A121" s="61"/>
      <c r="B121" s="588"/>
      <c r="C121" s="641" t="s">
        <v>42</v>
      </c>
      <c r="D121" s="539" t="s">
        <v>1502</v>
      </c>
      <c r="E121" s="344" t="s">
        <v>1033</v>
      </c>
      <c r="F121" s="539">
        <v>1</v>
      </c>
      <c r="G121" s="503"/>
      <c r="H121" s="539"/>
      <c r="I121" s="503" t="s">
        <v>150</v>
      </c>
      <c r="J121" s="503"/>
      <c r="K121" s="602"/>
      <c r="L121" s="539"/>
      <c r="M121" s="539" t="s">
        <v>151</v>
      </c>
      <c r="N121" s="503" t="s">
        <v>1503</v>
      </c>
      <c r="O121" s="503" t="s">
        <v>1288</v>
      </c>
      <c r="P121" s="97"/>
      <c r="Q121" s="97"/>
      <c r="R121" s="42" t="s">
        <v>1504</v>
      </c>
    </row>
    <row r="122" spans="1:86" ht="14.4" hidden="1" outlineLevel="1" x14ac:dyDescent="0.3">
      <c r="A122" s="96" t="str">
        <f>B122</f>
        <v>Transformer (IGBT)</v>
      </c>
      <c r="B122" s="327" t="s">
        <v>1505</v>
      </c>
      <c r="C122" s="543"/>
      <c r="D122" s="543"/>
      <c r="E122" s="543"/>
      <c r="F122" s="595"/>
      <c r="G122" s="595"/>
      <c r="H122" s="595"/>
      <c r="I122" s="330"/>
      <c r="J122" s="310"/>
      <c r="K122" s="310"/>
      <c r="L122" s="330"/>
      <c r="M122" s="330"/>
      <c r="N122" s="330"/>
      <c r="O122" s="330"/>
      <c r="P122" s="70"/>
      <c r="Q122" s="70"/>
      <c r="R122" s="70"/>
    </row>
    <row r="123" spans="1:86" s="217" customFormat="1" ht="14.4" hidden="1" outlineLevel="1" x14ac:dyDescent="0.3">
      <c r="A123" s="216" t="str">
        <f>A122</f>
        <v>Transformer (IGBT)</v>
      </c>
      <c r="B123" s="210"/>
      <c r="C123" s="161" t="s">
        <v>51</v>
      </c>
      <c r="D123" s="642" t="s">
        <v>638</v>
      </c>
      <c r="E123" s="643" t="s">
        <v>148</v>
      </c>
      <c r="F123" s="587">
        <v>0</v>
      </c>
      <c r="G123" s="587" t="s">
        <v>149</v>
      </c>
      <c r="H123" s="587" t="s">
        <v>149</v>
      </c>
      <c r="I123" s="164" t="s">
        <v>150</v>
      </c>
      <c r="J123" s="164" t="s">
        <v>149</v>
      </c>
      <c r="K123" s="186" t="s">
        <v>149</v>
      </c>
      <c r="L123" s="163"/>
      <c r="M123" s="163" t="s">
        <v>151</v>
      </c>
      <c r="N123" s="164" t="s">
        <v>1436</v>
      </c>
      <c r="O123" s="164"/>
      <c r="P123" s="164"/>
      <c r="Q123" s="164"/>
      <c r="R123" s="164"/>
    </row>
    <row r="124" spans="1:86" s="217" customFormat="1" ht="14.4" hidden="1" outlineLevel="1" x14ac:dyDescent="0.3">
      <c r="A124" s="216" t="str">
        <f>A123</f>
        <v>Transformer (IGBT)</v>
      </c>
      <c r="B124" s="166"/>
      <c r="C124" s="161" t="s">
        <v>51</v>
      </c>
      <c r="D124" s="642" t="s">
        <v>644</v>
      </c>
      <c r="E124" s="643" t="s">
        <v>148</v>
      </c>
      <c r="F124" s="587">
        <v>0</v>
      </c>
      <c r="G124" s="587" t="s">
        <v>149</v>
      </c>
      <c r="H124" s="587" t="s">
        <v>149</v>
      </c>
      <c r="I124" s="164" t="s">
        <v>150</v>
      </c>
      <c r="J124" s="164" t="s">
        <v>149</v>
      </c>
      <c r="K124" s="186" t="s">
        <v>149</v>
      </c>
      <c r="L124" s="163"/>
      <c r="M124" s="163" t="s">
        <v>151</v>
      </c>
      <c r="N124" s="164" t="s">
        <v>1437</v>
      </c>
      <c r="O124" s="164"/>
      <c r="P124" s="164"/>
      <c r="Q124" s="164"/>
      <c r="R124" s="164"/>
    </row>
    <row r="125" spans="1:86" s="217" customFormat="1" ht="14.4" hidden="1" outlineLevel="1" x14ac:dyDescent="0.3">
      <c r="A125" s="216" t="e">
        <f>#REF!</f>
        <v>#REF!</v>
      </c>
      <c r="B125" s="166"/>
      <c r="C125" s="161" t="s">
        <v>51</v>
      </c>
      <c r="D125" s="218" t="s">
        <v>641</v>
      </c>
      <c r="E125" s="219" t="s">
        <v>148</v>
      </c>
      <c r="F125" s="164">
        <v>0</v>
      </c>
      <c r="G125" s="164" t="s">
        <v>149</v>
      </c>
      <c r="H125" s="164" t="s">
        <v>149</v>
      </c>
      <c r="I125" s="164" t="s">
        <v>150</v>
      </c>
      <c r="J125" s="164" t="s">
        <v>149</v>
      </c>
      <c r="K125" s="186" t="s">
        <v>149</v>
      </c>
      <c r="L125" s="163"/>
      <c r="M125" s="163" t="s">
        <v>151</v>
      </c>
      <c r="N125" s="164" t="s">
        <v>1444</v>
      </c>
      <c r="O125" s="164"/>
      <c r="P125" s="164"/>
      <c r="Q125" s="164"/>
      <c r="R125" s="164"/>
    </row>
    <row r="126" spans="1:86" s="217" customFormat="1" ht="14.4" hidden="1" outlineLevel="1" x14ac:dyDescent="0.3">
      <c r="A126" s="216" t="e">
        <f>#REF!</f>
        <v>#REF!</v>
      </c>
      <c r="B126" s="166"/>
      <c r="C126" s="161" t="s">
        <v>51</v>
      </c>
      <c r="D126" s="219" t="s">
        <v>1506</v>
      </c>
      <c r="E126" s="219" t="s">
        <v>148</v>
      </c>
      <c r="F126" s="164">
        <v>0</v>
      </c>
      <c r="G126" s="164" t="s">
        <v>149</v>
      </c>
      <c r="H126" s="164" t="s">
        <v>149</v>
      </c>
      <c r="I126" s="164" t="s">
        <v>150</v>
      </c>
      <c r="J126" s="164" t="s">
        <v>149</v>
      </c>
      <c r="K126" s="164" t="s">
        <v>149</v>
      </c>
      <c r="L126" s="163"/>
      <c r="M126" s="163" t="s">
        <v>151</v>
      </c>
      <c r="N126" s="164" t="s">
        <v>1446</v>
      </c>
      <c r="O126" s="164"/>
      <c r="P126" s="164"/>
      <c r="Q126" s="164"/>
      <c r="R126" s="164"/>
    </row>
    <row r="127" spans="1:86" s="217" customFormat="1" ht="14.4" hidden="1" outlineLevel="1" x14ac:dyDescent="0.3">
      <c r="A127" s="216" t="e">
        <f>A126</f>
        <v>#REF!</v>
      </c>
      <c r="B127" s="166"/>
      <c r="C127" s="161" t="s">
        <v>51</v>
      </c>
      <c r="D127" s="219" t="s">
        <v>1506</v>
      </c>
      <c r="E127" s="219" t="s">
        <v>374</v>
      </c>
      <c r="F127" s="164">
        <v>0</v>
      </c>
      <c r="G127" s="164" t="s">
        <v>149</v>
      </c>
      <c r="H127" s="164" t="s">
        <v>149</v>
      </c>
      <c r="I127" s="164" t="s">
        <v>150</v>
      </c>
      <c r="J127" s="164" t="s">
        <v>149</v>
      </c>
      <c r="K127" s="164" t="s">
        <v>149</v>
      </c>
      <c r="L127" s="163"/>
      <c r="M127" s="163" t="s">
        <v>151</v>
      </c>
      <c r="N127" s="164" t="s">
        <v>1447</v>
      </c>
      <c r="O127" s="164"/>
      <c r="P127" s="164"/>
      <c r="Q127" s="164"/>
      <c r="R127" s="164"/>
    </row>
    <row r="128" spans="1:86" s="217" customFormat="1" ht="14.4" hidden="1" outlineLevel="1" x14ac:dyDescent="0.3">
      <c r="A128" s="216" t="e">
        <f>#REF!</f>
        <v>#REF!</v>
      </c>
      <c r="B128" s="166"/>
      <c r="C128" s="161" t="s">
        <v>51</v>
      </c>
      <c r="D128" s="219" t="s">
        <v>1507</v>
      </c>
      <c r="E128" s="219" t="s">
        <v>148</v>
      </c>
      <c r="F128" s="164">
        <v>0</v>
      </c>
      <c r="G128" s="164" t="s">
        <v>149</v>
      </c>
      <c r="H128" s="164" t="s">
        <v>149</v>
      </c>
      <c r="I128" s="164" t="s">
        <v>150</v>
      </c>
      <c r="J128" s="164" t="s">
        <v>149</v>
      </c>
      <c r="K128" s="164" t="s">
        <v>149</v>
      </c>
      <c r="L128" s="163"/>
      <c r="M128" s="163" t="s">
        <v>151</v>
      </c>
      <c r="N128" s="164" t="s">
        <v>1451</v>
      </c>
      <c r="O128" s="164"/>
      <c r="P128" s="164"/>
      <c r="Q128" s="164"/>
      <c r="R128" s="164"/>
    </row>
    <row r="129" spans="1:18" s="217" customFormat="1" ht="14.4" hidden="1" outlineLevel="1" x14ac:dyDescent="0.3">
      <c r="A129" s="216" t="e">
        <f>A128</f>
        <v>#REF!</v>
      </c>
      <c r="B129" s="166"/>
      <c r="C129" s="161" t="s">
        <v>51</v>
      </c>
      <c r="D129" s="219" t="s">
        <v>1507</v>
      </c>
      <c r="E129" s="219" t="s">
        <v>374</v>
      </c>
      <c r="F129" s="164">
        <v>0</v>
      </c>
      <c r="G129" s="164" t="s">
        <v>149</v>
      </c>
      <c r="H129" s="164" t="s">
        <v>149</v>
      </c>
      <c r="I129" s="164" t="s">
        <v>150</v>
      </c>
      <c r="J129" s="164" t="s">
        <v>149</v>
      </c>
      <c r="K129" s="164" t="s">
        <v>149</v>
      </c>
      <c r="L129" s="163"/>
      <c r="M129" s="163" t="s">
        <v>151</v>
      </c>
      <c r="N129" s="164" t="s">
        <v>1452</v>
      </c>
      <c r="O129" s="164"/>
      <c r="P129" s="164"/>
      <c r="Q129" s="164"/>
      <c r="R129" s="164"/>
    </row>
    <row r="130" spans="1:18" s="217" customFormat="1" ht="14.4" hidden="1" outlineLevel="1" x14ac:dyDescent="0.3">
      <c r="A130" s="216" t="e">
        <f>#REF!</f>
        <v>#REF!</v>
      </c>
      <c r="B130" s="166"/>
      <c r="C130" s="161" t="s">
        <v>51</v>
      </c>
      <c r="D130" s="219" t="s">
        <v>655</v>
      </c>
      <c r="E130" s="219" t="s">
        <v>1461</v>
      </c>
      <c r="F130" s="164">
        <v>0</v>
      </c>
      <c r="G130" s="164" t="s">
        <v>149</v>
      </c>
      <c r="H130" s="164" t="s">
        <v>149</v>
      </c>
      <c r="I130" s="164" t="s">
        <v>150</v>
      </c>
      <c r="J130" s="164" t="s">
        <v>149</v>
      </c>
      <c r="K130" s="164" t="s">
        <v>149</v>
      </c>
      <c r="L130" s="163"/>
      <c r="M130" s="163" t="s">
        <v>151</v>
      </c>
      <c r="N130" s="164" t="s">
        <v>1462</v>
      </c>
      <c r="O130" s="164" t="s">
        <v>1463</v>
      </c>
      <c r="P130" s="164"/>
      <c r="Q130" s="164"/>
      <c r="R130" s="164"/>
    </row>
    <row r="131" spans="1:18" s="217" customFormat="1" ht="14.4" hidden="1" outlineLevel="1" x14ac:dyDescent="0.3">
      <c r="A131" s="216" t="e">
        <f>A130</f>
        <v>#REF!</v>
      </c>
      <c r="B131" s="166"/>
      <c r="C131" s="161" t="s">
        <v>51</v>
      </c>
      <c r="D131" s="219" t="s">
        <v>655</v>
      </c>
      <c r="E131" s="219" t="s">
        <v>169</v>
      </c>
      <c r="F131" s="164">
        <v>0</v>
      </c>
      <c r="G131" s="164" t="s">
        <v>149</v>
      </c>
      <c r="H131" s="164" t="s">
        <v>149</v>
      </c>
      <c r="I131" s="164" t="s">
        <v>150</v>
      </c>
      <c r="J131" s="164" t="s">
        <v>149</v>
      </c>
      <c r="K131" s="164" t="s">
        <v>149</v>
      </c>
      <c r="L131" s="163"/>
      <c r="M131" s="163" t="s">
        <v>151</v>
      </c>
      <c r="N131" s="164" t="s">
        <v>1508</v>
      </c>
      <c r="O131" s="164"/>
      <c r="P131" s="164"/>
      <c r="Q131" s="164"/>
      <c r="R131" s="164"/>
    </row>
    <row r="132" spans="1:18" s="217" customFormat="1" ht="14.4" hidden="1" outlineLevel="1" x14ac:dyDescent="0.3">
      <c r="A132" s="216" t="e">
        <f>A131</f>
        <v>#REF!</v>
      </c>
      <c r="B132" s="166"/>
      <c r="C132" s="161" t="s">
        <v>51</v>
      </c>
      <c r="D132" s="219" t="s">
        <v>655</v>
      </c>
      <c r="E132" s="219" t="s">
        <v>1464</v>
      </c>
      <c r="F132" s="164">
        <v>0</v>
      </c>
      <c r="G132" s="164" t="s">
        <v>149</v>
      </c>
      <c r="H132" s="164" t="s">
        <v>149</v>
      </c>
      <c r="I132" s="164" t="s">
        <v>150</v>
      </c>
      <c r="J132" s="164" t="s">
        <v>149</v>
      </c>
      <c r="K132" s="164" t="s">
        <v>149</v>
      </c>
      <c r="L132" s="163"/>
      <c r="M132" s="163" t="s">
        <v>151</v>
      </c>
      <c r="N132" s="164" t="s">
        <v>1465</v>
      </c>
      <c r="O132" s="164"/>
      <c r="P132" s="164"/>
      <c r="Q132" s="164"/>
      <c r="R132" s="164"/>
    </row>
    <row r="133" spans="1:18" s="217" customFormat="1" ht="14.4" hidden="1" outlineLevel="1" x14ac:dyDescent="0.3">
      <c r="A133" s="216" t="e">
        <f>A132</f>
        <v>#REF!</v>
      </c>
      <c r="B133" s="210"/>
      <c r="C133" s="161" t="s">
        <v>51</v>
      </c>
      <c r="D133" s="642" t="s">
        <v>657</v>
      </c>
      <c r="E133" s="643" t="s">
        <v>148</v>
      </c>
      <c r="F133" s="587">
        <v>0</v>
      </c>
      <c r="G133" s="587" t="s">
        <v>149</v>
      </c>
      <c r="H133" s="587" t="s">
        <v>149</v>
      </c>
      <c r="I133" s="164" t="s">
        <v>150</v>
      </c>
      <c r="J133" s="164" t="s">
        <v>149</v>
      </c>
      <c r="K133" s="186" t="s">
        <v>149</v>
      </c>
      <c r="L133" s="163"/>
      <c r="M133" s="163" t="s">
        <v>151</v>
      </c>
      <c r="N133" s="164" t="s">
        <v>1436</v>
      </c>
      <c r="O133" s="164"/>
      <c r="P133" s="164"/>
      <c r="Q133" s="164"/>
      <c r="R133" s="164"/>
    </row>
    <row r="134" spans="1:18" s="217" customFormat="1" ht="14.4" hidden="1" outlineLevel="1" x14ac:dyDescent="0.3">
      <c r="A134" s="216" t="e">
        <f>A133</f>
        <v>#REF!</v>
      </c>
      <c r="B134" s="166"/>
      <c r="C134" s="161" t="s">
        <v>51</v>
      </c>
      <c r="D134" s="642" t="s">
        <v>661</v>
      </c>
      <c r="E134" s="643" t="s">
        <v>148</v>
      </c>
      <c r="F134" s="587">
        <v>0</v>
      </c>
      <c r="G134" s="587" t="s">
        <v>149</v>
      </c>
      <c r="H134" s="587" t="s">
        <v>149</v>
      </c>
      <c r="I134" s="164" t="s">
        <v>150</v>
      </c>
      <c r="J134" s="164" t="s">
        <v>149</v>
      </c>
      <c r="K134" s="186" t="s">
        <v>149</v>
      </c>
      <c r="L134" s="163"/>
      <c r="M134" s="163" t="s">
        <v>151</v>
      </c>
      <c r="N134" s="164" t="s">
        <v>1437</v>
      </c>
      <c r="O134" s="164"/>
      <c r="P134" s="164"/>
      <c r="Q134" s="164"/>
      <c r="R134" s="164"/>
    </row>
    <row r="135" spans="1:18" s="217" customFormat="1" ht="14.4" hidden="1" outlineLevel="1" x14ac:dyDescent="0.3">
      <c r="A135" s="216" t="e">
        <f>#REF!</f>
        <v>#REF!</v>
      </c>
      <c r="B135" s="166"/>
      <c r="C135" s="161" t="s">
        <v>51</v>
      </c>
      <c r="D135" s="218" t="s">
        <v>658</v>
      </c>
      <c r="E135" s="219" t="s">
        <v>148</v>
      </c>
      <c r="F135" s="164">
        <v>0</v>
      </c>
      <c r="G135" s="164" t="s">
        <v>149</v>
      </c>
      <c r="H135" s="164" t="s">
        <v>149</v>
      </c>
      <c r="I135" s="164" t="s">
        <v>150</v>
      </c>
      <c r="J135" s="164" t="s">
        <v>149</v>
      </c>
      <c r="K135" s="186" t="s">
        <v>149</v>
      </c>
      <c r="L135" s="163"/>
      <c r="M135" s="163" t="s">
        <v>151</v>
      </c>
      <c r="N135" s="164" t="s">
        <v>1444</v>
      </c>
      <c r="O135" s="164"/>
      <c r="P135" s="164"/>
      <c r="Q135" s="164"/>
      <c r="R135" s="164"/>
    </row>
    <row r="136" spans="1:18" s="217" customFormat="1" ht="14.4" hidden="1" outlineLevel="1" x14ac:dyDescent="0.3">
      <c r="A136" s="216" t="e">
        <f>#REF!</f>
        <v>#REF!</v>
      </c>
      <c r="B136" s="166"/>
      <c r="C136" s="161" t="s">
        <v>51</v>
      </c>
      <c r="D136" s="219" t="s">
        <v>1509</v>
      </c>
      <c r="E136" s="219" t="s">
        <v>148</v>
      </c>
      <c r="F136" s="164">
        <v>0</v>
      </c>
      <c r="G136" s="164" t="s">
        <v>149</v>
      </c>
      <c r="H136" s="164" t="s">
        <v>149</v>
      </c>
      <c r="I136" s="164" t="s">
        <v>150</v>
      </c>
      <c r="J136" s="164" t="s">
        <v>149</v>
      </c>
      <c r="K136" s="164" t="s">
        <v>149</v>
      </c>
      <c r="L136" s="163"/>
      <c r="M136" s="163" t="s">
        <v>151</v>
      </c>
      <c r="N136" s="164" t="s">
        <v>1446</v>
      </c>
      <c r="O136" s="164"/>
      <c r="P136" s="164"/>
      <c r="Q136" s="164"/>
      <c r="R136" s="164"/>
    </row>
    <row r="137" spans="1:18" s="217" customFormat="1" ht="14.4" hidden="1" outlineLevel="1" x14ac:dyDescent="0.3">
      <c r="A137" s="216" t="e">
        <f>A136</f>
        <v>#REF!</v>
      </c>
      <c r="B137" s="166"/>
      <c r="C137" s="161" t="s">
        <v>51</v>
      </c>
      <c r="D137" s="219" t="s">
        <v>1509</v>
      </c>
      <c r="E137" s="219" t="s">
        <v>374</v>
      </c>
      <c r="F137" s="164">
        <v>0</v>
      </c>
      <c r="G137" s="164" t="s">
        <v>149</v>
      </c>
      <c r="H137" s="164" t="s">
        <v>149</v>
      </c>
      <c r="I137" s="164" t="s">
        <v>150</v>
      </c>
      <c r="J137" s="164" t="s">
        <v>149</v>
      </c>
      <c r="K137" s="164" t="s">
        <v>149</v>
      </c>
      <c r="L137" s="163"/>
      <c r="M137" s="163" t="s">
        <v>151</v>
      </c>
      <c r="N137" s="164" t="s">
        <v>1447</v>
      </c>
      <c r="O137" s="164"/>
      <c r="P137" s="164"/>
      <c r="Q137" s="164"/>
      <c r="R137" s="164"/>
    </row>
    <row r="138" spans="1:18" s="217" customFormat="1" ht="14.4" hidden="1" outlineLevel="1" x14ac:dyDescent="0.3">
      <c r="A138" s="216" t="e">
        <f>#REF!</f>
        <v>#REF!</v>
      </c>
      <c r="B138" s="166"/>
      <c r="C138" s="161" t="s">
        <v>51</v>
      </c>
      <c r="D138" s="219" t="s">
        <v>1510</v>
      </c>
      <c r="E138" s="219" t="s">
        <v>148</v>
      </c>
      <c r="F138" s="164">
        <v>0</v>
      </c>
      <c r="G138" s="164" t="s">
        <v>149</v>
      </c>
      <c r="H138" s="164" t="s">
        <v>149</v>
      </c>
      <c r="I138" s="164" t="s">
        <v>150</v>
      </c>
      <c r="J138" s="164" t="s">
        <v>149</v>
      </c>
      <c r="K138" s="164" t="s">
        <v>149</v>
      </c>
      <c r="L138" s="163"/>
      <c r="M138" s="163" t="s">
        <v>151</v>
      </c>
      <c r="N138" s="164" t="s">
        <v>1451</v>
      </c>
      <c r="O138" s="164"/>
      <c r="P138" s="164"/>
      <c r="Q138" s="164"/>
      <c r="R138" s="164"/>
    </row>
    <row r="139" spans="1:18" s="217" customFormat="1" ht="14.4" hidden="1" outlineLevel="1" x14ac:dyDescent="0.3">
      <c r="A139" s="216" t="e">
        <f>A138</f>
        <v>#REF!</v>
      </c>
      <c r="B139" s="166"/>
      <c r="C139" s="161" t="s">
        <v>51</v>
      </c>
      <c r="D139" s="219" t="s">
        <v>1510</v>
      </c>
      <c r="E139" s="219" t="s">
        <v>374</v>
      </c>
      <c r="F139" s="164">
        <v>0</v>
      </c>
      <c r="G139" s="164" t="s">
        <v>149</v>
      </c>
      <c r="H139" s="164" t="s">
        <v>149</v>
      </c>
      <c r="I139" s="164" t="s">
        <v>150</v>
      </c>
      <c r="J139" s="164" t="s">
        <v>149</v>
      </c>
      <c r="K139" s="164" t="s">
        <v>149</v>
      </c>
      <c r="L139" s="163"/>
      <c r="M139" s="163" t="s">
        <v>151</v>
      </c>
      <c r="N139" s="164" t="s">
        <v>1452</v>
      </c>
      <c r="O139" s="164"/>
      <c r="P139" s="164"/>
      <c r="Q139" s="164"/>
      <c r="R139" s="164"/>
    </row>
    <row r="140" spans="1:18" s="217" customFormat="1" ht="14.4" hidden="1" outlineLevel="1" x14ac:dyDescent="0.3">
      <c r="A140" s="216" t="e">
        <f>#REF!</f>
        <v>#REF!</v>
      </c>
      <c r="B140" s="166"/>
      <c r="C140" s="161" t="s">
        <v>51</v>
      </c>
      <c r="D140" s="219" t="s">
        <v>670</v>
      </c>
      <c r="E140" s="219" t="s">
        <v>1461</v>
      </c>
      <c r="F140" s="164">
        <v>0</v>
      </c>
      <c r="G140" s="164" t="s">
        <v>149</v>
      </c>
      <c r="H140" s="164" t="s">
        <v>149</v>
      </c>
      <c r="I140" s="164" t="s">
        <v>150</v>
      </c>
      <c r="J140" s="164" t="s">
        <v>149</v>
      </c>
      <c r="K140" s="164" t="s">
        <v>149</v>
      </c>
      <c r="L140" s="163"/>
      <c r="M140" s="163" t="s">
        <v>151</v>
      </c>
      <c r="N140" s="164" t="s">
        <v>1462</v>
      </c>
      <c r="O140" s="164" t="s">
        <v>1463</v>
      </c>
      <c r="P140" s="164"/>
      <c r="Q140" s="164"/>
      <c r="R140" s="164"/>
    </row>
    <row r="141" spans="1:18" s="217" customFormat="1" ht="14.4" hidden="1" outlineLevel="1" x14ac:dyDescent="0.3">
      <c r="A141" s="216" t="e">
        <f>A140</f>
        <v>#REF!</v>
      </c>
      <c r="B141" s="166"/>
      <c r="C141" s="161" t="s">
        <v>51</v>
      </c>
      <c r="D141" s="219" t="s">
        <v>670</v>
      </c>
      <c r="E141" s="219" t="s">
        <v>169</v>
      </c>
      <c r="F141" s="164">
        <v>0</v>
      </c>
      <c r="G141" s="164" t="s">
        <v>149</v>
      </c>
      <c r="H141" s="164" t="s">
        <v>149</v>
      </c>
      <c r="I141" s="164" t="s">
        <v>150</v>
      </c>
      <c r="J141" s="164" t="s">
        <v>149</v>
      </c>
      <c r="K141" s="164" t="s">
        <v>149</v>
      </c>
      <c r="L141" s="163"/>
      <c r="M141" s="163" t="s">
        <v>151</v>
      </c>
      <c r="N141" s="164" t="s">
        <v>1508</v>
      </c>
      <c r="O141" s="164"/>
      <c r="P141" s="164"/>
      <c r="Q141" s="164"/>
      <c r="R141" s="164"/>
    </row>
    <row r="142" spans="1:18" s="217" customFormat="1" ht="14.4" hidden="1" outlineLevel="1" x14ac:dyDescent="0.3">
      <c r="A142" s="216" t="e">
        <f>A141</f>
        <v>#REF!</v>
      </c>
      <c r="B142" s="166"/>
      <c r="C142" s="161" t="s">
        <v>51</v>
      </c>
      <c r="D142" s="219" t="s">
        <v>670</v>
      </c>
      <c r="E142" s="219" t="s">
        <v>1464</v>
      </c>
      <c r="F142" s="164">
        <v>0</v>
      </c>
      <c r="G142" s="164" t="s">
        <v>149</v>
      </c>
      <c r="H142" s="164" t="s">
        <v>149</v>
      </c>
      <c r="I142" s="164" t="s">
        <v>150</v>
      </c>
      <c r="J142" s="164" t="s">
        <v>149</v>
      </c>
      <c r="K142" s="164" t="s">
        <v>149</v>
      </c>
      <c r="L142" s="163"/>
      <c r="M142" s="163" t="s">
        <v>151</v>
      </c>
      <c r="N142" s="164" t="s">
        <v>1465</v>
      </c>
      <c r="O142" s="164"/>
      <c r="P142" s="164"/>
      <c r="Q142" s="164"/>
      <c r="R142" s="164"/>
    </row>
    <row r="143" spans="1:18" s="217" customFormat="1" ht="14.4" hidden="1" outlineLevel="1" x14ac:dyDescent="0.3">
      <c r="A143" s="216"/>
      <c r="B143" s="166"/>
      <c r="C143" s="161" t="s">
        <v>51</v>
      </c>
      <c r="D143" s="166" t="s">
        <v>1511</v>
      </c>
      <c r="E143" s="166" t="s">
        <v>790</v>
      </c>
      <c r="F143" s="166">
        <v>0</v>
      </c>
      <c r="G143" s="166"/>
      <c r="H143" s="166"/>
      <c r="I143" s="166" t="s">
        <v>150</v>
      </c>
      <c r="J143" s="166"/>
      <c r="K143" s="166"/>
      <c r="L143" s="166"/>
      <c r="M143" s="166" t="s">
        <v>151</v>
      </c>
      <c r="N143" s="164" t="s">
        <v>1512</v>
      </c>
      <c r="O143" s="166" t="s">
        <v>1468</v>
      </c>
      <c r="P143" s="166"/>
      <c r="Q143" s="166"/>
      <c r="R143" s="166"/>
    </row>
    <row r="144" spans="1:18" ht="14.4" hidden="1" outlineLevel="1" x14ac:dyDescent="0.3">
      <c r="A144" s="96" t="str">
        <f>B144</f>
        <v>Rectifier IGBT (Optional)</v>
      </c>
      <c r="B144" s="130" t="s">
        <v>1513</v>
      </c>
      <c r="C144" s="69"/>
      <c r="D144" s="69"/>
      <c r="E144" s="69"/>
      <c r="F144" s="70"/>
      <c r="G144" s="70"/>
      <c r="H144" s="70"/>
      <c r="I144" s="70"/>
      <c r="J144" s="71"/>
      <c r="K144" s="71"/>
      <c r="L144" s="70"/>
      <c r="M144" s="70"/>
      <c r="N144" s="70"/>
      <c r="O144" s="70"/>
      <c r="P144" s="70"/>
      <c r="Q144" s="70"/>
      <c r="R144" s="70"/>
    </row>
    <row r="145" spans="1:18" ht="14.4" hidden="1" outlineLevel="1" x14ac:dyDescent="0.3">
      <c r="A145" s="61" t="e">
        <f>#REF!</f>
        <v>#REF!</v>
      </c>
      <c r="B145" s="166"/>
      <c r="C145" s="161" t="s">
        <v>51</v>
      </c>
      <c r="D145" s="166" t="s">
        <v>1514</v>
      </c>
      <c r="E145" s="166" t="s">
        <v>790</v>
      </c>
      <c r="F145" s="166">
        <v>0</v>
      </c>
      <c r="G145" s="166"/>
      <c r="H145" s="166"/>
      <c r="I145" s="166" t="s">
        <v>150</v>
      </c>
      <c r="J145" s="166"/>
      <c r="K145" s="166"/>
      <c r="L145" s="166"/>
      <c r="M145" s="166" t="s">
        <v>151</v>
      </c>
      <c r="N145" s="166" t="s">
        <v>1515</v>
      </c>
      <c r="O145" s="166" t="s">
        <v>1516</v>
      </c>
      <c r="P145" s="166"/>
      <c r="Q145" s="166"/>
      <c r="R145" s="166"/>
    </row>
    <row r="146" spans="1:18" ht="28.8" hidden="1" outlineLevel="1" x14ac:dyDescent="0.3">
      <c r="A146" s="61" t="e">
        <f>#REF!</f>
        <v>#REF!</v>
      </c>
      <c r="B146" s="166"/>
      <c r="C146" s="161" t="s">
        <v>51</v>
      </c>
      <c r="D146" s="166" t="s">
        <v>1517</v>
      </c>
      <c r="E146" s="166" t="s">
        <v>790</v>
      </c>
      <c r="F146" s="166">
        <v>0</v>
      </c>
      <c r="G146" s="166"/>
      <c r="H146" s="166"/>
      <c r="I146" s="166" t="s">
        <v>150</v>
      </c>
      <c r="J146" s="166"/>
      <c r="K146" s="166"/>
      <c r="L146" s="166"/>
      <c r="M146" s="166" t="s">
        <v>151</v>
      </c>
      <c r="N146" s="164" t="s">
        <v>1518</v>
      </c>
      <c r="O146" s="166" t="s">
        <v>1468</v>
      </c>
      <c r="P146" s="166"/>
      <c r="Q146" s="166"/>
      <c r="R146" s="166"/>
    </row>
    <row r="147" spans="1:18" ht="14.4" hidden="1" outlineLevel="1" x14ac:dyDescent="0.3">
      <c r="A147" s="61" t="e">
        <f>#REF!</f>
        <v>#REF!</v>
      </c>
      <c r="B147" s="166"/>
      <c r="C147" s="161" t="s">
        <v>51</v>
      </c>
      <c r="D147" s="166" t="s">
        <v>1519</v>
      </c>
      <c r="E147" s="166" t="s">
        <v>790</v>
      </c>
      <c r="F147" s="166">
        <v>0</v>
      </c>
      <c r="G147" s="166"/>
      <c r="H147" s="166"/>
      <c r="I147" s="166" t="s">
        <v>150</v>
      </c>
      <c r="J147" s="166"/>
      <c r="K147" s="166"/>
      <c r="L147" s="166"/>
      <c r="M147" s="166" t="s">
        <v>151</v>
      </c>
      <c r="N147" s="166" t="s">
        <v>1520</v>
      </c>
      <c r="O147" s="166" t="s">
        <v>1468</v>
      </c>
      <c r="P147" s="166"/>
      <c r="Q147" s="166"/>
      <c r="R147" s="166"/>
    </row>
    <row r="148" spans="1:18" ht="14.4" hidden="1" outlineLevel="1" x14ac:dyDescent="0.3">
      <c r="A148" s="61" t="e">
        <f>#REF!</f>
        <v>#REF!</v>
      </c>
      <c r="B148" s="166"/>
      <c r="C148" s="161" t="s">
        <v>51</v>
      </c>
      <c r="D148" s="166" t="s">
        <v>1521</v>
      </c>
      <c r="E148" s="166" t="s">
        <v>790</v>
      </c>
      <c r="F148" s="166">
        <v>0</v>
      </c>
      <c r="G148" s="166"/>
      <c r="H148" s="166"/>
      <c r="I148" s="166" t="s">
        <v>150</v>
      </c>
      <c r="J148" s="166"/>
      <c r="K148" s="166"/>
      <c r="L148" s="166"/>
      <c r="M148" s="166" t="s">
        <v>151</v>
      </c>
      <c r="N148" s="166" t="s">
        <v>1522</v>
      </c>
      <c r="O148" s="166" t="s">
        <v>1288</v>
      </c>
      <c r="P148" s="166"/>
      <c r="Q148" s="166"/>
      <c r="R148" s="166"/>
    </row>
    <row r="149" spans="1:18" ht="28.8" hidden="1" outlineLevel="1" x14ac:dyDescent="0.3">
      <c r="A149" s="61" t="e">
        <f>#REF!</f>
        <v>#REF!</v>
      </c>
      <c r="B149" s="166"/>
      <c r="C149" s="161" t="s">
        <v>51</v>
      </c>
      <c r="D149" s="166" t="s">
        <v>1523</v>
      </c>
      <c r="E149" s="166" t="s">
        <v>790</v>
      </c>
      <c r="F149" s="166">
        <v>0</v>
      </c>
      <c r="G149" s="166"/>
      <c r="H149" s="166"/>
      <c r="I149" s="166" t="s">
        <v>150</v>
      </c>
      <c r="J149" s="166"/>
      <c r="K149" s="166"/>
      <c r="L149" s="166"/>
      <c r="M149" s="166" t="s">
        <v>151</v>
      </c>
      <c r="N149" s="164" t="s">
        <v>1524</v>
      </c>
      <c r="O149" s="166" t="s">
        <v>1468</v>
      </c>
      <c r="P149" s="166"/>
      <c r="Q149" s="166"/>
      <c r="R149" s="166"/>
    </row>
    <row r="150" spans="1:18" ht="14.4" hidden="1" outlineLevel="1" x14ac:dyDescent="0.3">
      <c r="A150" s="61" t="e">
        <f>#REF!</f>
        <v>#REF!</v>
      </c>
      <c r="B150" s="166"/>
      <c r="C150" s="161" t="s">
        <v>51</v>
      </c>
      <c r="D150" s="166" t="s">
        <v>1525</v>
      </c>
      <c r="E150" s="166" t="s">
        <v>790</v>
      </c>
      <c r="F150" s="166">
        <v>0</v>
      </c>
      <c r="G150" s="166"/>
      <c r="H150" s="166"/>
      <c r="I150" s="166" t="s">
        <v>150</v>
      </c>
      <c r="J150" s="166"/>
      <c r="K150" s="166"/>
      <c r="L150" s="166"/>
      <c r="M150" s="166" t="s">
        <v>151</v>
      </c>
      <c r="N150" s="164" t="s">
        <v>1526</v>
      </c>
      <c r="O150" s="166" t="s">
        <v>1288</v>
      </c>
      <c r="P150" s="166"/>
      <c r="Q150" s="166"/>
      <c r="R150" s="166"/>
    </row>
    <row r="151" spans="1:18" ht="28.8" hidden="1" outlineLevel="1" x14ac:dyDescent="0.3">
      <c r="A151" s="61" t="e">
        <f>#REF!</f>
        <v>#REF!</v>
      </c>
      <c r="B151" s="166"/>
      <c r="C151" s="161" t="s">
        <v>51</v>
      </c>
      <c r="D151" s="166" t="s">
        <v>1527</v>
      </c>
      <c r="E151" s="166" t="s">
        <v>790</v>
      </c>
      <c r="F151" s="166">
        <v>0</v>
      </c>
      <c r="G151" s="166"/>
      <c r="H151" s="166"/>
      <c r="I151" s="166" t="s">
        <v>150</v>
      </c>
      <c r="J151" s="166"/>
      <c r="K151" s="166"/>
      <c r="L151" s="166"/>
      <c r="M151" s="166" t="s">
        <v>151</v>
      </c>
      <c r="N151" s="164" t="s">
        <v>1524</v>
      </c>
      <c r="O151" s="166" t="s">
        <v>1468</v>
      </c>
      <c r="P151" s="166"/>
      <c r="Q151" s="166"/>
      <c r="R151" s="166"/>
    </row>
    <row r="152" spans="1:18" ht="14.4" hidden="1" outlineLevel="1" x14ac:dyDescent="0.3">
      <c r="A152" s="61" t="e">
        <f>#REF!</f>
        <v>#REF!</v>
      </c>
      <c r="B152" s="166"/>
      <c r="C152" s="161" t="s">
        <v>51</v>
      </c>
      <c r="D152" s="166" t="s">
        <v>1528</v>
      </c>
      <c r="E152" s="166" t="s">
        <v>790</v>
      </c>
      <c r="F152" s="166">
        <v>0</v>
      </c>
      <c r="G152" s="166"/>
      <c r="H152" s="166"/>
      <c r="I152" s="166" t="s">
        <v>150</v>
      </c>
      <c r="J152" s="166"/>
      <c r="K152" s="166"/>
      <c r="L152" s="166"/>
      <c r="M152" s="166" t="s">
        <v>151</v>
      </c>
      <c r="N152" s="164" t="s">
        <v>1526</v>
      </c>
      <c r="O152" s="166" t="s">
        <v>1288</v>
      </c>
      <c r="P152" s="166"/>
      <c r="Q152" s="166"/>
      <c r="R152" s="166"/>
    </row>
    <row r="153" spans="1:18" ht="14.4" hidden="1" outlineLevel="1" x14ac:dyDescent="0.3">
      <c r="A153" s="61"/>
      <c r="B153" s="166"/>
      <c r="C153" s="161" t="s">
        <v>51</v>
      </c>
      <c r="D153" s="166" t="s">
        <v>1187</v>
      </c>
      <c r="E153" s="166" t="s">
        <v>1360</v>
      </c>
      <c r="F153" s="166">
        <v>0</v>
      </c>
      <c r="G153" s="166"/>
      <c r="H153" s="166"/>
      <c r="I153" s="166" t="s">
        <v>150</v>
      </c>
      <c r="J153" s="166"/>
      <c r="K153" s="166"/>
      <c r="L153" s="166"/>
      <c r="M153" s="166" t="s">
        <v>151</v>
      </c>
      <c r="N153" s="166" t="s">
        <v>1529</v>
      </c>
      <c r="O153" s="166" t="s">
        <v>1488</v>
      </c>
      <c r="P153" s="166"/>
      <c r="Q153" s="166"/>
      <c r="R153" s="166"/>
    </row>
    <row r="154" spans="1:18" ht="14.4" hidden="1" outlineLevel="1" x14ac:dyDescent="0.3">
      <c r="A154" s="61"/>
      <c r="B154" s="166"/>
      <c r="C154" s="161" t="s">
        <v>51</v>
      </c>
      <c r="D154" s="166" t="s">
        <v>1189</v>
      </c>
      <c r="E154" s="166" t="s">
        <v>1360</v>
      </c>
      <c r="F154" s="166">
        <v>0</v>
      </c>
      <c r="G154" s="166"/>
      <c r="H154" s="166"/>
      <c r="I154" s="166" t="s">
        <v>150</v>
      </c>
      <c r="J154" s="166"/>
      <c r="K154" s="166"/>
      <c r="L154" s="166"/>
      <c r="M154" s="166" t="s">
        <v>151</v>
      </c>
      <c r="N154" s="166" t="s">
        <v>1530</v>
      </c>
      <c r="O154" s="166" t="s">
        <v>1488</v>
      </c>
      <c r="P154" s="166"/>
      <c r="Q154" s="166"/>
      <c r="R154" s="166"/>
    </row>
    <row r="155" spans="1:18" ht="14.4" hidden="1" outlineLevel="1" x14ac:dyDescent="0.3">
      <c r="A155" s="61"/>
      <c r="B155" s="166"/>
      <c r="C155" s="161" t="s">
        <v>51</v>
      </c>
      <c r="D155" s="166" t="s">
        <v>673</v>
      </c>
      <c r="E155" s="166" t="s">
        <v>363</v>
      </c>
      <c r="F155" s="166">
        <v>0</v>
      </c>
      <c r="G155" s="166"/>
      <c r="H155" s="166"/>
      <c r="I155" s="166" t="s">
        <v>150</v>
      </c>
      <c r="J155" s="166"/>
      <c r="K155" s="166"/>
      <c r="L155" s="166"/>
      <c r="M155" s="166" t="s">
        <v>151</v>
      </c>
      <c r="N155" s="226" t="s">
        <v>1531</v>
      </c>
      <c r="O155" s="166" t="s">
        <v>1532</v>
      </c>
      <c r="P155" s="166"/>
      <c r="Q155" s="166"/>
      <c r="R155" s="166"/>
    </row>
    <row r="156" spans="1:18" ht="14.4" hidden="1" outlineLevel="1" x14ac:dyDescent="0.3">
      <c r="A156" s="61"/>
      <c r="B156" s="166"/>
      <c r="C156" s="161" t="s">
        <v>51</v>
      </c>
      <c r="D156" s="166" t="s">
        <v>680</v>
      </c>
      <c r="E156" s="166" t="s">
        <v>363</v>
      </c>
      <c r="F156" s="166">
        <v>0</v>
      </c>
      <c r="G156" s="166"/>
      <c r="H156" s="166"/>
      <c r="I156" s="166" t="s">
        <v>150</v>
      </c>
      <c r="J156" s="166"/>
      <c r="K156" s="166"/>
      <c r="L156" s="166"/>
      <c r="M156" s="166" t="s">
        <v>151</v>
      </c>
      <c r="N156" s="226" t="s">
        <v>1533</v>
      </c>
      <c r="O156" s="166" t="s">
        <v>1532</v>
      </c>
      <c r="P156" s="166"/>
      <c r="Q156" s="166"/>
      <c r="R156" s="166"/>
    </row>
    <row r="157" spans="1:18" ht="14.4" hidden="1" outlineLevel="1" x14ac:dyDescent="0.3">
      <c r="A157" s="61"/>
      <c r="B157" s="166"/>
      <c r="C157" s="161" t="s">
        <v>51</v>
      </c>
      <c r="D157" s="166" t="s">
        <v>681</v>
      </c>
      <c r="E157" s="166" t="s">
        <v>363</v>
      </c>
      <c r="F157" s="166">
        <v>0</v>
      </c>
      <c r="G157" s="166"/>
      <c r="H157" s="166"/>
      <c r="I157" s="166" t="s">
        <v>150</v>
      </c>
      <c r="J157" s="166"/>
      <c r="K157" s="166"/>
      <c r="L157" s="166"/>
      <c r="M157" s="166" t="s">
        <v>151</v>
      </c>
      <c r="N157" s="226" t="s">
        <v>1534</v>
      </c>
      <c r="O157" s="166" t="s">
        <v>1532</v>
      </c>
      <c r="P157" s="166"/>
      <c r="Q157" s="166"/>
      <c r="R157" s="166"/>
    </row>
    <row r="158" spans="1:18" ht="14.4" hidden="1" outlineLevel="1" x14ac:dyDescent="0.3">
      <c r="A158" s="61"/>
      <c r="B158" s="166"/>
      <c r="C158" s="161" t="s">
        <v>51</v>
      </c>
      <c r="D158" s="166" t="s">
        <v>682</v>
      </c>
      <c r="E158" s="166" t="s">
        <v>363</v>
      </c>
      <c r="F158" s="166">
        <v>0</v>
      </c>
      <c r="G158" s="166"/>
      <c r="H158" s="166"/>
      <c r="I158" s="166" t="s">
        <v>150</v>
      </c>
      <c r="J158" s="166"/>
      <c r="K158" s="166"/>
      <c r="L158" s="166"/>
      <c r="M158" s="166" t="s">
        <v>151</v>
      </c>
      <c r="N158" s="226" t="s">
        <v>1535</v>
      </c>
      <c r="O158" s="166" t="s">
        <v>1532</v>
      </c>
      <c r="P158" s="166"/>
      <c r="Q158" s="166"/>
      <c r="R158" s="166"/>
    </row>
    <row r="159" spans="1:18" ht="14.4" hidden="1" outlineLevel="1" x14ac:dyDescent="0.3">
      <c r="A159" s="61"/>
      <c r="B159" s="166"/>
      <c r="C159" s="161" t="s">
        <v>51</v>
      </c>
      <c r="D159" s="166" t="s">
        <v>1196</v>
      </c>
      <c r="E159" s="166" t="s">
        <v>363</v>
      </c>
      <c r="F159" s="166">
        <v>0</v>
      </c>
      <c r="G159" s="166"/>
      <c r="H159" s="166"/>
      <c r="I159" s="166" t="s">
        <v>150</v>
      </c>
      <c r="J159" s="166"/>
      <c r="K159" s="166"/>
      <c r="L159" s="166"/>
      <c r="M159" s="166" t="s">
        <v>151</v>
      </c>
      <c r="N159" s="166" t="s">
        <v>1536</v>
      </c>
      <c r="O159" s="166" t="s">
        <v>1532</v>
      </c>
      <c r="P159" s="166"/>
      <c r="Q159" s="166"/>
      <c r="R159" s="166"/>
    </row>
    <row r="160" spans="1:18" ht="14.4" hidden="1" outlineLevel="1" x14ac:dyDescent="0.3">
      <c r="A160" s="61"/>
      <c r="B160" s="166"/>
      <c r="C160" s="161" t="s">
        <v>51</v>
      </c>
      <c r="D160" s="166" t="s">
        <v>1201</v>
      </c>
      <c r="E160" s="166" t="s">
        <v>363</v>
      </c>
      <c r="F160" s="166">
        <v>0</v>
      </c>
      <c r="G160" s="166"/>
      <c r="H160" s="166"/>
      <c r="I160" s="166" t="s">
        <v>150</v>
      </c>
      <c r="J160" s="166"/>
      <c r="K160" s="166"/>
      <c r="L160" s="166"/>
      <c r="M160" s="166" t="s">
        <v>151</v>
      </c>
      <c r="N160" s="166" t="s">
        <v>1537</v>
      </c>
      <c r="O160" s="166" t="s">
        <v>1532</v>
      </c>
      <c r="P160" s="166"/>
      <c r="Q160" s="166"/>
      <c r="R160" s="166"/>
    </row>
    <row r="161" spans="1:18" ht="14.4" hidden="1" outlineLevel="1" x14ac:dyDescent="0.3">
      <c r="A161" s="61"/>
      <c r="B161" s="166"/>
      <c r="C161" s="161" t="s">
        <v>51</v>
      </c>
      <c r="D161" s="166" t="s">
        <v>684</v>
      </c>
      <c r="E161" s="166" t="s">
        <v>363</v>
      </c>
      <c r="F161" s="166">
        <v>0</v>
      </c>
      <c r="G161" s="166"/>
      <c r="H161" s="166"/>
      <c r="I161" s="166" t="s">
        <v>150</v>
      </c>
      <c r="J161" s="166"/>
      <c r="K161" s="166"/>
      <c r="L161" s="166"/>
      <c r="M161" s="166" t="s">
        <v>151</v>
      </c>
      <c r="N161" s="226" t="s">
        <v>1538</v>
      </c>
      <c r="O161" s="166" t="s">
        <v>1532</v>
      </c>
      <c r="P161" s="166"/>
      <c r="Q161" s="166"/>
      <c r="R161" s="166"/>
    </row>
    <row r="162" spans="1:18" ht="14.4" hidden="1" outlineLevel="1" x14ac:dyDescent="0.3">
      <c r="A162" s="61"/>
      <c r="B162" s="166"/>
      <c r="C162" s="161" t="s">
        <v>51</v>
      </c>
      <c r="D162" s="166" t="s">
        <v>686</v>
      </c>
      <c r="E162" s="166" t="s">
        <v>363</v>
      </c>
      <c r="F162" s="166">
        <v>0</v>
      </c>
      <c r="G162" s="166"/>
      <c r="H162" s="166"/>
      <c r="I162" s="166" t="s">
        <v>150</v>
      </c>
      <c r="J162" s="166"/>
      <c r="K162" s="166"/>
      <c r="L162" s="166"/>
      <c r="M162" s="166" t="s">
        <v>151</v>
      </c>
      <c r="N162" s="226" t="s">
        <v>1539</v>
      </c>
      <c r="O162" s="166" t="s">
        <v>1532</v>
      </c>
      <c r="P162" s="166"/>
      <c r="Q162" s="166"/>
      <c r="R162" s="166"/>
    </row>
    <row r="163" spans="1:18" ht="14.4" hidden="1" outlineLevel="1" x14ac:dyDescent="0.3">
      <c r="A163" s="61"/>
      <c r="B163" s="166"/>
      <c r="C163" s="161" t="s">
        <v>51</v>
      </c>
      <c r="D163" s="166" t="s">
        <v>687</v>
      </c>
      <c r="E163" s="166" t="s">
        <v>363</v>
      </c>
      <c r="F163" s="166">
        <v>0</v>
      </c>
      <c r="G163" s="166"/>
      <c r="H163" s="166"/>
      <c r="I163" s="166" t="s">
        <v>150</v>
      </c>
      <c r="J163" s="166"/>
      <c r="K163" s="166"/>
      <c r="L163" s="166"/>
      <c r="M163" s="166" t="s">
        <v>151</v>
      </c>
      <c r="N163" s="226" t="s">
        <v>1540</v>
      </c>
      <c r="O163" s="166" t="s">
        <v>1532</v>
      </c>
      <c r="P163" s="166"/>
      <c r="Q163" s="166"/>
      <c r="R163" s="166"/>
    </row>
    <row r="164" spans="1:18" ht="14.4" hidden="1" outlineLevel="1" x14ac:dyDescent="0.3">
      <c r="A164" s="61"/>
      <c r="B164" s="166"/>
      <c r="C164" s="161" t="s">
        <v>51</v>
      </c>
      <c r="D164" s="166" t="s">
        <v>688</v>
      </c>
      <c r="E164" s="166" t="s">
        <v>363</v>
      </c>
      <c r="F164" s="166">
        <v>0</v>
      </c>
      <c r="G164" s="166"/>
      <c r="H164" s="166"/>
      <c r="I164" s="166" t="s">
        <v>150</v>
      </c>
      <c r="J164" s="166"/>
      <c r="K164" s="166"/>
      <c r="L164" s="166"/>
      <c r="M164" s="166" t="s">
        <v>151</v>
      </c>
      <c r="N164" s="226" t="s">
        <v>1541</v>
      </c>
      <c r="O164" s="166" t="s">
        <v>1532</v>
      </c>
      <c r="P164" s="166"/>
      <c r="Q164" s="166"/>
      <c r="R164" s="166"/>
    </row>
    <row r="165" spans="1:18" ht="14.4" hidden="1" outlineLevel="1" x14ac:dyDescent="0.3">
      <c r="A165" s="61"/>
      <c r="B165" s="166"/>
      <c r="C165" s="161" t="s">
        <v>51</v>
      </c>
      <c r="D165" s="166" t="s">
        <v>1204</v>
      </c>
      <c r="E165" s="166" t="s">
        <v>363</v>
      </c>
      <c r="F165" s="166">
        <v>0</v>
      </c>
      <c r="G165" s="166"/>
      <c r="H165" s="166"/>
      <c r="I165" s="166" t="s">
        <v>150</v>
      </c>
      <c r="J165" s="166"/>
      <c r="K165" s="166"/>
      <c r="L165" s="166"/>
      <c r="M165" s="166" t="s">
        <v>151</v>
      </c>
      <c r="N165" s="166" t="s">
        <v>1542</v>
      </c>
      <c r="O165" s="166" t="s">
        <v>1532</v>
      </c>
      <c r="P165" s="166"/>
      <c r="Q165" s="166"/>
      <c r="R165" s="166"/>
    </row>
    <row r="166" spans="1:18" ht="14.4" hidden="1" outlineLevel="1" x14ac:dyDescent="0.3">
      <c r="A166" s="61"/>
      <c r="B166" s="166"/>
      <c r="C166" s="161" t="s">
        <v>51</v>
      </c>
      <c r="D166" s="166" t="s">
        <v>1206</v>
      </c>
      <c r="E166" s="166" t="s">
        <v>363</v>
      </c>
      <c r="F166" s="166">
        <v>0</v>
      </c>
      <c r="G166" s="166"/>
      <c r="H166" s="166"/>
      <c r="I166" s="166" t="s">
        <v>150</v>
      </c>
      <c r="J166" s="166"/>
      <c r="K166" s="166"/>
      <c r="L166" s="166"/>
      <c r="M166" s="166" t="s">
        <v>151</v>
      </c>
      <c r="N166" s="166" t="s">
        <v>1543</v>
      </c>
      <c r="O166" s="166" t="s">
        <v>1532</v>
      </c>
      <c r="P166" s="166"/>
      <c r="Q166" s="166"/>
      <c r="R166" s="166"/>
    </row>
    <row r="167" spans="1:18" ht="12.75" customHeight="1" collapsed="1" x14ac:dyDescent="0.25"/>
  </sheetData>
  <autoFilter ref="B2:R2" xr:uid="{1C6F6625-DD84-4919-8A60-E79F8711FC26}"/>
  <mergeCells count="63">
    <mergeCell ref="C69:C70"/>
    <mergeCell ref="O72:O73"/>
    <mergeCell ref="O75:O76"/>
    <mergeCell ref="L72:L73"/>
    <mergeCell ref="M72:M73"/>
    <mergeCell ref="M75:M76"/>
    <mergeCell ref="L69:L70"/>
    <mergeCell ref="M69:M70"/>
    <mergeCell ref="N69:N70"/>
    <mergeCell ref="J69:J70"/>
    <mergeCell ref="K69:K70"/>
    <mergeCell ref="B59:B60"/>
    <mergeCell ref="M59:M60"/>
    <mergeCell ref="O59:O60"/>
    <mergeCell ref="N59:N60"/>
    <mergeCell ref="J59:J60"/>
    <mergeCell ref="K59:K60"/>
    <mergeCell ref="C59:C60"/>
    <mergeCell ref="D119:D120"/>
    <mergeCell ref="E119:E120"/>
    <mergeCell ref="G69:G70"/>
    <mergeCell ref="H69:H70"/>
    <mergeCell ref="I69:I70"/>
    <mergeCell ref="R75:R76"/>
    <mergeCell ref="P69:P70"/>
    <mergeCell ref="P72:P73"/>
    <mergeCell ref="P75:P76"/>
    <mergeCell ref="Q72:Q73"/>
    <mergeCell ref="Q69:Q70"/>
    <mergeCell ref="Q75:Q76"/>
    <mergeCell ref="R69:R70"/>
    <mergeCell ref="B1:O1"/>
    <mergeCell ref="L7:L8"/>
    <mergeCell ref="M7:M8"/>
    <mergeCell ref="O7:O8"/>
    <mergeCell ref="B75:B76"/>
    <mergeCell ref="C75:C76"/>
    <mergeCell ref="J75:J76"/>
    <mergeCell ref="K75:K76"/>
    <mergeCell ref="L75:L76"/>
    <mergeCell ref="B7:B8"/>
    <mergeCell ref="B9:B10"/>
    <mergeCell ref="C9:C10"/>
    <mergeCell ref="L9:L10"/>
    <mergeCell ref="M9:M10"/>
    <mergeCell ref="L59:L60"/>
    <mergeCell ref="O69:O70"/>
    <mergeCell ref="P7:P8"/>
    <mergeCell ref="Q7:Q8"/>
    <mergeCell ref="R7:R8"/>
    <mergeCell ref="C7:C8"/>
    <mergeCell ref="B72:B73"/>
    <mergeCell ref="C72:C73"/>
    <mergeCell ref="J72:J73"/>
    <mergeCell ref="K72:K73"/>
    <mergeCell ref="R72:R73"/>
    <mergeCell ref="P9:P10"/>
    <mergeCell ref="Q9:Q10"/>
    <mergeCell ref="P59:P60"/>
    <mergeCell ref="Q59:Q60"/>
    <mergeCell ref="R9:R10"/>
    <mergeCell ref="O9:O10"/>
    <mergeCell ref="F69:F70"/>
  </mergeCells>
  <phoneticPr fontId="42" type="noConversion"/>
  <conditionalFormatting sqref="C4:R4">
    <cfRule type="containsText" dxfId="27" priority="264" operator="containsText" text="N">
      <formula>NOT(ISERROR(SEARCH("N",C4)))</formula>
    </cfRule>
    <cfRule type="containsText" dxfId="26" priority="265" operator="containsText" text="S">
      <formula>NOT(ISERROR(SEARCH("S",C4)))</formula>
    </cfRule>
  </conditionalFormatting>
  <conditionalFormatting sqref="C20:R20">
    <cfRule type="containsText" dxfId="25" priority="262" operator="containsText" text="N">
      <formula>NOT(ISERROR(SEARCH("N",C20)))</formula>
    </cfRule>
    <cfRule type="containsText" dxfId="24" priority="263" operator="containsText" text="S">
      <formula>NOT(ISERROR(SEARCH("S",C20)))</formula>
    </cfRule>
  </conditionalFormatting>
  <conditionalFormatting sqref="C32:R32">
    <cfRule type="containsText" dxfId="23" priority="260" operator="containsText" text="N">
      <formula>NOT(ISERROR(SEARCH("N",C32)))</formula>
    </cfRule>
    <cfRule type="containsText" dxfId="22" priority="261" operator="containsText" text="S">
      <formula>NOT(ISERROR(SEARCH("S",C32)))</formula>
    </cfRule>
  </conditionalFormatting>
  <conditionalFormatting sqref="C36:R36">
    <cfRule type="containsText" dxfId="21" priority="16" operator="containsText" text="N">
      <formula>NOT(ISERROR(SEARCH("N",C36)))</formula>
    </cfRule>
    <cfRule type="containsText" dxfId="20" priority="17" operator="containsText" text="S">
      <formula>NOT(ISERROR(SEARCH("S",C36)))</formula>
    </cfRule>
  </conditionalFormatting>
  <conditionalFormatting sqref="C52:R52">
    <cfRule type="containsText" dxfId="19" priority="254" operator="containsText" text="N">
      <formula>NOT(ISERROR(SEARCH("N",C52)))</formula>
    </cfRule>
    <cfRule type="containsText" dxfId="18" priority="255" operator="containsText" text="S">
      <formula>NOT(ISERROR(SEARCH("S",C52)))</formula>
    </cfRule>
  </conditionalFormatting>
  <conditionalFormatting sqref="C58:R58">
    <cfRule type="containsText" dxfId="17" priority="250" operator="containsText" text="N">
      <formula>NOT(ISERROR(SEARCH("N",C58)))</formula>
    </cfRule>
    <cfRule type="containsText" dxfId="16" priority="251" operator="containsText" text="S">
      <formula>NOT(ISERROR(SEARCH("S",C58)))</formula>
    </cfRule>
  </conditionalFormatting>
  <conditionalFormatting sqref="C68:R68">
    <cfRule type="containsText" dxfId="15" priority="238" operator="containsText" text="N">
      <formula>NOT(ISERROR(SEARCH("N",C68)))</formula>
    </cfRule>
    <cfRule type="containsText" dxfId="14" priority="239" operator="containsText" text="S">
      <formula>NOT(ISERROR(SEARCH("S",C68)))</formula>
    </cfRule>
  </conditionalFormatting>
  <conditionalFormatting sqref="C78:R78">
    <cfRule type="containsText" dxfId="13" priority="206" operator="containsText" text="N">
      <formula>NOT(ISERROR(SEARCH("N",C78)))</formula>
    </cfRule>
    <cfRule type="containsText" dxfId="12" priority="207" operator="containsText" text="S">
      <formula>NOT(ISERROR(SEARCH("S",C78)))</formula>
    </cfRule>
  </conditionalFormatting>
  <conditionalFormatting sqref="C85:R85">
    <cfRule type="containsText" dxfId="11" priority="248" operator="containsText" text="N">
      <formula>NOT(ISERROR(SEARCH("N",C85)))</formula>
    </cfRule>
    <cfRule type="containsText" dxfId="10" priority="249" operator="containsText" text="S">
      <formula>NOT(ISERROR(SEARCH("S",C85)))</formula>
    </cfRule>
  </conditionalFormatting>
  <conditionalFormatting sqref="C105:R105">
    <cfRule type="containsText" dxfId="9" priority="244" operator="containsText" text="N">
      <formula>NOT(ISERROR(SEARCH("N",C105)))</formula>
    </cfRule>
    <cfRule type="containsText" dxfId="8" priority="245" operator="containsText" text="S">
      <formula>NOT(ISERROR(SEARCH("S",C105)))</formula>
    </cfRule>
  </conditionalFormatting>
  <conditionalFormatting sqref="C118:R118">
    <cfRule type="containsText" dxfId="7" priority="13" operator="containsText" text="N">
      <formula>NOT(ISERROR(SEARCH("N",C118)))</formula>
    </cfRule>
    <cfRule type="containsText" dxfId="6" priority="14" operator="containsText" text="S">
      <formula>NOT(ISERROR(SEARCH("S",C118)))</formula>
    </cfRule>
  </conditionalFormatting>
  <conditionalFormatting sqref="C122:R122">
    <cfRule type="containsText" dxfId="5" priority="49" operator="containsText" text="N">
      <formula>NOT(ISERROR(SEARCH("N",C122)))</formula>
    </cfRule>
    <cfRule type="containsText" dxfId="4" priority="50" operator="containsText" text="S">
      <formula>NOT(ISERROR(SEARCH("S",C122)))</formula>
    </cfRule>
  </conditionalFormatting>
  <conditionalFormatting sqref="C144:R144">
    <cfRule type="containsText" dxfId="3" priority="20" operator="containsText" text="N">
      <formula>NOT(ISERROR(SEARCH("N",C144)))</formula>
    </cfRule>
    <cfRule type="containsText" dxfId="2" priority="21" operator="containsText" text="S">
      <formula>NOT(ISERROR(SEARCH("S",C144)))</formula>
    </cfRule>
  </conditionalFormatting>
  <printOptions horizontalCentered="1"/>
  <pageMargins left="0.70866141732283472" right="0.70866141732283472" top="0.86614173228346458" bottom="1.299212598425197" header="0.31496062992125984" footer="0.31496062992125984"/>
  <pageSetup paperSize="8" scale="73" fitToHeight="0" orientation="landscape"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rowBreaks count="3" manualBreakCount="3">
    <brk id="35" min="1" max="16" man="1"/>
    <brk id="64" min="1" max="16" man="1"/>
    <brk id="104" min="1" max="16" man="1"/>
  </rowBreaks>
  <colBreaks count="1" manualBreakCount="1">
    <brk id="17" max="1048575" man="1"/>
  </colBreaks>
  <extLst>
    <ext xmlns:x14="http://schemas.microsoft.com/office/spreadsheetml/2009/9/main" uri="{78C0D931-6437-407d-A8EE-F0AAD7539E65}">
      <x14:conditionalFormattings>
        <x14:conditionalFormatting xmlns:xm="http://schemas.microsoft.com/office/excel/2006/main">
          <x14:cfRule type="cellIs" priority="144" operator="equal" id="{0D56E96C-03AE-47AF-9476-91A69B06394A}">
            <xm:f>'Cover Sheet'!$G$12</xm:f>
            <x14:dxf>
              <font>
                <color rgb="FF9C0006"/>
              </font>
              <fill>
                <patternFill>
                  <bgColor rgb="FFFFC7CE"/>
                </patternFill>
              </fill>
            </x14:dxf>
          </x14:cfRule>
          <xm:sqref>A88:A89</xm:sqref>
        </x14:conditionalFormatting>
        <x14:conditionalFormatting xmlns:xm="http://schemas.microsoft.com/office/excel/2006/main">
          <x14:cfRule type="cellIs" priority="12" operator="equal" id="{55402FB3-EB73-447B-97F1-EFF4585513F5}">
            <xm:f>'Cover Sheet'!$G$12</xm:f>
            <x14:dxf>
              <font>
                <color rgb="FF9C0006"/>
              </font>
              <fill>
                <patternFill>
                  <bgColor rgb="FFFFC7CE"/>
                </patternFill>
              </fill>
            </x14:dxf>
          </x14:cfRule>
          <xm:sqref>A120:C120</xm:sqref>
        </x14:conditionalFormatting>
        <x14:conditionalFormatting xmlns:xm="http://schemas.microsoft.com/office/excel/2006/main">
          <x14:cfRule type="cellIs" priority="8" operator="equal" id="{AA59AB07-F4A4-41CE-815B-9006EF8D495A}">
            <xm:f>'Cover Sheet'!$G$12</xm:f>
            <x14:dxf>
              <font>
                <color rgb="FF9C0006"/>
              </font>
              <fill>
                <patternFill>
                  <bgColor rgb="FFFFC7CE"/>
                </patternFill>
              </fill>
            </x14:dxf>
          </x14:cfRule>
          <xm:sqref>C5:C7</xm:sqref>
        </x14:conditionalFormatting>
        <x14:conditionalFormatting xmlns:xm="http://schemas.microsoft.com/office/excel/2006/main">
          <x14:cfRule type="cellIs" priority="1" operator="equal" id="{90666D10-C500-4800-A9DD-B161DCFA9CEE}">
            <xm:f>'Cover Sheet'!$G$12</xm:f>
            <x14:dxf>
              <font>
                <color rgb="FF9C0006"/>
              </font>
              <fill>
                <patternFill>
                  <bgColor rgb="FFFFC7CE"/>
                </patternFill>
              </fill>
            </x14:dxf>
          </x14:cfRule>
          <xm:sqref>C9</xm:sqref>
        </x14:conditionalFormatting>
        <x14:conditionalFormatting xmlns:xm="http://schemas.microsoft.com/office/excel/2006/main">
          <x14:cfRule type="cellIs" priority="11" operator="equal" id="{0B10384E-578C-4902-B0AE-DFFF817E60BF}">
            <xm:f>'Cover Sheet'!$G$12</xm:f>
            <x14:dxf>
              <font>
                <color rgb="FF9C0006"/>
              </font>
              <fill>
                <patternFill>
                  <bgColor rgb="FFFFC7CE"/>
                </patternFill>
              </fill>
            </x14:dxf>
          </x14:cfRule>
          <xm:sqref>C11</xm:sqref>
        </x14:conditionalFormatting>
        <x14:conditionalFormatting xmlns:xm="http://schemas.microsoft.com/office/excel/2006/main">
          <x14:cfRule type="cellIs" priority="4" operator="equal" id="{71759664-1D57-4EFA-A605-14D30A781F29}">
            <xm:f>'Cover Sheet'!$G$12</xm:f>
            <x14:dxf>
              <font>
                <color rgb="FF9C0006"/>
              </font>
              <fill>
                <patternFill>
                  <bgColor rgb="FFFFC7CE"/>
                </patternFill>
              </fill>
            </x14:dxf>
          </x14:cfRule>
          <xm:sqref>C13:C16</xm:sqref>
        </x14:conditionalFormatting>
        <x14:conditionalFormatting xmlns:xm="http://schemas.microsoft.com/office/excel/2006/main">
          <x14:cfRule type="cellIs" priority="32" operator="equal" id="{220168F6-92F4-4E4F-90C8-AA09F458A406}">
            <xm:f>'Cover Sheet'!$G$12</xm:f>
            <x14:dxf>
              <font>
                <color rgb="FF9C0006"/>
              </font>
              <fill>
                <patternFill>
                  <bgColor rgb="FFFFC7CE"/>
                </patternFill>
              </fill>
            </x14:dxf>
          </x14:cfRule>
          <xm:sqref>C19</xm:sqref>
        </x14:conditionalFormatting>
        <x14:conditionalFormatting xmlns:xm="http://schemas.microsoft.com/office/excel/2006/main">
          <x14:cfRule type="cellIs" priority="6" operator="equal" id="{343841D9-382C-4258-B8DE-F23F5959BD92}">
            <xm:f>'Cover Sheet'!$G$12</xm:f>
            <x14:dxf>
              <font>
                <color rgb="FF9C0006"/>
              </font>
              <fill>
                <patternFill>
                  <bgColor rgb="FFFFC7CE"/>
                </patternFill>
              </fill>
            </x14:dxf>
          </x14:cfRule>
          <xm:sqref>C21:C25</xm:sqref>
        </x14:conditionalFormatting>
        <x14:conditionalFormatting xmlns:xm="http://schemas.microsoft.com/office/excel/2006/main">
          <x14:cfRule type="cellIs" priority="2" operator="equal" id="{8CB50878-7C25-46D1-97E4-EDFD3F2B2DF6}">
            <xm:f>'Cover Sheet'!$G$12</xm:f>
            <x14:dxf>
              <font>
                <color rgb="FF9C0006"/>
              </font>
              <fill>
                <patternFill>
                  <bgColor rgb="FFFFC7CE"/>
                </patternFill>
              </fill>
            </x14:dxf>
          </x14:cfRule>
          <xm:sqref>C27:C28</xm:sqref>
        </x14:conditionalFormatting>
        <x14:conditionalFormatting xmlns:xm="http://schemas.microsoft.com/office/excel/2006/main">
          <x14:cfRule type="cellIs" priority="33" operator="equal" id="{FF7538BE-D182-4B75-9847-C9B609C11E1F}">
            <xm:f>'Cover Sheet'!$G$12</xm:f>
            <x14:dxf>
              <font>
                <color rgb="FF9C0006"/>
              </font>
              <fill>
                <patternFill>
                  <bgColor rgb="FFFFC7CE"/>
                </patternFill>
              </fill>
            </x14:dxf>
          </x14:cfRule>
          <xm:sqref>C31</xm:sqref>
        </x14:conditionalFormatting>
        <x14:conditionalFormatting xmlns:xm="http://schemas.microsoft.com/office/excel/2006/main">
          <x14:cfRule type="cellIs" priority="80" operator="equal" id="{96BE1095-D0CC-4E70-95CC-41CDDA30420C}">
            <xm:f>'Cover Sheet'!$G$12</xm:f>
            <x14:dxf>
              <font>
                <color rgb="FF9C0006"/>
              </font>
              <fill>
                <patternFill>
                  <bgColor rgb="FFFFC7CE"/>
                </patternFill>
              </fill>
            </x14:dxf>
          </x14:cfRule>
          <xm:sqref>C33:C35 C37:C38</xm:sqref>
        </x14:conditionalFormatting>
        <x14:conditionalFormatting xmlns:xm="http://schemas.microsoft.com/office/excel/2006/main">
          <x14:cfRule type="cellIs" priority="15" operator="equal" id="{4C379DBC-6CCE-40C3-BE34-0BDC5B492D2B}">
            <xm:f>'Cover Sheet'!$G$12</xm:f>
            <x14:dxf>
              <font>
                <color rgb="FF9C0006"/>
              </font>
              <fill>
                <patternFill>
                  <bgColor rgb="FFFFC7CE"/>
                </patternFill>
              </fill>
            </x14:dxf>
          </x14:cfRule>
          <xm:sqref>C53:C55</xm:sqref>
        </x14:conditionalFormatting>
        <x14:conditionalFormatting xmlns:xm="http://schemas.microsoft.com/office/excel/2006/main">
          <x14:cfRule type="cellIs" priority="30" operator="equal" id="{B2678F31-B046-48FE-A168-E55039BA068E}">
            <xm:f>'Cover Sheet'!$G$12</xm:f>
            <x14:dxf>
              <font>
                <color rgb="FF9C0006"/>
              </font>
              <fill>
                <patternFill>
                  <bgColor rgb="FFFFC7CE"/>
                </patternFill>
              </fill>
            </x14:dxf>
          </x14:cfRule>
          <xm:sqref>C59</xm:sqref>
        </x14:conditionalFormatting>
        <x14:conditionalFormatting xmlns:xm="http://schemas.microsoft.com/office/excel/2006/main">
          <x14:cfRule type="cellIs" priority="44" operator="equal" id="{6BA0288D-3464-43D4-A7F8-FD69EB396949}">
            <xm:f>'Cover Sheet'!$G$12</xm:f>
            <x14:dxf>
              <font>
                <color rgb="FF9C0006"/>
              </font>
              <fill>
                <patternFill>
                  <bgColor rgb="FFFFC7CE"/>
                </patternFill>
              </fill>
            </x14:dxf>
          </x14:cfRule>
          <xm:sqref>C69</xm:sqref>
        </x14:conditionalFormatting>
        <x14:conditionalFormatting xmlns:xm="http://schemas.microsoft.com/office/excel/2006/main">
          <x14:cfRule type="cellIs" priority="27" operator="equal" id="{575064A1-F6F3-4A90-95F2-17A7DB367AD1}">
            <xm:f>'Cover Sheet'!$G$12</xm:f>
            <x14:dxf>
              <font>
                <color rgb="FF9C0006"/>
              </font>
              <fill>
                <patternFill>
                  <bgColor rgb="FFFFC7CE"/>
                </patternFill>
              </fill>
            </x14:dxf>
          </x14:cfRule>
          <xm:sqref>C97</xm:sqref>
        </x14:conditionalFormatting>
        <x14:conditionalFormatting xmlns:xm="http://schemas.microsoft.com/office/excel/2006/main">
          <x14:cfRule type="cellIs" priority="5" operator="equal" id="{CC09A415-7FDD-4250-A721-CA1EE3810EC6}">
            <xm:f>'Cover Sheet'!$G$12</xm:f>
            <x14:dxf>
              <font>
                <color rgb="FF9C0006"/>
              </font>
              <fill>
                <patternFill>
                  <bgColor rgb="FFFFC7CE"/>
                </patternFill>
              </fill>
            </x14:dxf>
          </x14:cfRule>
          <xm:sqref>C116:C117</xm:sqref>
        </x14:conditionalFormatting>
        <x14:conditionalFormatting xmlns:xm="http://schemas.microsoft.com/office/excel/2006/main">
          <x14:cfRule type="cellIs" priority="54" operator="equal" id="{B0DCF4FE-2E04-49B3-867D-A3BC879EB512}">
            <xm:f>'Cover Sheet'!$G$12</xm:f>
            <x14:dxf>
              <font>
                <color rgb="FF9C0006"/>
              </font>
              <fill>
                <patternFill>
                  <bgColor rgb="FFFFC7CE"/>
                </patternFill>
              </fill>
            </x14:dxf>
          </x14:cfRule>
          <xm:sqref>C121:C122</xm:sqref>
        </x14:conditionalFormatting>
        <x14:conditionalFormatting xmlns:xm="http://schemas.microsoft.com/office/excel/2006/main">
          <x14:cfRule type="cellIs" priority="119" operator="equal" id="{898BD3A1-FCD9-4D21-8777-12050705B14D}">
            <xm:f>'Cover Sheet'!$G$12</xm:f>
            <x14:dxf>
              <font>
                <color rgb="FF9C0006"/>
              </font>
              <fill>
                <patternFill>
                  <bgColor rgb="FFFFC7CE"/>
                </patternFill>
              </fill>
            </x14:dxf>
          </x14:cfRule>
          <xm:sqref>C88:O89 R88:R89</xm:sqref>
        </x14:conditionalFormatting>
        <x14:conditionalFormatting xmlns:xm="http://schemas.microsoft.com/office/excel/2006/main">
          <x14:cfRule type="cellIs" priority="117" operator="equal" id="{FA814044-9DC7-4B90-9DE5-3F8F61A7559D}">
            <xm:f>'Cover Sheet'!$G$12</xm:f>
            <x14:dxf>
              <font>
                <color rgb="FF9C0006"/>
              </font>
              <fill>
                <patternFill>
                  <bgColor rgb="FFFFC7CE"/>
                </patternFill>
              </fill>
            </x14:dxf>
          </x14:cfRule>
          <xm:sqref>D104</xm:sqref>
        </x14:conditionalFormatting>
        <x14:conditionalFormatting xmlns:xm="http://schemas.microsoft.com/office/excel/2006/main">
          <x14:cfRule type="cellIs" priority="118" operator="equal" id="{36102D7F-75E1-4521-9826-69A519C22322}">
            <xm:f>'Cover Sheet'!$G$12</xm:f>
            <x14:dxf>
              <font>
                <color rgb="FF9C0006"/>
              </font>
              <fill>
                <patternFill>
                  <bgColor rgb="FFFFC7CE"/>
                </patternFill>
              </fill>
            </x14:dxf>
          </x14:cfRule>
          <xm:sqref>F104:N104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88665-9C01-44E3-AE03-095437DE8F49}">
  <sheetPr codeName="Tabelle8">
    <tabColor rgb="FF00B0F0"/>
    <pageSetUpPr fitToPage="1"/>
  </sheetPr>
  <dimension ref="A2:H16"/>
  <sheetViews>
    <sheetView zoomScale="115" zoomScaleNormal="115" workbookViewId="0">
      <selection activeCell="L16" sqref="L16"/>
    </sheetView>
  </sheetViews>
  <sheetFormatPr baseColWidth="10" defaultColWidth="11.44140625" defaultRowHeight="13.2" x14ac:dyDescent="0.25"/>
  <cols>
    <col min="1" max="1" width="12.109375" customWidth="1"/>
    <col min="6" max="6" width="12" bestFit="1" customWidth="1"/>
  </cols>
  <sheetData>
    <row r="2" spans="1:8" ht="21" x14ac:dyDescent="0.4">
      <c r="A2" s="142" t="s">
        <v>1544</v>
      </c>
    </row>
    <row r="5" spans="1:8" x14ac:dyDescent="0.25">
      <c r="A5" s="44" t="s">
        <v>1545</v>
      </c>
    </row>
    <row r="6" spans="1:8" x14ac:dyDescent="0.25">
      <c r="A6" s="44" t="s">
        <v>1546</v>
      </c>
    </row>
    <row r="7" spans="1:8" x14ac:dyDescent="0.25">
      <c r="A7" s="44"/>
    </row>
    <row r="8" spans="1:8" x14ac:dyDescent="0.25">
      <c r="D8" s="127" t="s">
        <v>1547</v>
      </c>
      <c r="E8" s="127" t="s">
        <v>1548</v>
      </c>
      <c r="F8" s="127" t="s">
        <v>1548</v>
      </c>
      <c r="G8" s="127" t="s">
        <v>1549</v>
      </c>
      <c r="H8" s="127" t="s">
        <v>1548</v>
      </c>
    </row>
    <row r="9" spans="1:8" ht="14.4" x14ac:dyDescent="0.3">
      <c r="C9" s="133" t="s">
        <v>1550</v>
      </c>
      <c r="D9" s="134" t="s">
        <v>1551</v>
      </c>
      <c r="E9" s="151" t="s">
        <v>1552</v>
      </c>
      <c r="F9" s="151" t="s">
        <v>1553</v>
      </c>
      <c r="G9" s="151" t="s">
        <v>1554</v>
      </c>
      <c r="H9" s="134" t="s">
        <v>1555</v>
      </c>
    </row>
    <row r="10" spans="1:8" ht="14.4" x14ac:dyDescent="0.3">
      <c r="C10" s="644">
        <v>0</v>
      </c>
      <c r="D10" s="135">
        <v>5</v>
      </c>
      <c r="E10" s="645">
        <v>12.2</v>
      </c>
      <c r="F10" s="645">
        <v>13.2</v>
      </c>
      <c r="G10" s="1308" t="s">
        <v>211</v>
      </c>
      <c r="H10" s="645">
        <v>20</v>
      </c>
    </row>
    <row r="11" spans="1:8" ht="14.4" x14ac:dyDescent="0.3">
      <c r="C11" s="646">
        <f>2*3000</f>
        <v>6000</v>
      </c>
      <c r="D11" s="135">
        <v>10.3</v>
      </c>
      <c r="E11" s="645">
        <v>12.3</v>
      </c>
      <c r="F11" s="645">
        <v>13.3</v>
      </c>
      <c r="G11" s="728"/>
      <c r="H11" s="645">
        <v>22</v>
      </c>
    </row>
    <row r="12" spans="1:8" ht="14.4" x14ac:dyDescent="0.3">
      <c r="C12" s="646">
        <f>4*3000</f>
        <v>12000</v>
      </c>
      <c r="D12" s="135">
        <v>13.7</v>
      </c>
      <c r="E12" s="645">
        <v>15.7</v>
      </c>
      <c r="F12" s="645">
        <v>16.7</v>
      </c>
      <c r="G12" s="728"/>
      <c r="H12" s="645">
        <v>24</v>
      </c>
    </row>
    <row r="13" spans="1:8" ht="14.4" x14ac:dyDescent="0.3">
      <c r="C13" s="646">
        <f>4*5000</f>
        <v>20000</v>
      </c>
      <c r="D13" s="135">
        <v>17.5</v>
      </c>
      <c r="E13" s="645">
        <v>19.5</v>
      </c>
      <c r="F13" s="645">
        <v>20.5</v>
      </c>
      <c r="G13" s="728"/>
      <c r="H13" s="645">
        <v>26.666666666666664</v>
      </c>
    </row>
    <row r="14" spans="1:8" ht="14.4" x14ac:dyDescent="0.3">
      <c r="C14" s="646">
        <f>4*6500</f>
        <v>26000</v>
      </c>
      <c r="D14" s="135">
        <v>19.399999999999999</v>
      </c>
      <c r="E14" s="645">
        <v>21.4</v>
      </c>
      <c r="F14" s="645">
        <v>22.4</v>
      </c>
      <c r="G14" s="728"/>
      <c r="H14" s="645">
        <v>28.666666666666668</v>
      </c>
    </row>
    <row r="15" spans="1:8" ht="14.4" x14ac:dyDescent="0.3">
      <c r="B15" s="127" t="s">
        <v>1556</v>
      </c>
      <c r="C15" s="646">
        <f>4*7500</f>
        <v>30000</v>
      </c>
      <c r="D15" s="135">
        <v>20.399999999999999</v>
      </c>
      <c r="E15" s="645">
        <v>22.4</v>
      </c>
      <c r="F15" s="645">
        <v>23.4</v>
      </c>
      <c r="G15" s="728"/>
      <c r="H15" s="645">
        <v>30</v>
      </c>
    </row>
    <row r="16" spans="1:8" ht="14.4" x14ac:dyDescent="0.3">
      <c r="B16" s="355" t="s">
        <v>1557</v>
      </c>
      <c r="C16" s="647">
        <f>4*7800</f>
        <v>31200</v>
      </c>
      <c r="D16" s="275">
        <v>20.7</v>
      </c>
      <c r="E16" s="648">
        <v>22.7</v>
      </c>
      <c r="F16" s="648">
        <v>23.7</v>
      </c>
      <c r="G16" s="1309"/>
      <c r="H16" s="648">
        <v>30.4</v>
      </c>
    </row>
  </sheetData>
  <mergeCells count="1">
    <mergeCell ref="G10:G16"/>
  </mergeCells>
  <printOptions horizontalCentered="1"/>
  <pageMargins left="0.70866141732283472" right="0.70866141732283472" top="0.86614173228346458" bottom="1.299212598425197" header="0.31496062992125984" footer="0.31496062992125984"/>
  <pageSetup paperSize="9" scale="64" fitToHeight="0" orientation="portrait"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2BE5-B468-4DBC-985A-81659698517D}">
  <sheetPr codeName="Tabelle10" filterMode="1"/>
  <dimension ref="A1:BO800"/>
  <sheetViews>
    <sheetView zoomScale="85" zoomScaleNormal="85" workbookViewId="0">
      <pane xSplit="5" ySplit="1" topLeftCell="F32" activePane="bottomRight" state="frozen"/>
      <selection pane="topRight" activeCell="F1" sqref="F1"/>
      <selection pane="bottomLeft" activeCell="A2" sqref="A2"/>
      <selection pane="bottomRight" activeCell="D29" sqref="C29:D29"/>
    </sheetView>
  </sheetViews>
  <sheetFormatPr baseColWidth="10" defaultColWidth="9.33203125" defaultRowHeight="14.4" x14ac:dyDescent="0.3"/>
  <cols>
    <col min="1" max="1" width="17.6640625" style="29" bestFit="1" customWidth="1"/>
    <col min="2" max="2" width="24.33203125" style="36" customWidth="1"/>
    <col min="3" max="3" width="27.6640625" style="45" bestFit="1" customWidth="1"/>
    <col min="4" max="4" width="42.33203125" style="34" bestFit="1" customWidth="1"/>
    <col min="5" max="5" width="3" style="31" bestFit="1" customWidth="1"/>
    <col min="6" max="6" width="254.5546875" style="32" bestFit="1" customWidth="1"/>
    <col min="7" max="7" width="11.6640625" style="29" customWidth="1"/>
    <col min="8" max="8" width="29" style="29" customWidth="1"/>
    <col min="9" max="9" width="19.6640625" style="29" customWidth="1"/>
    <col min="10" max="10" width="31.6640625" style="29" customWidth="1"/>
    <col min="11" max="11" width="7.44140625" style="29" customWidth="1"/>
    <col min="12" max="12" width="27.44140625" style="29" customWidth="1"/>
    <col min="13" max="13" width="15.33203125" style="29" customWidth="1"/>
    <col min="14" max="14" width="35.33203125" style="29" customWidth="1"/>
    <col min="15" max="15" width="13.44140625" style="29" customWidth="1"/>
    <col min="16" max="16" width="60.44140625" style="29" customWidth="1"/>
    <col min="17" max="17" width="21.44140625" style="29" customWidth="1"/>
    <col min="18" max="18" width="33.44140625" style="29" bestFit="1" customWidth="1"/>
    <col min="19" max="19" width="10.6640625" style="29" bestFit="1" customWidth="1"/>
    <col min="20" max="20" width="73.44140625" style="29" bestFit="1" customWidth="1"/>
    <col min="21" max="21" width="9.44140625" style="29" bestFit="1" customWidth="1"/>
    <col min="22" max="22" width="45" style="29" bestFit="1" customWidth="1"/>
    <col min="23" max="23" width="14" style="29" customWidth="1"/>
    <col min="24" max="24" width="15.5546875" style="29" bestFit="1" customWidth="1"/>
    <col min="25" max="26" width="16" style="29" bestFit="1" customWidth="1"/>
    <col min="27" max="27" width="15.6640625" style="29" bestFit="1" customWidth="1"/>
    <col min="28" max="28" width="20.5546875" style="29" bestFit="1" customWidth="1"/>
    <col min="29" max="29" width="18.5546875" style="29" bestFit="1" customWidth="1"/>
    <col min="30" max="30" width="28.6640625" style="29" bestFit="1" customWidth="1"/>
    <col min="31" max="31" width="9.44140625" style="29" bestFit="1" customWidth="1"/>
    <col min="32" max="32" width="14.6640625" style="29" bestFit="1" customWidth="1"/>
    <col min="33" max="33" width="11.6640625" style="29" bestFit="1" customWidth="1"/>
    <col min="34" max="34" width="8.6640625" style="29" bestFit="1" customWidth="1"/>
    <col min="35" max="35" width="16" style="29" bestFit="1" customWidth="1"/>
    <col min="36" max="36" width="16.6640625" style="29" bestFit="1" customWidth="1"/>
    <col min="37" max="37" width="17.6640625" style="29" bestFit="1" customWidth="1"/>
    <col min="38" max="38" width="4.6640625" style="29" bestFit="1" customWidth="1"/>
    <col min="39" max="39" width="5.6640625" style="29" bestFit="1" customWidth="1"/>
    <col min="40" max="40" width="10.6640625" style="29" bestFit="1" customWidth="1"/>
    <col min="41" max="41" width="4.5546875" style="29" bestFit="1" customWidth="1"/>
    <col min="42" max="42" width="10.6640625" style="29" bestFit="1" customWidth="1"/>
    <col min="43" max="43" width="4.33203125" style="29" bestFit="1" customWidth="1"/>
    <col min="44" max="44" width="10.6640625" style="29" bestFit="1" customWidth="1"/>
    <col min="45" max="45" width="5" style="29" bestFit="1" customWidth="1"/>
    <col min="46" max="46" width="10.6640625" style="29" bestFit="1" customWidth="1"/>
    <col min="47" max="47" width="14.5546875" style="29" bestFit="1" customWidth="1"/>
    <col min="48" max="48" width="8" style="29" bestFit="1" customWidth="1"/>
    <col min="49" max="49" width="39" style="29" bestFit="1" customWidth="1"/>
    <col min="50" max="50" width="59.44140625" style="29" bestFit="1" customWidth="1"/>
    <col min="51" max="51" width="13.5546875" style="29" customWidth="1"/>
    <col min="52" max="52" width="9" style="29" customWidth="1"/>
    <col min="53" max="53" width="5.6640625" style="29" customWidth="1"/>
    <col min="54" max="54" width="35.33203125" style="29" bestFit="1" customWidth="1"/>
    <col min="55" max="55" width="20.44140625" style="29" bestFit="1" customWidth="1"/>
    <col min="56" max="56" width="14.44140625" style="29" bestFit="1" customWidth="1"/>
    <col min="57" max="57" width="17.6640625" style="29" bestFit="1" customWidth="1"/>
    <col min="58" max="58" width="8.33203125" style="29" bestFit="1" customWidth="1"/>
    <col min="59" max="16384" width="9.33203125" style="29"/>
  </cols>
  <sheetData>
    <row r="1" spans="1:67" x14ac:dyDescent="0.3">
      <c r="A1" s="29" t="s">
        <v>134</v>
      </c>
      <c r="B1" s="36" t="s">
        <v>1558</v>
      </c>
      <c r="C1" s="45" t="s">
        <v>1559</v>
      </c>
      <c r="D1" s="30" t="s">
        <v>1560</v>
      </c>
      <c r="F1" s="32" t="s">
        <v>1561</v>
      </c>
      <c r="G1" s="29" t="s">
        <v>1562</v>
      </c>
      <c r="H1" s="29" t="s">
        <v>1563</v>
      </c>
      <c r="I1" s="29" t="s">
        <v>1564</v>
      </c>
      <c r="J1" s="29" t="s">
        <v>1565</v>
      </c>
      <c r="K1" s="29" t="s">
        <v>1566</v>
      </c>
      <c r="L1" s="29" t="s">
        <v>1567</v>
      </c>
      <c r="M1" s="29" t="s">
        <v>1568</v>
      </c>
      <c r="N1" s="29" t="s">
        <v>1569</v>
      </c>
      <c r="O1" s="29" t="s">
        <v>1570</v>
      </c>
      <c r="P1" s="29" t="s">
        <v>1571</v>
      </c>
      <c r="Q1" s="29" t="s">
        <v>1572</v>
      </c>
      <c r="R1" s="29" t="s">
        <v>1573</v>
      </c>
      <c r="S1" s="29" t="s">
        <v>1558</v>
      </c>
      <c r="T1" s="29" t="s">
        <v>1574</v>
      </c>
      <c r="U1" s="29" t="s">
        <v>1575</v>
      </c>
      <c r="V1" s="29" t="s">
        <v>1576</v>
      </c>
      <c r="W1" s="29" t="s">
        <v>1577</v>
      </c>
      <c r="X1" s="29" t="s">
        <v>1578</v>
      </c>
      <c r="Y1" s="29" t="s">
        <v>1579</v>
      </c>
      <c r="Z1" s="29" t="s">
        <v>1580</v>
      </c>
      <c r="AA1" s="29" t="s">
        <v>1581</v>
      </c>
      <c r="AB1" s="29" t="s">
        <v>1582</v>
      </c>
      <c r="AC1" s="29" t="s">
        <v>1583</v>
      </c>
      <c r="AD1" s="29" t="s">
        <v>1584</v>
      </c>
      <c r="AE1" s="29" t="s">
        <v>1584</v>
      </c>
      <c r="AF1" s="29" t="s">
        <v>1585</v>
      </c>
      <c r="AG1" s="29" t="s">
        <v>1586</v>
      </c>
      <c r="AH1" s="29" t="s">
        <v>1587</v>
      </c>
      <c r="AI1" s="29" t="s">
        <v>1588</v>
      </c>
      <c r="AJ1" s="29" t="s">
        <v>1589</v>
      </c>
      <c r="AK1" s="29" t="s">
        <v>1590</v>
      </c>
      <c r="AL1" s="29" t="s">
        <v>1591</v>
      </c>
      <c r="AM1" s="29" t="s">
        <v>1592</v>
      </c>
      <c r="AN1" s="29" t="s">
        <v>1593</v>
      </c>
      <c r="AO1" s="29" t="s">
        <v>1594</v>
      </c>
      <c r="AP1" s="29" t="s">
        <v>1595</v>
      </c>
      <c r="AQ1" s="29" t="s">
        <v>134</v>
      </c>
      <c r="AR1" s="29" t="s">
        <v>1596</v>
      </c>
      <c r="AS1" s="29" t="s">
        <v>1597</v>
      </c>
      <c r="AT1" s="29" t="s">
        <v>1598</v>
      </c>
      <c r="AU1" s="29" t="s">
        <v>1597</v>
      </c>
      <c r="AV1" s="29" t="s">
        <v>1599</v>
      </c>
      <c r="AW1" s="29" t="s">
        <v>1597</v>
      </c>
      <c r="AX1" s="29" t="s">
        <v>1600</v>
      </c>
      <c r="AY1" s="29" t="s">
        <v>1597</v>
      </c>
      <c r="AZ1" s="29" t="s">
        <v>1601</v>
      </c>
      <c r="BA1" s="29" t="s">
        <v>1602</v>
      </c>
      <c r="BB1" s="29" t="s">
        <v>1603</v>
      </c>
      <c r="BC1" s="29" t="s">
        <v>1604</v>
      </c>
      <c r="BD1" s="29" t="s">
        <v>1605</v>
      </c>
      <c r="BE1" s="29" t="s">
        <v>1606</v>
      </c>
      <c r="BF1" s="29" t="s">
        <v>1607</v>
      </c>
      <c r="BG1" s="29" t="s">
        <v>1608</v>
      </c>
      <c r="BH1" s="29" t="s">
        <v>1609</v>
      </c>
      <c r="BI1" s="29" t="s">
        <v>1610</v>
      </c>
      <c r="BJ1" s="29" t="s">
        <v>1611</v>
      </c>
      <c r="BO1" s="29" t="str" cm="1">
        <f t="array" ref="BO1:BO19">_xlfn.UNIQUE(BK2:BK800,FALSE,FALSE)</f>
        <v>U012UNA01UH100</v>
      </c>
    </row>
    <row r="2" spans="1:67" x14ac:dyDescent="0.3">
      <c r="A2" s="29" t="s">
        <v>1612</v>
      </c>
      <c r="B2" s="36" t="str">
        <f t="shared" ref="B2:B65" si="0">RIGHT(A2,LEN(A2)-1)&amp;S2</f>
        <v>G01NHC01BQ001-BF01</v>
      </c>
      <c r="C2" s="33" t="s">
        <v>1613</v>
      </c>
      <c r="D2" s="34" t="str">
        <f t="shared" ref="D2:D65" si="1">UPPER(W2&amp;" "&amp;X2&amp;" "&amp;Y2&amp;" "&amp;Z2&amp;" "&amp;AA2)</f>
        <v>ELY1 H2 TRT QUAL FLOW1 CB ON/OPN/MIN1</v>
      </c>
      <c r="E2" s="31">
        <f t="shared" ref="E2:E65" si="2">LEN(D2)</f>
        <v>37</v>
      </c>
      <c r="F2" s="32" t="str">
        <f t="shared" ref="F2:F65" si="3">UPPER(H2&amp;" "&amp;J2&amp;" "&amp;L2&amp;" "&amp;N2&amp;" "&amp;P2&amp;" "&amp;R2&amp;" "&amp;T2&amp;" "&amp;V2)</f>
        <v>ELECTROLYSIS SYSTEM ELECTROLYSIS ARRAY 1 H2 TREATMENT H2 TREATMENT SYSTEM QUALITY MEASURING SYSTEM O2 IN H2 MEASURING SYSTEM 10301; FLOWMETER GENERAL CHECK BACK OFF/CLOSED // LIMIT VALUE &gt;MIN 1</v>
      </c>
      <c r="G2" s="29" t="s">
        <v>1614</v>
      </c>
      <c r="H2" s="29" t="s">
        <v>1615</v>
      </c>
      <c r="I2" s="29" t="str">
        <f t="shared" ref="I2:I65" si="4">RIGHT(LEFT(A2,4),2)</f>
        <v>01</v>
      </c>
      <c r="J2" s="29" t="s">
        <v>1616</v>
      </c>
      <c r="K2" s="29" t="s">
        <v>1617</v>
      </c>
      <c r="L2" s="29" t="s">
        <v>1618</v>
      </c>
      <c r="M2" s="29" t="s">
        <v>1619</v>
      </c>
      <c r="N2" s="29" t="s">
        <v>1620</v>
      </c>
      <c r="O2" s="29" t="s">
        <v>1621</v>
      </c>
      <c r="P2" s="29" t="s">
        <v>1622</v>
      </c>
      <c r="Q2" s="29" t="s">
        <v>1623</v>
      </c>
      <c r="R2" s="29" t="s">
        <v>1624</v>
      </c>
      <c r="S2" s="29" t="s">
        <v>1625</v>
      </c>
      <c r="T2" s="29" t="s">
        <v>1626</v>
      </c>
      <c r="U2" s="29" t="s">
        <v>371</v>
      </c>
      <c r="V2" s="29" t="s">
        <v>1627</v>
      </c>
      <c r="W2" s="35" t="s">
        <v>1628</v>
      </c>
      <c r="X2" s="35" t="s">
        <v>1629</v>
      </c>
      <c r="Y2" s="35" t="s">
        <v>1630</v>
      </c>
      <c r="Z2" s="35" t="s">
        <v>1631</v>
      </c>
      <c r="AA2" s="35" t="s">
        <v>1632</v>
      </c>
      <c r="AB2" s="29" t="s">
        <v>1625</v>
      </c>
      <c r="AC2" s="35" t="s">
        <v>1633</v>
      </c>
      <c r="AD2" s="35" t="s">
        <v>1634</v>
      </c>
      <c r="AE2" s="35" t="s">
        <v>1634</v>
      </c>
      <c r="AF2" s="35" t="s">
        <v>1635</v>
      </c>
      <c r="AG2" s="35" t="s">
        <v>1636</v>
      </c>
      <c r="AI2" s="35"/>
      <c r="AJ2" s="35" t="s">
        <v>1637</v>
      </c>
      <c r="AK2" s="35" t="s">
        <v>1638</v>
      </c>
      <c r="AL2" s="29" t="s">
        <v>1639</v>
      </c>
      <c r="AM2" s="35"/>
      <c r="AN2" s="35"/>
      <c r="AO2" s="35"/>
      <c r="AP2" s="35"/>
      <c r="AQ2" s="35"/>
      <c r="AS2" s="35"/>
      <c r="AT2" s="29" t="s">
        <v>1640</v>
      </c>
      <c r="AU2" s="35"/>
      <c r="AV2" s="29" t="s">
        <v>1641</v>
      </c>
      <c r="AW2" s="35"/>
      <c r="AY2" s="35"/>
      <c r="AZ2" s="35" t="s">
        <v>1642</v>
      </c>
      <c r="BA2" s="35"/>
      <c r="BB2" s="29" t="s">
        <v>1643</v>
      </c>
      <c r="BC2" s="29" t="s">
        <v>1644</v>
      </c>
      <c r="BD2" s="29" t="s">
        <v>1645</v>
      </c>
      <c r="BE2" s="29" t="s">
        <v>1646</v>
      </c>
      <c r="BF2" s="29" t="s">
        <v>1619</v>
      </c>
      <c r="BG2" s="29" t="s">
        <v>1647</v>
      </c>
      <c r="BH2" s="29" t="s">
        <v>1648</v>
      </c>
      <c r="BI2" s="35"/>
      <c r="BJ2" s="35"/>
      <c r="BK2" s="29" t="str" cm="1">
        <f t="array" ref="BK2">_xlfn.UNIQUE(MID(BB2,16,14))</f>
        <v>U012UNA01UH100</v>
      </c>
      <c r="BO2" s="29">
        <v>0</v>
      </c>
    </row>
    <row r="3" spans="1:67" x14ac:dyDescent="0.3">
      <c r="A3" s="29" t="s">
        <v>1649</v>
      </c>
      <c r="B3" s="36" t="str">
        <f t="shared" si="0"/>
        <v>A01GCF01CM001-BL01</v>
      </c>
      <c r="C3" s="33" t="s">
        <v>1650</v>
      </c>
      <c r="D3" s="34" t="str">
        <f t="shared" si="1"/>
        <v>AUX DEMIN SUP TNK1 LVL1 ANALOG1</v>
      </c>
      <c r="E3" s="31">
        <f t="shared" si="2"/>
        <v>31</v>
      </c>
      <c r="F3" s="32" t="str">
        <f t="shared" si="3"/>
        <v>ANCILLARY/AUXILIARY SYSTEMS AUXILLIARY SYSTEMS DEMIN WATER SUPPLY SYSTEM DEMIN WATER SUPPLY SYSTEM 1 BUFFER TANK BUFFER TANK 1 LEVEL - BUFFER TANK ANALOG PROCESS SIGNAL</v>
      </c>
      <c r="G3" s="29" t="s">
        <v>1651</v>
      </c>
      <c r="H3" s="29" t="s">
        <v>1652</v>
      </c>
      <c r="I3" s="29" t="str">
        <f t="shared" si="4"/>
        <v>01</v>
      </c>
      <c r="J3" s="29" t="s">
        <v>1653</v>
      </c>
      <c r="K3" s="29" t="s">
        <v>1654</v>
      </c>
      <c r="L3" s="29" t="s">
        <v>1655</v>
      </c>
      <c r="M3" s="29" t="s">
        <v>1619</v>
      </c>
      <c r="N3" s="29" t="s">
        <v>1656</v>
      </c>
      <c r="O3" s="29" t="s">
        <v>1657</v>
      </c>
      <c r="P3" s="29" t="s">
        <v>1658</v>
      </c>
      <c r="Q3" s="29" t="s">
        <v>1623</v>
      </c>
      <c r="R3" s="29" t="s">
        <v>1659</v>
      </c>
      <c r="S3" s="29" t="s">
        <v>1660</v>
      </c>
      <c r="T3" s="29" t="s">
        <v>1661</v>
      </c>
      <c r="U3" s="29" t="s">
        <v>193</v>
      </c>
      <c r="V3" s="29" t="s">
        <v>1083</v>
      </c>
      <c r="W3" s="35" t="s">
        <v>1662</v>
      </c>
      <c r="X3" s="35" t="s">
        <v>1663</v>
      </c>
      <c r="Y3" s="35" t="s">
        <v>1664</v>
      </c>
      <c r="Z3" s="35" t="s">
        <v>1665</v>
      </c>
      <c r="AA3" s="35" t="s">
        <v>1666</v>
      </c>
      <c r="AB3" s="29" t="s">
        <v>1667</v>
      </c>
      <c r="AC3" s="35" t="s">
        <v>1633</v>
      </c>
      <c r="AD3" s="35" t="s">
        <v>1668</v>
      </c>
      <c r="AE3" s="35" t="s">
        <v>1668</v>
      </c>
      <c r="AF3" s="35" t="s">
        <v>1669</v>
      </c>
      <c r="AG3" s="35" t="s">
        <v>1670</v>
      </c>
      <c r="AI3" s="35"/>
      <c r="AJ3" s="35" t="s">
        <v>1671</v>
      </c>
      <c r="AK3" s="35" t="s">
        <v>1672</v>
      </c>
      <c r="AL3" s="29" t="s">
        <v>1673</v>
      </c>
      <c r="AM3" s="35"/>
      <c r="AN3" s="35"/>
      <c r="AO3" s="35"/>
      <c r="AP3" s="35"/>
      <c r="AQ3" s="35"/>
      <c r="AS3" s="35"/>
      <c r="AT3" s="29" t="s">
        <v>1640</v>
      </c>
      <c r="AU3" s="35"/>
      <c r="AV3" s="29" t="s">
        <v>1641</v>
      </c>
      <c r="AW3" s="35"/>
      <c r="AX3" s="29" t="s">
        <v>1674</v>
      </c>
      <c r="AY3" s="35"/>
      <c r="AZ3" s="35"/>
      <c r="BA3" s="35"/>
      <c r="BH3" s="29" t="s">
        <v>1675</v>
      </c>
      <c r="BI3" s="35"/>
      <c r="BJ3" s="35"/>
      <c r="BO3" s="29" t="str">
        <v/>
      </c>
    </row>
    <row r="4" spans="1:67" x14ac:dyDescent="0.3">
      <c r="A4" s="29" t="s">
        <v>1676</v>
      </c>
      <c r="B4" s="36" t="str">
        <f t="shared" si="0"/>
        <v>A01GCF01GP001-BP01</v>
      </c>
      <c r="C4" s="33" t="s">
        <v>1677</v>
      </c>
      <c r="D4" s="34" t="str">
        <f t="shared" si="1"/>
        <v>AUX DEMIN SUP PMP1 PRES1 ANALOG1</v>
      </c>
      <c r="E4" s="31">
        <f t="shared" si="2"/>
        <v>32</v>
      </c>
      <c r="F4" s="32" t="str">
        <f t="shared" si="3"/>
        <v>ANCILLARY/AUXILIARY SYSTEMS AUXILLIARY SYSTEMS DEMIN WATER SUPPLY SYSTEM DEMIN WATER SUPPLY SYSTEM 1 PUMP SYSTEM PUMP SYSTEM 1 PRESSURE - DEMIN WATER OUTLET ANALOG PROCESS SIGNAL</v>
      </c>
      <c r="G4" s="29" t="s">
        <v>1651</v>
      </c>
      <c r="H4" s="29" t="s">
        <v>1652</v>
      </c>
      <c r="I4" s="29" t="str">
        <f t="shared" si="4"/>
        <v>01</v>
      </c>
      <c r="J4" s="29" t="s">
        <v>1653</v>
      </c>
      <c r="K4" s="29" t="s">
        <v>1654</v>
      </c>
      <c r="L4" s="29" t="s">
        <v>1655</v>
      </c>
      <c r="M4" s="29" t="s">
        <v>1619</v>
      </c>
      <c r="N4" s="29" t="s">
        <v>1656</v>
      </c>
      <c r="O4" s="29" t="s">
        <v>1678</v>
      </c>
      <c r="P4" s="29" t="s">
        <v>1679</v>
      </c>
      <c r="Q4" s="29" t="s">
        <v>1623</v>
      </c>
      <c r="R4" s="29" t="s">
        <v>1680</v>
      </c>
      <c r="S4" s="29" t="s">
        <v>1681</v>
      </c>
      <c r="T4" s="29" t="s">
        <v>1682</v>
      </c>
      <c r="U4" s="29" t="s">
        <v>193</v>
      </c>
      <c r="V4" s="29" t="s">
        <v>1083</v>
      </c>
      <c r="W4" s="35" t="s">
        <v>1662</v>
      </c>
      <c r="X4" s="35" t="s">
        <v>1663</v>
      </c>
      <c r="Y4" s="35" t="s">
        <v>1683</v>
      </c>
      <c r="Z4" s="35" t="s">
        <v>1684</v>
      </c>
      <c r="AA4" s="35" t="s">
        <v>1666</v>
      </c>
      <c r="AB4" s="29" t="s">
        <v>1667</v>
      </c>
      <c r="AC4" s="35" t="s">
        <v>1633</v>
      </c>
      <c r="AD4" s="35" t="s">
        <v>1668</v>
      </c>
      <c r="AE4" s="35" t="s">
        <v>1668</v>
      </c>
      <c r="AF4" s="35" t="s">
        <v>1669</v>
      </c>
      <c r="AG4" s="35" t="s">
        <v>1670</v>
      </c>
      <c r="AI4" s="35"/>
      <c r="AJ4" s="35" t="s">
        <v>1671</v>
      </c>
      <c r="AK4" s="35" t="s">
        <v>1672</v>
      </c>
      <c r="AL4" s="29" t="s">
        <v>1685</v>
      </c>
      <c r="AM4" s="35"/>
      <c r="AN4" s="35"/>
      <c r="AO4" s="35"/>
      <c r="AP4" s="35"/>
      <c r="AQ4" s="35"/>
      <c r="AS4" s="35"/>
      <c r="AT4" s="29" t="s">
        <v>1640</v>
      </c>
      <c r="AU4" s="35"/>
      <c r="AV4" s="29" t="s">
        <v>1641</v>
      </c>
      <c r="AW4" s="35"/>
      <c r="AY4" s="35"/>
      <c r="AZ4" s="35"/>
      <c r="BA4" s="35"/>
      <c r="BH4" s="29" t="s">
        <v>1675</v>
      </c>
      <c r="BI4" s="35"/>
      <c r="BJ4" s="35"/>
      <c r="BO4" s="29" t="str">
        <v>U012UBB01UC001</v>
      </c>
    </row>
    <row r="5" spans="1:67" x14ac:dyDescent="0.3">
      <c r="A5" s="29" t="s">
        <v>1676</v>
      </c>
      <c r="B5" s="36" t="str">
        <f t="shared" si="0"/>
        <v>A01GCF01GP001-BQ01</v>
      </c>
      <c r="C5" s="33" t="s">
        <v>1686</v>
      </c>
      <c r="D5" s="34" t="str">
        <f t="shared" si="1"/>
        <v>AUX DEMIN SUP PMP1 QUAL1 ANALOG1</v>
      </c>
      <c r="E5" s="31">
        <f t="shared" si="2"/>
        <v>32</v>
      </c>
      <c r="F5" s="32" t="str">
        <f t="shared" si="3"/>
        <v>ANCILLARY/AUXILIARY SYSTEMS AUXILLIARY SYSTEMS DEMIN WATER SUPPLY SYSTEM DEMIN WATER SUPPLY SYSTEM 1 PUMP SYSTEM PUMP SYSTEM 1 CONDUCTIVITY - DEMIN WATER OUTLET ANALOG PROCESS SIGNAL</v>
      </c>
      <c r="G5" s="29" t="s">
        <v>1651</v>
      </c>
      <c r="H5" s="29" t="s">
        <v>1652</v>
      </c>
      <c r="I5" s="29" t="str">
        <f t="shared" si="4"/>
        <v>01</v>
      </c>
      <c r="J5" s="29" t="s">
        <v>1653</v>
      </c>
      <c r="K5" s="29" t="s">
        <v>1654</v>
      </c>
      <c r="L5" s="29" t="s">
        <v>1655</v>
      </c>
      <c r="M5" s="29" t="s">
        <v>1619</v>
      </c>
      <c r="N5" s="29" t="s">
        <v>1656</v>
      </c>
      <c r="O5" s="29" t="s">
        <v>1678</v>
      </c>
      <c r="P5" s="29" t="s">
        <v>1679</v>
      </c>
      <c r="Q5" s="29" t="s">
        <v>1623</v>
      </c>
      <c r="R5" s="29" t="s">
        <v>1680</v>
      </c>
      <c r="S5" s="29" t="s">
        <v>1687</v>
      </c>
      <c r="T5" s="29" t="s">
        <v>1688</v>
      </c>
      <c r="U5" s="29" t="s">
        <v>193</v>
      </c>
      <c r="V5" s="29" t="s">
        <v>1083</v>
      </c>
      <c r="W5" s="35" t="s">
        <v>1662</v>
      </c>
      <c r="X5" s="35" t="s">
        <v>1663</v>
      </c>
      <c r="Y5" s="35" t="s">
        <v>1683</v>
      </c>
      <c r="Z5" s="35" t="s">
        <v>1689</v>
      </c>
      <c r="AA5" s="35" t="s">
        <v>1666</v>
      </c>
      <c r="AB5" s="29" t="s">
        <v>1667</v>
      </c>
      <c r="AC5" s="35" t="s">
        <v>1633</v>
      </c>
      <c r="AD5" s="35" t="s">
        <v>1668</v>
      </c>
      <c r="AE5" s="35" t="s">
        <v>1668</v>
      </c>
      <c r="AF5" s="35" t="s">
        <v>1669</v>
      </c>
      <c r="AG5" s="35" t="s">
        <v>1670</v>
      </c>
      <c r="AI5" s="35"/>
      <c r="AJ5" s="35" t="s">
        <v>1671</v>
      </c>
      <c r="AK5" s="35" t="s">
        <v>1672</v>
      </c>
      <c r="AL5" s="29" t="s">
        <v>1671</v>
      </c>
      <c r="AM5" s="35"/>
      <c r="AN5" s="35"/>
      <c r="AO5" s="35"/>
      <c r="AP5" s="35"/>
      <c r="AQ5" s="35"/>
      <c r="AS5" s="35"/>
      <c r="AT5" s="29" t="s">
        <v>1640</v>
      </c>
      <c r="AU5" s="35"/>
      <c r="AW5" s="35"/>
      <c r="AY5" s="35"/>
      <c r="AZ5" s="35"/>
      <c r="BA5" s="35"/>
      <c r="BH5" s="29" t="s">
        <v>1675</v>
      </c>
      <c r="BI5" s="35"/>
      <c r="BJ5" s="35"/>
      <c r="BO5" s="29" t="str">
        <v>U012UNA01UH111</v>
      </c>
    </row>
    <row r="6" spans="1:67" x14ac:dyDescent="0.3">
      <c r="A6" s="29" t="s">
        <v>1690</v>
      </c>
      <c r="B6" s="36" t="str">
        <f t="shared" si="0"/>
        <v>A01GCF01HN001-BF01</v>
      </c>
      <c r="C6" s="33" t="s">
        <v>1691</v>
      </c>
      <c r="D6" s="34" t="str">
        <f t="shared" si="1"/>
        <v>AUX DEMIN SUP PROD U1 FLOW1 ANALOG1</v>
      </c>
      <c r="E6" s="31">
        <f t="shared" si="2"/>
        <v>35</v>
      </c>
      <c r="F6" s="32" t="str">
        <f t="shared" si="3"/>
        <v>ANCILLARY/AUXILIARY SYSTEMS AUXILLIARY SYSTEMS DEMIN WATER SUPPLY SYSTEM DEMIN WATER SUPPLY SYSTEM 1 PRODUCTION UNIT PRODUCTION UNIT 1 FLOWMETER - WATER INLET ANALOG PROCESS SIGNAL</v>
      </c>
      <c r="G6" s="29" t="s">
        <v>1651</v>
      </c>
      <c r="H6" s="29" t="s">
        <v>1652</v>
      </c>
      <c r="I6" s="29" t="str">
        <f t="shared" si="4"/>
        <v>01</v>
      </c>
      <c r="J6" s="29" t="s">
        <v>1653</v>
      </c>
      <c r="K6" s="29" t="s">
        <v>1654</v>
      </c>
      <c r="L6" s="29" t="s">
        <v>1655</v>
      </c>
      <c r="M6" s="29" t="s">
        <v>1619</v>
      </c>
      <c r="N6" s="29" t="s">
        <v>1656</v>
      </c>
      <c r="O6" s="29" t="s">
        <v>1692</v>
      </c>
      <c r="P6" s="29" t="s">
        <v>1693</v>
      </c>
      <c r="Q6" s="29" t="s">
        <v>1623</v>
      </c>
      <c r="R6" s="29" t="s">
        <v>1694</v>
      </c>
      <c r="S6" s="29" t="s">
        <v>1625</v>
      </c>
      <c r="T6" s="29" t="s">
        <v>1695</v>
      </c>
      <c r="U6" s="29" t="s">
        <v>193</v>
      </c>
      <c r="V6" s="29" t="s">
        <v>1083</v>
      </c>
      <c r="W6" s="35" t="s">
        <v>1662</v>
      </c>
      <c r="X6" s="35" t="s">
        <v>1663</v>
      </c>
      <c r="Y6" s="35" t="s">
        <v>1696</v>
      </c>
      <c r="Z6" s="35" t="s">
        <v>1631</v>
      </c>
      <c r="AA6" s="35" t="s">
        <v>1666</v>
      </c>
      <c r="AB6" s="29" t="s">
        <v>1625</v>
      </c>
      <c r="AC6" s="35" t="s">
        <v>1633</v>
      </c>
      <c r="AD6" s="35" t="s">
        <v>1668</v>
      </c>
      <c r="AE6" s="35" t="s">
        <v>1668</v>
      </c>
      <c r="AF6" s="35" t="s">
        <v>1669</v>
      </c>
      <c r="AG6" s="35" t="s">
        <v>1670</v>
      </c>
      <c r="AI6" s="35"/>
      <c r="AJ6" s="35" t="s">
        <v>1671</v>
      </c>
      <c r="AK6" s="35" t="s">
        <v>1672</v>
      </c>
      <c r="AL6" s="29" t="s">
        <v>1697</v>
      </c>
      <c r="AM6" s="35"/>
      <c r="AN6" s="35"/>
      <c r="AO6" s="35"/>
      <c r="AP6" s="35"/>
      <c r="AQ6" s="35"/>
      <c r="AS6" s="35"/>
      <c r="AU6" s="35"/>
      <c r="AW6" s="35"/>
      <c r="AY6" s="35"/>
      <c r="AZ6" s="35"/>
      <c r="BA6" s="35"/>
      <c r="BH6" s="29" t="s">
        <v>1675</v>
      </c>
      <c r="BI6" s="35"/>
      <c r="BJ6" s="35"/>
      <c r="BO6" s="29" t="str">
        <v>U012UNA01UH112</v>
      </c>
    </row>
    <row r="7" spans="1:67" x14ac:dyDescent="0.3">
      <c r="A7" s="29" t="s">
        <v>1690</v>
      </c>
      <c r="B7" s="36" t="str">
        <f t="shared" si="0"/>
        <v>A01GCF01HN001-BP01</v>
      </c>
      <c r="C7" s="33" t="s">
        <v>1698</v>
      </c>
      <c r="D7" s="34" t="str">
        <f t="shared" si="1"/>
        <v>AUX DEMIN SUP PROD U1 PRES1 ANALOG1</v>
      </c>
      <c r="E7" s="31">
        <f t="shared" si="2"/>
        <v>35</v>
      </c>
      <c r="F7" s="32" t="str">
        <f t="shared" si="3"/>
        <v>ANCILLARY/AUXILIARY SYSTEMS AUXILLIARY SYSTEMS DEMIN WATER SUPPLY SYSTEM DEMIN WATER SUPPLY SYSTEM 1 PRODUCTION UNIT PRODUCTION UNIT 1 PRESSURE - WATER INLET ANALOG PROCESS SIGNAL</v>
      </c>
      <c r="G7" s="29" t="s">
        <v>1651</v>
      </c>
      <c r="H7" s="29" t="s">
        <v>1652</v>
      </c>
      <c r="I7" s="29" t="str">
        <f t="shared" si="4"/>
        <v>01</v>
      </c>
      <c r="J7" s="29" t="s">
        <v>1653</v>
      </c>
      <c r="K7" s="29" t="s">
        <v>1654</v>
      </c>
      <c r="L7" s="29" t="s">
        <v>1655</v>
      </c>
      <c r="M7" s="29" t="s">
        <v>1619</v>
      </c>
      <c r="N7" s="29" t="s">
        <v>1656</v>
      </c>
      <c r="O7" s="29" t="s">
        <v>1692</v>
      </c>
      <c r="P7" s="29" t="s">
        <v>1693</v>
      </c>
      <c r="Q7" s="29" t="s">
        <v>1623</v>
      </c>
      <c r="R7" s="29" t="s">
        <v>1694</v>
      </c>
      <c r="S7" s="29" t="s">
        <v>1681</v>
      </c>
      <c r="T7" s="29" t="s">
        <v>1699</v>
      </c>
      <c r="U7" s="29" t="s">
        <v>193</v>
      </c>
      <c r="V7" s="29" t="s">
        <v>1083</v>
      </c>
      <c r="W7" s="35" t="s">
        <v>1662</v>
      </c>
      <c r="X7" s="35" t="s">
        <v>1663</v>
      </c>
      <c r="Y7" s="35" t="s">
        <v>1696</v>
      </c>
      <c r="Z7" s="35" t="s">
        <v>1684</v>
      </c>
      <c r="AA7" s="35" t="s">
        <v>1666</v>
      </c>
      <c r="AB7" s="29" t="s">
        <v>1681</v>
      </c>
      <c r="AC7" s="35" t="s">
        <v>1633</v>
      </c>
      <c r="AD7" s="35" t="s">
        <v>1668</v>
      </c>
      <c r="AE7" s="35" t="s">
        <v>1668</v>
      </c>
      <c r="AF7" s="35" t="s">
        <v>1669</v>
      </c>
      <c r="AG7" s="35" t="s">
        <v>1670</v>
      </c>
      <c r="AI7" s="35"/>
      <c r="AJ7" s="35" t="s">
        <v>1671</v>
      </c>
      <c r="AK7" s="35" t="s">
        <v>1672</v>
      </c>
      <c r="AL7" s="29" t="s">
        <v>1685</v>
      </c>
      <c r="AM7" s="35"/>
      <c r="AN7" s="35"/>
      <c r="AO7" s="35"/>
      <c r="AP7" s="35"/>
      <c r="AQ7" s="35"/>
      <c r="AS7" s="35"/>
      <c r="AU7" s="35"/>
      <c r="AW7" s="35"/>
      <c r="AY7" s="35"/>
      <c r="AZ7" s="35"/>
      <c r="BA7" s="35"/>
      <c r="BH7" s="29" t="s">
        <v>1675</v>
      </c>
      <c r="BI7" s="35"/>
      <c r="BJ7" s="35"/>
      <c r="BO7" s="29" t="str">
        <v>U012UNA01UH121</v>
      </c>
    </row>
    <row r="8" spans="1:67" x14ac:dyDescent="0.3">
      <c r="A8" s="29" t="s">
        <v>1690</v>
      </c>
      <c r="B8" s="36" t="str">
        <f t="shared" si="0"/>
        <v>A01GCF01HN001-BQ01</v>
      </c>
      <c r="C8" s="33" t="s">
        <v>1700</v>
      </c>
      <c r="D8" s="34" t="str">
        <f t="shared" si="1"/>
        <v>AUX DEMIN SUP PROD U1 QUAL1 ANALOG1</v>
      </c>
      <c r="E8" s="31">
        <f t="shared" si="2"/>
        <v>35</v>
      </c>
      <c r="F8" s="32" t="str">
        <f t="shared" si="3"/>
        <v>ANCILLARY/AUXILIARY SYSTEMS AUXILLIARY SYSTEMS DEMIN WATER SUPPLY SYSTEM DEMIN WATER SUPPLY SYSTEM 1 PRODUCTION UNIT PRODUCTION UNIT 1 CONDUCTIVITY - WATER INLET ANALOG PROCESS SIGNAL</v>
      </c>
      <c r="G8" s="29" t="s">
        <v>1651</v>
      </c>
      <c r="H8" s="29" t="s">
        <v>1652</v>
      </c>
      <c r="I8" s="29" t="str">
        <f t="shared" si="4"/>
        <v>01</v>
      </c>
      <c r="J8" s="29" t="s">
        <v>1653</v>
      </c>
      <c r="K8" s="29" t="s">
        <v>1654</v>
      </c>
      <c r="L8" s="29" t="s">
        <v>1655</v>
      </c>
      <c r="M8" s="29" t="s">
        <v>1619</v>
      </c>
      <c r="N8" s="29" t="s">
        <v>1656</v>
      </c>
      <c r="O8" s="29" t="s">
        <v>1692</v>
      </c>
      <c r="P8" s="29" t="s">
        <v>1693</v>
      </c>
      <c r="Q8" s="29" t="s">
        <v>1623</v>
      </c>
      <c r="R8" s="29" t="s">
        <v>1694</v>
      </c>
      <c r="S8" s="29" t="s">
        <v>1687</v>
      </c>
      <c r="T8" s="29" t="s">
        <v>1701</v>
      </c>
      <c r="U8" s="29" t="s">
        <v>193</v>
      </c>
      <c r="V8" s="29" t="s">
        <v>1083</v>
      </c>
      <c r="W8" s="35" t="s">
        <v>1662</v>
      </c>
      <c r="X8" s="35" t="s">
        <v>1663</v>
      </c>
      <c r="Y8" s="35" t="s">
        <v>1696</v>
      </c>
      <c r="Z8" s="35" t="s">
        <v>1689</v>
      </c>
      <c r="AA8" s="35" t="s">
        <v>1666</v>
      </c>
      <c r="AB8" s="29" t="s">
        <v>1687</v>
      </c>
      <c r="AC8" s="35" t="s">
        <v>1633</v>
      </c>
      <c r="AD8" s="35" t="s">
        <v>1668</v>
      </c>
      <c r="AE8" s="35" t="s">
        <v>1668</v>
      </c>
      <c r="AF8" s="35" t="s">
        <v>1669</v>
      </c>
      <c r="AG8" s="35" t="s">
        <v>1670</v>
      </c>
      <c r="AI8" s="35"/>
      <c r="AJ8" s="35" t="s">
        <v>1671</v>
      </c>
      <c r="AK8" s="35" t="s">
        <v>1672</v>
      </c>
      <c r="AL8" s="29" t="s">
        <v>1671</v>
      </c>
      <c r="AM8" s="35" t="s">
        <v>1702</v>
      </c>
      <c r="AN8" s="35" t="s">
        <v>1703</v>
      </c>
      <c r="AO8" s="35"/>
      <c r="AP8" s="35"/>
      <c r="AQ8" s="35"/>
      <c r="AS8" s="35"/>
      <c r="AU8" s="35"/>
      <c r="AW8" s="35"/>
      <c r="AY8" s="35"/>
      <c r="AZ8" s="35"/>
      <c r="BA8" s="35"/>
      <c r="BH8" s="29" t="s">
        <v>1675</v>
      </c>
      <c r="BI8" s="35"/>
      <c r="BJ8" s="35"/>
      <c r="BO8" s="29" t="str">
        <v>U012UNA01UH122</v>
      </c>
    </row>
    <row r="9" spans="1:67" x14ac:dyDescent="0.3">
      <c r="A9" s="29" t="s">
        <v>1690</v>
      </c>
      <c r="B9" s="36" t="str">
        <f t="shared" si="0"/>
        <v>A01GCF01HN001-BQ01</v>
      </c>
      <c r="C9" s="33" t="s">
        <v>1704</v>
      </c>
      <c r="D9" s="34" t="str">
        <f t="shared" si="1"/>
        <v>AUX DEMIN SUP PROD U1 QUAL1 ANALOG2</v>
      </c>
      <c r="E9" s="31">
        <f t="shared" si="2"/>
        <v>35</v>
      </c>
      <c r="F9" s="32" t="str">
        <f t="shared" si="3"/>
        <v>ANCILLARY/AUXILIARY SYSTEMS AUXILLIARY SYSTEMS DEMIN WATER SUPPLY SYSTEM DEMIN WATER SUPPLY SYSTEM 1 PRODUCTION UNIT PRODUCTION UNIT 1 CONDUCTIVITY - WATER INLET ANALOG PROCESS SIGNAL</v>
      </c>
      <c r="G9" s="29" t="s">
        <v>1651</v>
      </c>
      <c r="H9" s="29" t="s">
        <v>1652</v>
      </c>
      <c r="I9" s="29" t="str">
        <f t="shared" si="4"/>
        <v>01</v>
      </c>
      <c r="J9" s="29" t="s">
        <v>1653</v>
      </c>
      <c r="K9" s="29" t="s">
        <v>1654</v>
      </c>
      <c r="L9" s="29" t="s">
        <v>1655</v>
      </c>
      <c r="M9" s="29" t="s">
        <v>1619</v>
      </c>
      <c r="N9" s="29" t="s">
        <v>1656</v>
      </c>
      <c r="O9" s="29" t="s">
        <v>1692</v>
      </c>
      <c r="P9" s="29" t="s">
        <v>1693</v>
      </c>
      <c r="Q9" s="29" t="s">
        <v>1623</v>
      </c>
      <c r="R9" s="29" t="s">
        <v>1694</v>
      </c>
      <c r="S9" s="29" t="s">
        <v>1687</v>
      </c>
      <c r="T9" s="29" t="s">
        <v>1701</v>
      </c>
      <c r="U9" s="29" t="s">
        <v>905</v>
      </c>
      <c r="V9" s="29" t="s">
        <v>1083</v>
      </c>
      <c r="W9" s="35" t="s">
        <v>1662</v>
      </c>
      <c r="X9" s="35" t="s">
        <v>1663</v>
      </c>
      <c r="Y9" s="35" t="s">
        <v>1696</v>
      </c>
      <c r="Z9" s="35" t="s">
        <v>1689</v>
      </c>
      <c r="AA9" s="35" t="s">
        <v>1705</v>
      </c>
      <c r="AB9" s="29" t="s">
        <v>1687</v>
      </c>
      <c r="AC9" s="35" t="s">
        <v>1633</v>
      </c>
      <c r="AD9" s="35" t="s">
        <v>1668</v>
      </c>
      <c r="AE9" s="35" t="s">
        <v>1668</v>
      </c>
      <c r="AF9" s="35" t="s">
        <v>1669</v>
      </c>
      <c r="AG9" s="35" t="s">
        <v>1670</v>
      </c>
      <c r="AI9" s="35"/>
      <c r="AJ9" s="35" t="s">
        <v>1671</v>
      </c>
      <c r="AK9" s="35" t="s">
        <v>1672</v>
      </c>
      <c r="AL9" s="29" t="s">
        <v>1706</v>
      </c>
      <c r="AM9" s="35" t="s">
        <v>1702</v>
      </c>
      <c r="AN9" s="35" t="s">
        <v>1703</v>
      </c>
      <c r="AO9" s="35"/>
      <c r="AP9" s="35"/>
      <c r="AQ9" s="35"/>
      <c r="AS9" s="35"/>
      <c r="AU9" s="35"/>
      <c r="AW9" s="35"/>
      <c r="AY9" s="35"/>
      <c r="AZ9" s="35"/>
      <c r="BA9" s="35"/>
      <c r="BH9" s="29" t="s">
        <v>1675</v>
      </c>
      <c r="BI9" s="35"/>
      <c r="BJ9" s="35"/>
      <c r="BO9" s="29" t="str">
        <v>U012UNA01UH131</v>
      </c>
    </row>
    <row r="10" spans="1:67" x14ac:dyDescent="0.3">
      <c r="A10" s="29" t="s">
        <v>1707</v>
      </c>
      <c r="B10" s="36" t="str">
        <f t="shared" si="0"/>
        <v>A01PAD01EZ001-BT01</v>
      </c>
      <c r="C10" s="33" t="s">
        <v>1708</v>
      </c>
      <c r="D10" s="34" t="str">
        <f t="shared" si="1"/>
        <v>AUX COOL WTR RECOOL TEMP1 ANALOG1</v>
      </c>
      <c r="E10" s="31">
        <f t="shared" si="2"/>
        <v>33</v>
      </c>
      <c r="F10" s="32" t="str">
        <f t="shared" si="3"/>
        <v>ANCILLARY/AUXILIARY SYSTEMS AUXILLIARY SYSTEMS COOLING WATER SYSTEMS COOLING WATER SYSTEM RECOOLING SYSTEMS RECOOLING CIRCUIT TEMPERATURE - COOLER SYSTEM OUTLET ANALOG PROCESS SIGNAL</v>
      </c>
      <c r="G10" s="29" t="s">
        <v>1651</v>
      </c>
      <c r="H10" s="29" t="s">
        <v>1652</v>
      </c>
      <c r="I10" s="29" t="str">
        <f t="shared" si="4"/>
        <v>01</v>
      </c>
      <c r="J10" s="29" t="s">
        <v>1653</v>
      </c>
      <c r="K10" s="29" t="s">
        <v>1709</v>
      </c>
      <c r="L10" s="29" t="s">
        <v>1710</v>
      </c>
      <c r="M10" s="29" t="s">
        <v>1619</v>
      </c>
      <c r="N10" s="29" t="s">
        <v>1711</v>
      </c>
      <c r="O10" s="29" t="s">
        <v>1712</v>
      </c>
      <c r="P10" s="29" t="s">
        <v>1713</v>
      </c>
      <c r="Q10" s="29" t="s">
        <v>1623</v>
      </c>
      <c r="R10" s="29" t="s">
        <v>1714</v>
      </c>
      <c r="S10" s="29" t="s">
        <v>1715</v>
      </c>
      <c r="T10" s="29" t="s">
        <v>1716</v>
      </c>
      <c r="U10" s="29" t="s">
        <v>193</v>
      </c>
      <c r="V10" s="29" t="s">
        <v>1083</v>
      </c>
      <c r="W10" s="35" t="s">
        <v>1662</v>
      </c>
      <c r="X10" s="35" t="s">
        <v>1717</v>
      </c>
      <c r="Y10" s="35" t="s">
        <v>1718</v>
      </c>
      <c r="Z10" s="35" t="s">
        <v>1719</v>
      </c>
      <c r="AA10" s="35" t="s">
        <v>1666</v>
      </c>
      <c r="AB10" s="29" t="s">
        <v>1715</v>
      </c>
      <c r="AC10" s="35" t="s">
        <v>1633</v>
      </c>
      <c r="AD10" s="35" t="s">
        <v>1668</v>
      </c>
      <c r="AE10" s="35" t="s">
        <v>1668</v>
      </c>
      <c r="AF10" s="35" t="s">
        <v>1669</v>
      </c>
      <c r="AG10" s="35" t="s">
        <v>1670</v>
      </c>
      <c r="AI10" s="35"/>
      <c r="AJ10" s="35" t="s">
        <v>1671</v>
      </c>
      <c r="AK10" s="35" t="s">
        <v>1672</v>
      </c>
      <c r="AL10" s="29" t="s">
        <v>1720</v>
      </c>
      <c r="AM10" s="35" t="s">
        <v>1721</v>
      </c>
      <c r="AN10" s="35" t="s">
        <v>1722</v>
      </c>
      <c r="AO10" s="35"/>
      <c r="AP10" s="35"/>
      <c r="AQ10" s="35"/>
      <c r="AS10" s="35"/>
      <c r="AT10" s="29" t="s">
        <v>1640</v>
      </c>
      <c r="AU10" s="35"/>
      <c r="AW10" s="35"/>
      <c r="AY10" s="35"/>
      <c r="AZ10" s="35"/>
      <c r="BA10" s="35"/>
      <c r="BH10" s="29" t="s">
        <v>1723</v>
      </c>
      <c r="BI10" s="35"/>
      <c r="BJ10" s="35"/>
      <c r="BO10" s="29" t="str">
        <v>U012UNA01UH132</v>
      </c>
    </row>
    <row r="11" spans="1:67" x14ac:dyDescent="0.3">
      <c r="A11" s="29" t="s">
        <v>1707</v>
      </c>
      <c r="B11" s="36" t="str">
        <f t="shared" si="0"/>
        <v>A01PAD01EZ001-EQ01GQ01</v>
      </c>
      <c r="C11" s="33" t="s">
        <v>1724</v>
      </c>
      <c r="D11" s="34" t="str">
        <f t="shared" si="1"/>
        <v>AUX COOL WTR RECOOL AIR1-1 ANALOG1</v>
      </c>
      <c r="E11" s="31">
        <f t="shared" si="2"/>
        <v>34</v>
      </c>
      <c r="F11" s="32" t="str">
        <f t="shared" si="3"/>
        <v>ANCILLARY/AUXILIARY SYSTEMS AUXILLIARY SYSTEMS COOLING WATER SYSTEMS COOLING WATER SYSTEM RECOOLING SYSTEMS RECOOLING CIRCUIT AIR COOLED HEAT EXCHANGER 1 - 1 ANALOG PROCESS SIGNAL</v>
      </c>
      <c r="G11" s="29" t="s">
        <v>1651</v>
      </c>
      <c r="H11" s="29" t="s">
        <v>1652</v>
      </c>
      <c r="I11" s="29" t="str">
        <f t="shared" si="4"/>
        <v>01</v>
      </c>
      <c r="J11" s="29" t="s">
        <v>1653</v>
      </c>
      <c r="K11" s="29" t="s">
        <v>1709</v>
      </c>
      <c r="L11" s="29" t="s">
        <v>1710</v>
      </c>
      <c r="M11" s="29" t="s">
        <v>1619</v>
      </c>
      <c r="N11" s="29" t="s">
        <v>1711</v>
      </c>
      <c r="O11" s="29" t="s">
        <v>1712</v>
      </c>
      <c r="P11" s="29" t="s">
        <v>1713</v>
      </c>
      <c r="Q11" s="29" t="s">
        <v>1623</v>
      </c>
      <c r="R11" s="29" t="s">
        <v>1714</v>
      </c>
      <c r="S11" s="29" t="s">
        <v>1725</v>
      </c>
      <c r="T11" s="29" t="s">
        <v>1726</v>
      </c>
      <c r="U11" s="29" t="s">
        <v>193</v>
      </c>
      <c r="V11" s="29" t="s">
        <v>1083</v>
      </c>
      <c r="W11" s="35" t="s">
        <v>1662</v>
      </c>
      <c r="X11" s="35" t="s">
        <v>1717</v>
      </c>
      <c r="Y11" s="35" t="s">
        <v>1718</v>
      </c>
      <c r="Z11" s="35" t="s">
        <v>1727</v>
      </c>
      <c r="AA11" s="35" t="s">
        <v>1666</v>
      </c>
      <c r="AC11" s="35" t="s">
        <v>1633</v>
      </c>
      <c r="AD11" s="35" t="s">
        <v>1728</v>
      </c>
      <c r="AE11" s="35" t="s">
        <v>1728</v>
      </c>
      <c r="AF11" s="35" t="s">
        <v>1669</v>
      </c>
      <c r="AG11" s="35" t="s">
        <v>1670</v>
      </c>
      <c r="AI11" s="35"/>
      <c r="AJ11" s="35" t="s">
        <v>1671</v>
      </c>
      <c r="AK11" s="35" t="s">
        <v>1672</v>
      </c>
      <c r="AL11" s="29" t="s">
        <v>1729</v>
      </c>
      <c r="AM11" s="35"/>
      <c r="AN11" s="35"/>
      <c r="AO11" s="35"/>
      <c r="AP11" s="35"/>
      <c r="AQ11" s="35"/>
      <c r="AS11" s="35"/>
      <c r="AU11" s="35"/>
      <c r="AW11" s="35"/>
      <c r="AY11" s="35"/>
      <c r="AZ11" s="35"/>
      <c r="BA11" s="35"/>
      <c r="BH11" s="29" t="s">
        <v>1723</v>
      </c>
      <c r="BI11" s="35"/>
      <c r="BJ11" s="35"/>
      <c r="BO11" s="29" t="str">
        <v>U012UNA01UH141</v>
      </c>
    </row>
    <row r="12" spans="1:67" x14ac:dyDescent="0.3">
      <c r="A12" s="29" t="s">
        <v>1707</v>
      </c>
      <c r="B12" s="36" t="str">
        <f t="shared" si="0"/>
        <v>A01PAD01EZ001-EQ01GQxx</v>
      </c>
      <c r="C12" s="33" t="s">
        <v>1730</v>
      </c>
      <c r="D12" s="34" t="str">
        <f t="shared" si="1"/>
        <v>AUX COOL WTR RECOOL AIR1-X ANALOG1</v>
      </c>
      <c r="E12" s="31">
        <f t="shared" si="2"/>
        <v>34</v>
      </c>
      <c r="F12" s="32" t="str">
        <f t="shared" si="3"/>
        <v>ANCILLARY/AUXILIARY SYSTEMS AUXILLIARY SYSTEMS COOLING WATER SYSTEMS COOLING WATER SYSTEM RECOOLING SYSTEMS RECOOLING CIRCUIT AIR COOLED HEAT EXCHANGER 1 - X ANALOG PROCESS SIGNAL</v>
      </c>
      <c r="G12" s="29" t="s">
        <v>1651</v>
      </c>
      <c r="H12" s="29" t="s">
        <v>1652</v>
      </c>
      <c r="I12" s="29" t="str">
        <f t="shared" si="4"/>
        <v>01</v>
      </c>
      <c r="J12" s="29" t="s">
        <v>1653</v>
      </c>
      <c r="K12" s="29" t="s">
        <v>1709</v>
      </c>
      <c r="L12" s="29" t="s">
        <v>1710</v>
      </c>
      <c r="M12" s="29" t="s">
        <v>1619</v>
      </c>
      <c r="N12" s="29" t="s">
        <v>1711</v>
      </c>
      <c r="O12" s="29" t="s">
        <v>1712</v>
      </c>
      <c r="P12" s="29" t="s">
        <v>1713</v>
      </c>
      <c r="Q12" s="29" t="s">
        <v>1623</v>
      </c>
      <c r="R12" s="29" t="s">
        <v>1714</v>
      </c>
      <c r="S12" s="29" t="s">
        <v>1731</v>
      </c>
      <c r="T12" s="29" t="s">
        <v>1732</v>
      </c>
      <c r="U12" s="29" t="s">
        <v>193</v>
      </c>
      <c r="V12" s="29" t="s">
        <v>1083</v>
      </c>
      <c r="W12" s="35" t="s">
        <v>1662</v>
      </c>
      <c r="X12" s="35" t="s">
        <v>1717</v>
      </c>
      <c r="Y12" s="35" t="s">
        <v>1718</v>
      </c>
      <c r="Z12" s="35" t="s">
        <v>1733</v>
      </c>
      <c r="AA12" s="35" t="s">
        <v>1666</v>
      </c>
      <c r="AC12" s="35" t="s">
        <v>1633</v>
      </c>
      <c r="AD12" s="35" t="s">
        <v>1728</v>
      </c>
      <c r="AE12" s="35" t="s">
        <v>1728</v>
      </c>
      <c r="AF12" s="35" t="s">
        <v>1669</v>
      </c>
      <c r="AG12" s="35" t="s">
        <v>1670</v>
      </c>
      <c r="AI12" s="35"/>
      <c r="AJ12" s="35" t="s">
        <v>1671</v>
      </c>
      <c r="AK12" s="35" t="s">
        <v>1672</v>
      </c>
      <c r="AL12" s="29" t="s">
        <v>1729</v>
      </c>
      <c r="AM12" s="35"/>
      <c r="AN12" s="35"/>
      <c r="AO12" s="35"/>
      <c r="AP12" s="35"/>
      <c r="AQ12" s="35"/>
      <c r="AS12" s="35"/>
      <c r="AU12" s="35"/>
      <c r="AW12" s="35"/>
      <c r="AY12" s="35"/>
      <c r="AZ12" s="35"/>
      <c r="BA12" s="35"/>
      <c r="BH12" s="29" t="s">
        <v>1723</v>
      </c>
      <c r="BI12" s="35"/>
      <c r="BJ12" s="35"/>
      <c r="BO12" s="29" t="str">
        <v>U012UNA01UH142</v>
      </c>
    </row>
    <row r="13" spans="1:67" x14ac:dyDescent="0.3">
      <c r="A13" s="29" t="s">
        <v>1707</v>
      </c>
      <c r="B13" s="36" t="str">
        <f t="shared" si="0"/>
        <v>A01PAD01EZ001-EQ02GQ01</v>
      </c>
      <c r="C13" s="33" t="s">
        <v>1734</v>
      </c>
      <c r="D13" s="34" t="str">
        <f t="shared" si="1"/>
        <v>AUX COOL WTR RECOOL AIR2-1 ANALOG1</v>
      </c>
      <c r="E13" s="31">
        <f t="shared" si="2"/>
        <v>34</v>
      </c>
      <c r="F13" s="32" t="str">
        <f t="shared" si="3"/>
        <v>ANCILLARY/AUXILIARY SYSTEMS AUXILLIARY SYSTEMS COOLING WATER SYSTEMS COOLING WATER SYSTEM RECOOLING SYSTEMS RECOOLING CIRCUIT AIR COOLED HEAT EXCHANGER 2 - 1 ANALOG PROCESS SIGNAL</v>
      </c>
      <c r="G13" s="29" t="s">
        <v>1651</v>
      </c>
      <c r="H13" s="29" t="s">
        <v>1652</v>
      </c>
      <c r="I13" s="29" t="str">
        <f t="shared" si="4"/>
        <v>01</v>
      </c>
      <c r="J13" s="29" t="s">
        <v>1653</v>
      </c>
      <c r="K13" s="29" t="s">
        <v>1709</v>
      </c>
      <c r="L13" s="29" t="s">
        <v>1710</v>
      </c>
      <c r="M13" s="29" t="s">
        <v>1619</v>
      </c>
      <c r="N13" s="29" t="s">
        <v>1711</v>
      </c>
      <c r="O13" s="29" t="s">
        <v>1712</v>
      </c>
      <c r="P13" s="29" t="s">
        <v>1713</v>
      </c>
      <c r="Q13" s="29" t="s">
        <v>1623</v>
      </c>
      <c r="R13" s="29" t="s">
        <v>1714</v>
      </c>
      <c r="S13" s="29" t="s">
        <v>1735</v>
      </c>
      <c r="T13" s="29" t="s">
        <v>1736</v>
      </c>
      <c r="U13" s="29" t="s">
        <v>193</v>
      </c>
      <c r="V13" s="29" t="s">
        <v>1083</v>
      </c>
      <c r="W13" s="35" t="s">
        <v>1662</v>
      </c>
      <c r="X13" s="35" t="s">
        <v>1717</v>
      </c>
      <c r="Y13" s="35" t="s">
        <v>1718</v>
      </c>
      <c r="Z13" s="35" t="s">
        <v>1737</v>
      </c>
      <c r="AA13" s="35" t="s">
        <v>1666</v>
      </c>
      <c r="AC13" s="35" t="s">
        <v>1633</v>
      </c>
      <c r="AD13" s="35" t="s">
        <v>1728</v>
      </c>
      <c r="AE13" s="35" t="s">
        <v>1728</v>
      </c>
      <c r="AF13" s="35" t="s">
        <v>1669</v>
      </c>
      <c r="AG13" s="35" t="s">
        <v>1670</v>
      </c>
      <c r="AI13" s="35"/>
      <c r="AJ13" s="35" t="s">
        <v>1671</v>
      </c>
      <c r="AK13" s="35" t="s">
        <v>1672</v>
      </c>
      <c r="AL13" s="29" t="s">
        <v>1729</v>
      </c>
      <c r="AM13" s="35"/>
      <c r="AN13" s="35"/>
      <c r="AO13" s="35"/>
      <c r="AP13" s="35"/>
      <c r="AQ13" s="35"/>
      <c r="AS13" s="35"/>
      <c r="AU13" s="35"/>
      <c r="AW13" s="35"/>
      <c r="AY13" s="35"/>
      <c r="AZ13" s="35"/>
      <c r="BA13" s="35"/>
      <c r="BH13" s="29" t="s">
        <v>1723</v>
      </c>
      <c r="BI13" s="35"/>
      <c r="BJ13" s="35"/>
      <c r="BO13" s="29" t="str">
        <v>U012UNA01UH151</v>
      </c>
    </row>
    <row r="14" spans="1:67" x14ac:dyDescent="0.3">
      <c r="A14" s="29" t="s">
        <v>1707</v>
      </c>
      <c r="B14" s="36" t="str">
        <f t="shared" si="0"/>
        <v>A01PAD01EZ001-EQ02GQxx</v>
      </c>
      <c r="C14" s="33" t="s">
        <v>1738</v>
      </c>
      <c r="D14" s="34" t="str">
        <f t="shared" si="1"/>
        <v>AUX COOL WTR RECOOL AIR2-X ANALOG1</v>
      </c>
      <c r="E14" s="31">
        <f t="shared" si="2"/>
        <v>34</v>
      </c>
      <c r="F14" s="32" t="str">
        <f t="shared" si="3"/>
        <v>ANCILLARY/AUXILIARY SYSTEMS AUXILLIARY SYSTEMS COOLING WATER SYSTEMS COOLING WATER SYSTEM RECOOLING SYSTEMS RECOOLING CIRCUIT AIR COOLED HEAT EXCHANGER 2 - X ANALOG PROCESS SIGNAL</v>
      </c>
      <c r="G14" s="29" t="s">
        <v>1651</v>
      </c>
      <c r="H14" s="29" t="s">
        <v>1652</v>
      </c>
      <c r="I14" s="29" t="str">
        <f t="shared" si="4"/>
        <v>01</v>
      </c>
      <c r="J14" s="29" t="s">
        <v>1653</v>
      </c>
      <c r="K14" s="29" t="s">
        <v>1709</v>
      </c>
      <c r="L14" s="29" t="s">
        <v>1710</v>
      </c>
      <c r="M14" s="29" t="s">
        <v>1619</v>
      </c>
      <c r="N14" s="29" t="s">
        <v>1711</v>
      </c>
      <c r="O14" s="29" t="s">
        <v>1712</v>
      </c>
      <c r="P14" s="29" t="s">
        <v>1713</v>
      </c>
      <c r="Q14" s="29" t="s">
        <v>1623</v>
      </c>
      <c r="R14" s="29" t="s">
        <v>1714</v>
      </c>
      <c r="S14" s="29" t="s">
        <v>1739</v>
      </c>
      <c r="T14" s="29" t="s">
        <v>1740</v>
      </c>
      <c r="U14" s="29" t="s">
        <v>193</v>
      </c>
      <c r="V14" s="29" t="s">
        <v>1083</v>
      </c>
      <c r="W14" s="35" t="s">
        <v>1662</v>
      </c>
      <c r="X14" s="35" t="s">
        <v>1717</v>
      </c>
      <c r="Y14" s="35" t="s">
        <v>1718</v>
      </c>
      <c r="Z14" s="35" t="s">
        <v>1741</v>
      </c>
      <c r="AA14" s="35" t="s">
        <v>1666</v>
      </c>
      <c r="AC14" s="35" t="s">
        <v>1633</v>
      </c>
      <c r="AD14" s="35" t="s">
        <v>1728</v>
      </c>
      <c r="AE14" s="35" t="s">
        <v>1728</v>
      </c>
      <c r="AF14" s="35" t="s">
        <v>1669</v>
      </c>
      <c r="AG14" s="35" t="s">
        <v>1670</v>
      </c>
      <c r="AI14" s="35"/>
      <c r="AJ14" s="35" t="s">
        <v>1671</v>
      </c>
      <c r="AK14" s="35" t="s">
        <v>1672</v>
      </c>
      <c r="AL14" s="29" t="s">
        <v>1729</v>
      </c>
      <c r="AM14" s="35"/>
      <c r="AN14" s="35"/>
      <c r="AO14" s="35"/>
      <c r="AP14" s="35"/>
      <c r="AQ14" s="35"/>
      <c r="AS14" s="35"/>
      <c r="AU14" s="35"/>
      <c r="AW14" s="35"/>
      <c r="AY14" s="35"/>
      <c r="AZ14" s="35"/>
      <c r="BA14" s="35"/>
      <c r="BH14" s="29" t="s">
        <v>1723</v>
      </c>
      <c r="BI14" s="35"/>
      <c r="BJ14" s="35"/>
      <c r="BO14" s="29" t="str">
        <v>U012UNA01UH152</v>
      </c>
    </row>
    <row r="15" spans="1:67" x14ac:dyDescent="0.3">
      <c r="A15" s="29" t="s">
        <v>1707</v>
      </c>
      <c r="B15" s="36" t="str">
        <f t="shared" si="0"/>
        <v>A01PAD01EZ001-EQ03GQ01</v>
      </c>
      <c r="C15" s="33" t="s">
        <v>1742</v>
      </c>
      <c r="D15" s="34" t="str">
        <f t="shared" si="1"/>
        <v>AUX COOL WTR RECOOL AIR3-1 ANALOG1</v>
      </c>
      <c r="E15" s="31">
        <f t="shared" si="2"/>
        <v>34</v>
      </c>
      <c r="F15" s="32" t="str">
        <f t="shared" si="3"/>
        <v>ANCILLARY/AUXILIARY SYSTEMS AUXILLIARY SYSTEMS COOLING WATER SYSTEMS COOLING WATER SYSTEM RECOOLING SYSTEMS RECOOLING CIRCUIT AIR COOLED HEAT EXCHANGER 3 - 1 ANALOG PROCESS SIGNAL</v>
      </c>
      <c r="G15" s="29" t="s">
        <v>1651</v>
      </c>
      <c r="H15" s="29" t="s">
        <v>1652</v>
      </c>
      <c r="I15" s="29" t="str">
        <f t="shared" si="4"/>
        <v>01</v>
      </c>
      <c r="J15" s="29" t="s">
        <v>1653</v>
      </c>
      <c r="K15" s="29" t="s">
        <v>1709</v>
      </c>
      <c r="L15" s="29" t="s">
        <v>1710</v>
      </c>
      <c r="M15" s="29" t="s">
        <v>1619</v>
      </c>
      <c r="N15" s="29" t="s">
        <v>1711</v>
      </c>
      <c r="O15" s="29" t="s">
        <v>1712</v>
      </c>
      <c r="P15" s="29" t="s">
        <v>1713</v>
      </c>
      <c r="Q15" s="29" t="s">
        <v>1623</v>
      </c>
      <c r="R15" s="29" t="s">
        <v>1714</v>
      </c>
      <c r="S15" s="29" t="s">
        <v>1743</v>
      </c>
      <c r="T15" s="29" t="s">
        <v>1744</v>
      </c>
      <c r="U15" s="29" t="s">
        <v>193</v>
      </c>
      <c r="V15" s="29" t="s">
        <v>1083</v>
      </c>
      <c r="W15" s="35" t="s">
        <v>1662</v>
      </c>
      <c r="X15" s="35" t="s">
        <v>1717</v>
      </c>
      <c r="Y15" s="35" t="s">
        <v>1718</v>
      </c>
      <c r="Z15" s="35" t="s">
        <v>1745</v>
      </c>
      <c r="AA15" s="35" t="s">
        <v>1666</v>
      </c>
      <c r="AC15" s="35" t="s">
        <v>1633</v>
      </c>
      <c r="AD15" s="35" t="s">
        <v>1728</v>
      </c>
      <c r="AE15" s="35" t="s">
        <v>1728</v>
      </c>
      <c r="AF15" s="35" t="s">
        <v>1669</v>
      </c>
      <c r="AG15" s="35" t="s">
        <v>1670</v>
      </c>
      <c r="AI15" s="35"/>
      <c r="AJ15" s="35" t="s">
        <v>1671</v>
      </c>
      <c r="AK15" s="35" t="s">
        <v>1672</v>
      </c>
      <c r="AL15" s="29" t="s">
        <v>1729</v>
      </c>
      <c r="AM15" s="35"/>
      <c r="AN15" s="35"/>
      <c r="AO15" s="35"/>
      <c r="AP15" s="35"/>
      <c r="AQ15" s="35"/>
      <c r="AS15" s="35"/>
      <c r="AU15" s="35"/>
      <c r="AW15" s="35"/>
      <c r="AY15" s="35"/>
      <c r="AZ15" s="35"/>
      <c r="BA15" s="35"/>
      <c r="BH15" s="29" t="s">
        <v>1723</v>
      </c>
      <c r="BI15" s="35"/>
      <c r="BJ15" s="35"/>
      <c r="BO15" s="29" t="str">
        <v>U012UNA01UH161</v>
      </c>
    </row>
    <row r="16" spans="1:67" x14ac:dyDescent="0.3">
      <c r="A16" s="29" t="s">
        <v>1707</v>
      </c>
      <c r="B16" s="36" t="str">
        <f t="shared" si="0"/>
        <v>A01PAD01EZ001-EQ03GQxx</v>
      </c>
      <c r="C16" s="33" t="s">
        <v>1746</v>
      </c>
      <c r="D16" s="34" t="str">
        <f t="shared" si="1"/>
        <v>AUX COOL WTR RECOOL AIR3-X ANALOG1</v>
      </c>
      <c r="E16" s="31">
        <f t="shared" si="2"/>
        <v>34</v>
      </c>
      <c r="F16" s="32" t="str">
        <f t="shared" si="3"/>
        <v>ANCILLARY/AUXILIARY SYSTEMS AUXILLIARY SYSTEMS COOLING WATER SYSTEMS COOLING WATER SYSTEM RECOOLING SYSTEMS RECOOLING CIRCUIT AIR COOLED HEAT EXCHANGER 3 - X ANALOG PROCESS SIGNAL</v>
      </c>
      <c r="G16" s="29" t="s">
        <v>1651</v>
      </c>
      <c r="H16" s="29" t="s">
        <v>1652</v>
      </c>
      <c r="I16" s="29" t="str">
        <f t="shared" si="4"/>
        <v>01</v>
      </c>
      <c r="J16" s="29" t="s">
        <v>1653</v>
      </c>
      <c r="K16" s="29" t="s">
        <v>1709</v>
      </c>
      <c r="L16" s="29" t="s">
        <v>1710</v>
      </c>
      <c r="M16" s="29" t="s">
        <v>1619</v>
      </c>
      <c r="N16" s="29" t="s">
        <v>1711</v>
      </c>
      <c r="O16" s="29" t="s">
        <v>1712</v>
      </c>
      <c r="P16" s="29" t="s">
        <v>1713</v>
      </c>
      <c r="Q16" s="29" t="s">
        <v>1623</v>
      </c>
      <c r="R16" s="29" t="s">
        <v>1714</v>
      </c>
      <c r="S16" s="29" t="s">
        <v>1747</v>
      </c>
      <c r="T16" s="29" t="s">
        <v>1748</v>
      </c>
      <c r="U16" s="29" t="s">
        <v>193</v>
      </c>
      <c r="V16" s="29" t="s">
        <v>1083</v>
      </c>
      <c r="W16" s="35" t="s">
        <v>1662</v>
      </c>
      <c r="X16" s="35" t="s">
        <v>1717</v>
      </c>
      <c r="Y16" s="35" t="s">
        <v>1718</v>
      </c>
      <c r="Z16" s="35" t="s">
        <v>1749</v>
      </c>
      <c r="AA16" s="35" t="s">
        <v>1666</v>
      </c>
      <c r="AC16" s="35" t="s">
        <v>1633</v>
      </c>
      <c r="AD16" s="35" t="s">
        <v>1728</v>
      </c>
      <c r="AE16" s="35" t="s">
        <v>1728</v>
      </c>
      <c r="AF16" s="35" t="s">
        <v>1669</v>
      </c>
      <c r="AG16" s="35" t="s">
        <v>1670</v>
      </c>
      <c r="AI16" s="35"/>
      <c r="AJ16" s="35" t="s">
        <v>1671</v>
      </c>
      <c r="AK16" s="35" t="s">
        <v>1672</v>
      </c>
      <c r="AL16" s="29" t="s">
        <v>1729</v>
      </c>
      <c r="AM16" s="35"/>
      <c r="AN16" s="35"/>
      <c r="AO16" s="35"/>
      <c r="AP16" s="35"/>
      <c r="AQ16" s="35"/>
      <c r="AS16" s="35"/>
      <c r="AU16" s="35"/>
      <c r="AW16" s="35"/>
      <c r="AY16" s="35"/>
      <c r="AZ16" s="35"/>
      <c r="BA16" s="35"/>
      <c r="BH16" s="29" t="s">
        <v>1723</v>
      </c>
      <c r="BI16" s="35"/>
      <c r="BJ16" s="35"/>
      <c r="BO16" s="29" t="str">
        <v>U012UNA01UH162</v>
      </c>
    </row>
    <row r="17" spans="1:67" x14ac:dyDescent="0.3">
      <c r="A17" s="29" t="s">
        <v>1750</v>
      </c>
      <c r="B17" s="36" t="str">
        <f t="shared" si="0"/>
        <v>A01PAD01GP001-BP01</v>
      </c>
      <c r="C17" s="33" t="s">
        <v>1751</v>
      </c>
      <c r="D17" s="34" t="str">
        <f t="shared" si="1"/>
        <v>AUX COOL WTR PMP1 PRES1 ANALOG1</v>
      </c>
      <c r="E17" s="31">
        <f t="shared" si="2"/>
        <v>31</v>
      </c>
      <c r="F17" s="32" t="str">
        <f t="shared" si="3"/>
        <v>ANCILLARY/AUXILIARY SYSTEMS AUXILLIARY SYSTEMS COOLING WATER SYSTEMS COOLING WATER SYSTEM RECOOLING PUMP SYSTEM RECOOLING PUMP UNIT DIFF.-PRESSURE - COOLING PUMP 1 ANALOG PROCESS SIGNAL</v>
      </c>
      <c r="G17" s="29" t="s">
        <v>1651</v>
      </c>
      <c r="H17" s="29" t="s">
        <v>1652</v>
      </c>
      <c r="I17" s="29" t="str">
        <f t="shared" si="4"/>
        <v>01</v>
      </c>
      <c r="J17" s="29" t="s">
        <v>1653</v>
      </c>
      <c r="K17" s="29" t="s">
        <v>1709</v>
      </c>
      <c r="L17" s="29" t="s">
        <v>1710</v>
      </c>
      <c r="M17" s="29" t="s">
        <v>1619</v>
      </c>
      <c r="N17" s="29" t="s">
        <v>1711</v>
      </c>
      <c r="O17" s="29" t="s">
        <v>1678</v>
      </c>
      <c r="P17" s="29" t="s">
        <v>1752</v>
      </c>
      <c r="Q17" s="29" t="s">
        <v>1623</v>
      </c>
      <c r="R17" s="29" t="s">
        <v>1753</v>
      </c>
      <c r="S17" s="29" t="s">
        <v>1681</v>
      </c>
      <c r="T17" s="29" t="s">
        <v>1754</v>
      </c>
      <c r="U17" s="29" t="s">
        <v>193</v>
      </c>
      <c r="V17" s="29" t="s">
        <v>1083</v>
      </c>
      <c r="W17" s="35" t="s">
        <v>1662</v>
      </c>
      <c r="X17" s="35" t="s">
        <v>1717</v>
      </c>
      <c r="Y17" s="35" t="s">
        <v>1683</v>
      </c>
      <c r="Z17" s="35" t="s">
        <v>1684</v>
      </c>
      <c r="AA17" s="35" t="s">
        <v>1666</v>
      </c>
      <c r="AB17" s="29" t="s">
        <v>1681</v>
      </c>
      <c r="AC17" s="35" t="s">
        <v>1633</v>
      </c>
      <c r="AD17" s="35" t="s">
        <v>1668</v>
      </c>
      <c r="AE17" s="35" t="s">
        <v>1668</v>
      </c>
      <c r="AF17" s="35" t="s">
        <v>1635</v>
      </c>
      <c r="AG17" s="35" t="s">
        <v>1670</v>
      </c>
      <c r="AI17" s="35"/>
      <c r="AJ17" s="35" t="s">
        <v>1671</v>
      </c>
      <c r="AK17" s="35" t="s">
        <v>1672</v>
      </c>
      <c r="AL17" s="29" t="s">
        <v>1755</v>
      </c>
      <c r="AM17" s="35"/>
      <c r="AN17" s="35"/>
      <c r="AO17" s="35"/>
      <c r="AP17" s="35"/>
      <c r="AQ17" s="35"/>
      <c r="AR17" s="29" t="s">
        <v>1756</v>
      </c>
      <c r="AS17" s="35"/>
      <c r="AT17" s="29" t="s">
        <v>1640</v>
      </c>
      <c r="AU17" s="35"/>
      <c r="AW17" s="35"/>
      <c r="AY17" s="35"/>
      <c r="AZ17" s="35"/>
      <c r="BA17" s="35"/>
      <c r="BH17" s="29" t="s">
        <v>1723</v>
      </c>
      <c r="BI17" s="35"/>
      <c r="BJ17" s="35"/>
      <c r="BO17" s="29" t="str">
        <v>U012UBB01UC002</v>
      </c>
    </row>
    <row r="18" spans="1:67" x14ac:dyDescent="0.3">
      <c r="A18" s="29" t="s">
        <v>1750</v>
      </c>
      <c r="B18" s="36" t="str">
        <f t="shared" si="0"/>
        <v>A01PAD01GP001-BP02</v>
      </c>
      <c r="C18" s="33" t="s">
        <v>1757</v>
      </c>
      <c r="D18" s="34" t="str">
        <f t="shared" si="1"/>
        <v>AUX COOL WTR PMP1 PRES2 ANALOG1</v>
      </c>
      <c r="E18" s="31">
        <f t="shared" si="2"/>
        <v>31</v>
      </c>
      <c r="F18" s="32" t="str">
        <f t="shared" si="3"/>
        <v>ANCILLARY/AUXILIARY SYSTEMS AUXILLIARY SYSTEMS COOLING WATER SYSTEMS COOLING WATER SYSTEM RECOOLING PUMP SYSTEM RECOOLING PUMP UNIT DIFF.-PRESSURE - COOLING PUMP 2 ANALOG PROCESS SIGNAL</v>
      </c>
      <c r="G18" s="29" t="s">
        <v>1651</v>
      </c>
      <c r="H18" s="29" t="s">
        <v>1652</v>
      </c>
      <c r="I18" s="29" t="str">
        <f t="shared" si="4"/>
        <v>01</v>
      </c>
      <c r="J18" s="29" t="s">
        <v>1653</v>
      </c>
      <c r="K18" s="29" t="s">
        <v>1709</v>
      </c>
      <c r="L18" s="29" t="s">
        <v>1710</v>
      </c>
      <c r="M18" s="29" t="s">
        <v>1619</v>
      </c>
      <c r="N18" s="29" t="s">
        <v>1711</v>
      </c>
      <c r="O18" s="29" t="s">
        <v>1678</v>
      </c>
      <c r="P18" s="29" t="s">
        <v>1752</v>
      </c>
      <c r="Q18" s="29" t="s">
        <v>1623</v>
      </c>
      <c r="R18" s="29" t="s">
        <v>1753</v>
      </c>
      <c r="S18" s="29" t="s">
        <v>1758</v>
      </c>
      <c r="T18" s="29" t="s">
        <v>1759</v>
      </c>
      <c r="U18" s="29" t="s">
        <v>193</v>
      </c>
      <c r="V18" s="29" t="s">
        <v>1083</v>
      </c>
      <c r="W18" s="35" t="s">
        <v>1662</v>
      </c>
      <c r="X18" s="35" t="s">
        <v>1717</v>
      </c>
      <c r="Y18" s="35" t="s">
        <v>1683</v>
      </c>
      <c r="Z18" s="35" t="s">
        <v>1760</v>
      </c>
      <c r="AA18" s="35" t="s">
        <v>1666</v>
      </c>
      <c r="AB18" s="29" t="s">
        <v>1758</v>
      </c>
      <c r="AC18" s="35" t="s">
        <v>1633</v>
      </c>
      <c r="AD18" s="35" t="s">
        <v>1668</v>
      </c>
      <c r="AE18" s="35" t="s">
        <v>1668</v>
      </c>
      <c r="AF18" s="35" t="s">
        <v>1635</v>
      </c>
      <c r="AG18" s="35" t="s">
        <v>1670</v>
      </c>
      <c r="AI18" s="35"/>
      <c r="AJ18" s="35" t="s">
        <v>1671</v>
      </c>
      <c r="AK18" s="35" t="s">
        <v>1672</v>
      </c>
      <c r="AL18" s="29" t="s">
        <v>1755</v>
      </c>
      <c r="AM18" s="35"/>
      <c r="AN18" s="35"/>
      <c r="AO18" s="35"/>
      <c r="AP18" s="35"/>
      <c r="AQ18" s="35"/>
      <c r="AR18" s="29" t="s">
        <v>1756</v>
      </c>
      <c r="AS18" s="35"/>
      <c r="AT18" s="29" t="s">
        <v>1640</v>
      </c>
      <c r="AU18" s="35"/>
      <c r="AW18" s="35"/>
      <c r="AY18" s="35"/>
      <c r="AZ18" s="35"/>
      <c r="BA18" s="35"/>
      <c r="BH18" s="29" t="s">
        <v>1723</v>
      </c>
      <c r="BI18" s="35"/>
      <c r="BJ18" s="35"/>
      <c r="BO18" s="29" t="str">
        <v>U012UBB01UH001</v>
      </c>
    </row>
    <row r="19" spans="1:67" x14ac:dyDescent="0.3">
      <c r="A19" s="29" t="s">
        <v>1750</v>
      </c>
      <c r="B19" s="36" t="str">
        <f t="shared" si="0"/>
        <v>A01PAD01GP001-BP03</v>
      </c>
      <c r="C19" s="33" t="s">
        <v>1761</v>
      </c>
      <c r="D19" s="34" t="str">
        <f t="shared" si="1"/>
        <v>AUX COOL WTR PMP1 PRES3 ANALOG1</v>
      </c>
      <c r="E19" s="31">
        <f t="shared" si="2"/>
        <v>31</v>
      </c>
      <c r="F19" s="32" t="str">
        <f t="shared" si="3"/>
        <v>ANCILLARY/AUXILIARY SYSTEMS AUXILLIARY SYSTEMS COOLING WATER SYSTEMS COOLING WATER SYSTEM RECOOLING PUMP SYSTEM RECOOLING PUMP UNIT PRESSURE - COOLING PUMP INPUT ANALOG PROCESS SIGNAL</v>
      </c>
      <c r="G19" s="29" t="s">
        <v>1651</v>
      </c>
      <c r="H19" s="29" t="s">
        <v>1652</v>
      </c>
      <c r="I19" s="29" t="str">
        <f t="shared" si="4"/>
        <v>01</v>
      </c>
      <c r="J19" s="29" t="s">
        <v>1653</v>
      </c>
      <c r="K19" s="29" t="s">
        <v>1709</v>
      </c>
      <c r="L19" s="29" t="s">
        <v>1710</v>
      </c>
      <c r="M19" s="29" t="s">
        <v>1619</v>
      </c>
      <c r="N19" s="29" t="s">
        <v>1711</v>
      </c>
      <c r="O19" s="29" t="s">
        <v>1678</v>
      </c>
      <c r="P19" s="29" t="s">
        <v>1752</v>
      </c>
      <c r="Q19" s="29" t="s">
        <v>1623</v>
      </c>
      <c r="R19" s="29" t="s">
        <v>1753</v>
      </c>
      <c r="S19" s="29" t="s">
        <v>1762</v>
      </c>
      <c r="T19" s="29" t="s">
        <v>1763</v>
      </c>
      <c r="U19" s="29" t="s">
        <v>193</v>
      </c>
      <c r="V19" s="29" t="s">
        <v>1083</v>
      </c>
      <c r="W19" s="35" t="s">
        <v>1662</v>
      </c>
      <c r="X19" s="35" t="s">
        <v>1717</v>
      </c>
      <c r="Y19" s="35" t="s">
        <v>1683</v>
      </c>
      <c r="Z19" s="35" t="s">
        <v>1764</v>
      </c>
      <c r="AA19" s="35" t="s">
        <v>1666</v>
      </c>
      <c r="AB19" s="29" t="s">
        <v>1762</v>
      </c>
      <c r="AC19" s="35" t="s">
        <v>1633</v>
      </c>
      <c r="AD19" s="35" t="s">
        <v>1668</v>
      </c>
      <c r="AE19" s="35" t="s">
        <v>1668</v>
      </c>
      <c r="AF19" s="35" t="s">
        <v>1635</v>
      </c>
      <c r="AG19" s="35" t="s">
        <v>1670</v>
      </c>
      <c r="AI19" s="35"/>
      <c r="AJ19" s="35" t="s">
        <v>1671</v>
      </c>
      <c r="AK19" s="35" t="s">
        <v>1672</v>
      </c>
      <c r="AL19" s="29" t="s">
        <v>1685</v>
      </c>
      <c r="AM19" s="35" t="s">
        <v>1765</v>
      </c>
      <c r="AN19" s="35" t="s">
        <v>1766</v>
      </c>
      <c r="AO19" s="35"/>
      <c r="AP19" s="35"/>
      <c r="AQ19" s="35"/>
      <c r="AR19" s="29" t="s">
        <v>1756</v>
      </c>
      <c r="AS19" s="35"/>
      <c r="AT19" s="29" t="s">
        <v>1640</v>
      </c>
      <c r="AU19" s="35"/>
      <c r="AV19" s="29" t="s">
        <v>1641</v>
      </c>
      <c r="AW19" s="35"/>
      <c r="AX19" s="29" t="s">
        <v>1674</v>
      </c>
      <c r="AY19" s="35"/>
      <c r="AZ19" s="35"/>
      <c r="BA19" s="35"/>
      <c r="BH19" s="29" t="s">
        <v>1723</v>
      </c>
      <c r="BI19" s="35"/>
      <c r="BJ19" s="35"/>
      <c r="BO19" s="29" t="str">
        <v>U012UBB01UH002</v>
      </c>
    </row>
    <row r="20" spans="1:67" x14ac:dyDescent="0.3">
      <c r="A20" s="29" t="s">
        <v>1750</v>
      </c>
      <c r="B20" s="36" t="str">
        <f t="shared" si="0"/>
        <v>A01PAD01GP001-BT01</v>
      </c>
      <c r="C20" s="33" t="s">
        <v>1767</v>
      </c>
      <c r="D20" s="34" t="str">
        <f t="shared" si="1"/>
        <v>AUX COOL WTR PMP1 TEMP1 ANALOG1</v>
      </c>
      <c r="E20" s="31">
        <f t="shared" si="2"/>
        <v>31</v>
      </c>
      <c r="F20" s="32" t="str">
        <f t="shared" si="3"/>
        <v>ANCILLARY/AUXILIARY SYSTEMS AUXILLIARY SYSTEMS COOLING WATER SYSTEMS COOLING WATER SYSTEM RECOOLING PUMP SYSTEM RECOOLING PUMP UNIT TEMPERATURE - COOLING PUMP INPUT ANALOG PROCESS SIGNAL</v>
      </c>
      <c r="G20" s="29" t="s">
        <v>1651</v>
      </c>
      <c r="H20" s="29" t="s">
        <v>1652</v>
      </c>
      <c r="I20" s="29" t="str">
        <f t="shared" si="4"/>
        <v>01</v>
      </c>
      <c r="J20" s="29" t="s">
        <v>1653</v>
      </c>
      <c r="K20" s="29" t="s">
        <v>1709</v>
      </c>
      <c r="L20" s="29" t="s">
        <v>1710</v>
      </c>
      <c r="M20" s="29" t="s">
        <v>1619</v>
      </c>
      <c r="N20" s="29" t="s">
        <v>1711</v>
      </c>
      <c r="O20" s="29" t="s">
        <v>1678</v>
      </c>
      <c r="P20" s="29" t="s">
        <v>1752</v>
      </c>
      <c r="Q20" s="29" t="s">
        <v>1623</v>
      </c>
      <c r="R20" s="29" t="s">
        <v>1753</v>
      </c>
      <c r="S20" s="29" t="s">
        <v>1715</v>
      </c>
      <c r="T20" s="29" t="s">
        <v>1768</v>
      </c>
      <c r="U20" s="29" t="s">
        <v>193</v>
      </c>
      <c r="V20" s="29" t="s">
        <v>1083</v>
      </c>
      <c r="W20" s="35" t="s">
        <v>1662</v>
      </c>
      <c r="X20" s="35" t="s">
        <v>1717</v>
      </c>
      <c r="Y20" s="35" t="s">
        <v>1683</v>
      </c>
      <c r="Z20" s="35" t="s">
        <v>1719</v>
      </c>
      <c r="AA20" s="35" t="s">
        <v>1666</v>
      </c>
      <c r="AB20" s="29" t="s">
        <v>1715</v>
      </c>
      <c r="AC20" s="35" t="s">
        <v>1633</v>
      </c>
      <c r="AD20" s="35" t="s">
        <v>1668</v>
      </c>
      <c r="AE20" s="35" t="s">
        <v>1668</v>
      </c>
      <c r="AF20" s="35" t="s">
        <v>1635</v>
      </c>
      <c r="AG20" s="35" t="s">
        <v>1670</v>
      </c>
      <c r="AI20" s="35"/>
      <c r="AJ20" s="35" t="s">
        <v>1671</v>
      </c>
      <c r="AK20" s="35" t="s">
        <v>1672</v>
      </c>
      <c r="AL20" s="29" t="s">
        <v>1706</v>
      </c>
      <c r="AM20" s="35" t="s">
        <v>1721</v>
      </c>
      <c r="AN20" s="35" t="s">
        <v>1722</v>
      </c>
      <c r="AO20" s="35"/>
      <c r="AP20" s="35"/>
      <c r="AQ20" s="35"/>
      <c r="AS20" s="35"/>
      <c r="AU20" s="35"/>
      <c r="AW20" s="35"/>
      <c r="AY20" s="35"/>
      <c r="AZ20" s="35"/>
      <c r="BA20" s="35"/>
      <c r="BH20" s="29" t="s">
        <v>1723</v>
      </c>
      <c r="BI20" s="35"/>
      <c r="BJ20" s="35"/>
    </row>
    <row r="21" spans="1:67" x14ac:dyDescent="0.3">
      <c r="A21" s="29" t="s">
        <v>1769</v>
      </c>
      <c r="B21" s="36" t="str">
        <f t="shared" si="0"/>
        <v>A01PAD01KF001-BT01</v>
      </c>
      <c r="C21" s="33" t="s">
        <v>1770</v>
      </c>
      <c r="D21" s="34" t="str">
        <f t="shared" si="1"/>
        <v>AUX COOL WTR CTRL U1 TEMP1 ANALOG1</v>
      </c>
      <c r="E21" s="31">
        <f t="shared" si="2"/>
        <v>34</v>
      </c>
      <c r="F21" s="32" t="str">
        <f t="shared" si="3"/>
        <v>ANCILLARY/AUXILIARY SYSTEMS AUXILLIARY SYSTEMS COOLING WATER SYSTEMS COOLING WATER SYSTEM CONTROL UNIT SYSTEM COOLING WATER SYSTEM CONTROL UNIT TEMPERATURE - OUTSIDE ANALOG PROCESS SIGNAL</v>
      </c>
      <c r="G21" s="29" t="s">
        <v>1651</v>
      </c>
      <c r="H21" s="29" t="s">
        <v>1652</v>
      </c>
      <c r="I21" s="29" t="str">
        <f t="shared" si="4"/>
        <v>01</v>
      </c>
      <c r="J21" s="29" t="s">
        <v>1653</v>
      </c>
      <c r="K21" s="29" t="s">
        <v>1709</v>
      </c>
      <c r="L21" s="29" t="s">
        <v>1710</v>
      </c>
      <c r="M21" s="29" t="s">
        <v>1619</v>
      </c>
      <c r="N21" s="29" t="s">
        <v>1711</v>
      </c>
      <c r="O21" s="29" t="s">
        <v>1771</v>
      </c>
      <c r="P21" s="29" t="s">
        <v>1772</v>
      </c>
      <c r="Q21" s="29" t="s">
        <v>1623</v>
      </c>
      <c r="R21" s="29" t="s">
        <v>1773</v>
      </c>
      <c r="S21" s="29" t="s">
        <v>1715</v>
      </c>
      <c r="T21" s="29" t="s">
        <v>1774</v>
      </c>
      <c r="U21" s="29" t="s">
        <v>193</v>
      </c>
      <c r="V21" s="29" t="s">
        <v>1083</v>
      </c>
      <c r="W21" s="35" t="s">
        <v>1662</v>
      </c>
      <c r="X21" s="35" t="s">
        <v>1717</v>
      </c>
      <c r="Y21" s="35" t="s">
        <v>1775</v>
      </c>
      <c r="Z21" s="35" t="s">
        <v>1719</v>
      </c>
      <c r="AA21" s="35" t="s">
        <v>1666</v>
      </c>
      <c r="AB21" s="29" t="s">
        <v>1667</v>
      </c>
      <c r="AC21" s="35" t="s">
        <v>1633</v>
      </c>
      <c r="AD21" s="35" t="s">
        <v>1668</v>
      </c>
      <c r="AE21" s="35" t="s">
        <v>1668</v>
      </c>
      <c r="AF21" s="35" t="s">
        <v>1635</v>
      </c>
      <c r="AG21" s="35" t="s">
        <v>1670</v>
      </c>
      <c r="AI21" s="35"/>
      <c r="AJ21" s="35" t="s">
        <v>1671</v>
      </c>
      <c r="AK21" s="35" t="s">
        <v>1672</v>
      </c>
      <c r="AL21" s="29" t="s">
        <v>1706</v>
      </c>
      <c r="AM21" s="35" t="s">
        <v>1776</v>
      </c>
      <c r="AN21" s="35" t="s">
        <v>1777</v>
      </c>
      <c r="AO21" s="35"/>
      <c r="AP21" s="35"/>
      <c r="AQ21" s="35"/>
      <c r="AS21" s="35"/>
      <c r="AU21" s="35"/>
      <c r="AW21" s="35"/>
      <c r="AY21" s="35"/>
      <c r="AZ21" s="35"/>
      <c r="BA21" s="35"/>
      <c r="BH21" s="29" t="s">
        <v>1778</v>
      </c>
      <c r="BI21" s="35"/>
      <c r="BJ21" s="35"/>
      <c r="BK21" s="29" t="str" cm="1">
        <f t="array" ref="BK21">_xlfn.UNIQUE(MID(BB21,16,14))</f>
        <v/>
      </c>
    </row>
    <row r="22" spans="1:67" x14ac:dyDescent="0.3">
      <c r="A22" s="29" t="s">
        <v>1779</v>
      </c>
      <c r="B22" s="36" t="str">
        <f t="shared" si="0"/>
        <v>A01PAD01WP001-BF01</v>
      </c>
      <c r="C22" s="33" t="s">
        <v>1780</v>
      </c>
      <c r="D22" s="34" t="str">
        <f t="shared" si="1"/>
        <v>AUX COOL WTR PIPING FLOW1 ANALOG1</v>
      </c>
      <c r="E22" s="31">
        <f t="shared" si="2"/>
        <v>33</v>
      </c>
      <c r="F22" s="32" t="str">
        <f t="shared" si="3"/>
        <v>ANCILLARY/AUXILIARY SYSTEMS AUXILLIARY SYSTEMS COOLING WATER SYSTEMS COOLING WATER SYSTEM RECOOLING WATER DISTRIBUTION SYSTEM COOLING WATER PIPE SYSTEM FLOWMETER - COOLING SYSTEM OUTLET ANALOG PROCESS SIGNAL</v>
      </c>
      <c r="G22" s="29" t="s">
        <v>1651</v>
      </c>
      <c r="H22" s="29" t="s">
        <v>1652</v>
      </c>
      <c r="I22" s="29" t="str">
        <f t="shared" si="4"/>
        <v>01</v>
      </c>
      <c r="J22" s="29" t="s">
        <v>1653</v>
      </c>
      <c r="K22" s="29" t="s">
        <v>1709</v>
      </c>
      <c r="L22" s="29" t="s">
        <v>1710</v>
      </c>
      <c r="M22" s="29" t="s">
        <v>1619</v>
      </c>
      <c r="N22" s="29" t="s">
        <v>1711</v>
      </c>
      <c r="O22" s="29" t="s">
        <v>1781</v>
      </c>
      <c r="P22" s="29" t="s">
        <v>1782</v>
      </c>
      <c r="Q22" s="29" t="s">
        <v>1623</v>
      </c>
      <c r="R22" s="29" t="s">
        <v>1783</v>
      </c>
      <c r="S22" s="29" t="s">
        <v>1625</v>
      </c>
      <c r="T22" s="29" t="s">
        <v>1784</v>
      </c>
      <c r="U22" s="29" t="s">
        <v>193</v>
      </c>
      <c r="V22" s="29" t="s">
        <v>1083</v>
      </c>
      <c r="W22" s="35" t="s">
        <v>1662</v>
      </c>
      <c r="X22" s="35" t="s">
        <v>1717</v>
      </c>
      <c r="Y22" s="35" t="s">
        <v>1785</v>
      </c>
      <c r="Z22" s="35" t="s">
        <v>1631</v>
      </c>
      <c r="AA22" s="35" t="s">
        <v>1666</v>
      </c>
      <c r="AB22" s="29" t="s">
        <v>1625</v>
      </c>
      <c r="AC22" s="35" t="s">
        <v>1633</v>
      </c>
      <c r="AD22" s="35" t="s">
        <v>1668</v>
      </c>
      <c r="AE22" s="35" t="s">
        <v>1668</v>
      </c>
      <c r="AF22" s="35" t="s">
        <v>1635</v>
      </c>
      <c r="AG22" s="35" t="s">
        <v>1670</v>
      </c>
      <c r="AI22" s="35"/>
      <c r="AJ22" s="35" t="s">
        <v>1671</v>
      </c>
      <c r="AK22" s="35" t="s">
        <v>1672</v>
      </c>
      <c r="AL22" s="29" t="s">
        <v>1697</v>
      </c>
      <c r="AM22" s="35"/>
      <c r="AN22" s="35"/>
      <c r="AO22" s="35"/>
      <c r="AP22" s="35"/>
      <c r="AQ22" s="35"/>
      <c r="AS22" s="35"/>
      <c r="AU22" s="35"/>
      <c r="AW22" s="35"/>
      <c r="AY22" s="35"/>
      <c r="AZ22" s="35"/>
      <c r="BA22" s="35"/>
      <c r="BH22" s="29" t="s">
        <v>1723</v>
      </c>
      <c r="BI22" s="35"/>
      <c r="BJ22" s="35"/>
      <c r="BK22" s="29" t="str" cm="1">
        <f t="array" ref="BK22">_xlfn.UNIQUE(MID(BB22,16,14))</f>
        <v/>
      </c>
    </row>
    <row r="23" spans="1:67" x14ac:dyDescent="0.3">
      <c r="A23" s="29" t="s">
        <v>1779</v>
      </c>
      <c r="B23" s="36" t="str">
        <f t="shared" si="0"/>
        <v>A01PAD01WP001-BP01</v>
      </c>
      <c r="C23" s="33" t="s">
        <v>1786</v>
      </c>
      <c r="D23" s="34" t="str">
        <f t="shared" si="1"/>
        <v>AUX COOL WTR PIPING PRES1 ANALOG1</v>
      </c>
      <c r="E23" s="31">
        <f t="shared" si="2"/>
        <v>33</v>
      </c>
      <c r="F23" s="32" t="str">
        <f t="shared" si="3"/>
        <v>ANCILLARY/AUXILIARY SYSTEMS AUXILLIARY SYSTEMS COOLING WATER SYSTEMS COOLING WATER SYSTEM RECOOLING WATER DISTRIBUTION SYSTEM COOLING WATER PIPE SYSTEM PRESSURE - COOLING SYSTEM OUTLET ANALOG PROCESS SIGNAL</v>
      </c>
      <c r="G23" s="29" t="s">
        <v>1651</v>
      </c>
      <c r="H23" s="29" t="s">
        <v>1652</v>
      </c>
      <c r="I23" s="29" t="str">
        <f t="shared" si="4"/>
        <v>01</v>
      </c>
      <c r="J23" s="29" t="s">
        <v>1653</v>
      </c>
      <c r="K23" s="29" t="s">
        <v>1709</v>
      </c>
      <c r="L23" s="29" t="s">
        <v>1710</v>
      </c>
      <c r="M23" s="29" t="s">
        <v>1619</v>
      </c>
      <c r="N23" s="29" t="s">
        <v>1711</v>
      </c>
      <c r="O23" s="29" t="s">
        <v>1781</v>
      </c>
      <c r="P23" s="29" t="s">
        <v>1782</v>
      </c>
      <c r="Q23" s="29" t="s">
        <v>1623</v>
      </c>
      <c r="R23" s="29" t="s">
        <v>1783</v>
      </c>
      <c r="S23" s="29" t="s">
        <v>1681</v>
      </c>
      <c r="T23" s="29" t="s">
        <v>1787</v>
      </c>
      <c r="U23" s="29" t="s">
        <v>193</v>
      </c>
      <c r="V23" s="29" t="s">
        <v>1083</v>
      </c>
      <c r="W23" s="35" t="s">
        <v>1662</v>
      </c>
      <c r="X23" s="35" t="s">
        <v>1717</v>
      </c>
      <c r="Y23" s="35" t="s">
        <v>1785</v>
      </c>
      <c r="Z23" s="35" t="s">
        <v>1684</v>
      </c>
      <c r="AA23" s="35" t="s">
        <v>1666</v>
      </c>
      <c r="AB23" s="29" t="s">
        <v>1681</v>
      </c>
      <c r="AC23" s="35" t="s">
        <v>1633</v>
      </c>
      <c r="AD23" s="35" t="s">
        <v>1668</v>
      </c>
      <c r="AE23" s="35" t="s">
        <v>1668</v>
      </c>
      <c r="AF23" s="35" t="s">
        <v>1635</v>
      </c>
      <c r="AG23" s="35" t="s">
        <v>1670</v>
      </c>
      <c r="AI23" s="35"/>
      <c r="AJ23" s="35" t="s">
        <v>1671</v>
      </c>
      <c r="AK23" s="35" t="s">
        <v>1672</v>
      </c>
      <c r="AL23" s="29" t="s">
        <v>1685</v>
      </c>
      <c r="AM23" s="35" t="s">
        <v>1765</v>
      </c>
      <c r="AN23" s="35" t="s">
        <v>1766</v>
      </c>
      <c r="AO23" s="35"/>
      <c r="AP23" s="35"/>
      <c r="AQ23" s="35"/>
      <c r="AS23" s="35"/>
      <c r="AT23" s="29" t="s">
        <v>1640</v>
      </c>
      <c r="AU23" s="35"/>
      <c r="AW23" s="35"/>
      <c r="AY23" s="35"/>
      <c r="AZ23" s="35"/>
      <c r="BA23" s="35"/>
      <c r="BH23" s="29" t="s">
        <v>1723</v>
      </c>
      <c r="BI23" s="35"/>
      <c r="BJ23" s="35"/>
      <c r="BK23" s="29" t="str" cm="1">
        <f t="array" ref="BK23">_xlfn.UNIQUE(MID(BB23,16,14))</f>
        <v/>
      </c>
    </row>
    <row r="24" spans="1:67" x14ac:dyDescent="0.3">
      <c r="A24" s="29" t="s">
        <v>1779</v>
      </c>
      <c r="B24" s="36" t="str">
        <f t="shared" si="0"/>
        <v>A01PAD01WP001-BT01</v>
      </c>
      <c r="C24" s="33" t="s">
        <v>1788</v>
      </c>
      <c r="D24" s="34" t="str">
        <f t="shared" si="1"/>
        <v>AUX COOL WTR PIPING TEMP1 ANALOG1</v>
      </c>
      <c r="E24" s="31">
        <f t="shared" si="2"/>
        <v>33</v>
      </c>
      <c r="F24" s="32" t="str">
        <f t="shared" si="3"/>
        <v>ANCILLARY/AUXILIARY SYSTEMS AUXILLIARY SYSTEMS COOLING WATER SYSTEMS COOLING WATER SYSTEM RECOOLING WATER DISTRIBUTION SYSTEM COOLING WATER PIPE SYSTEM TEMPERATURE - COOLING SYSTEM OUTLET ANALOG PROCESS SIGNAL</v>
      </c>
      <c r="G24" s="29" t="s">
        <v>1651</v>
      </c>
      <c r="H24" s="29" t="s">
        <v>1652</v>
      </c>
      <c r="I24" s="29" t="str">
        <f t="shared" si="4"/>
        <v>01</v>
      </c>
      <c r="J24" s="29" t="s">
        <v>1653</v>
      </c>
      <c r="K24" s="29" t="s">
        <v>1709</v>
      </c>
      <c r="L24" s="29" t="s">
        <v>1710</v>
      </c>
      <c r="M24" s="29" t="s">
        <v>1619</v>
      </c>
      <c r="N24" s="29" t="s">
        <v>1711</v>
      </c>
      <c r="O24" s="29" t="s">
        <v>1781</v>
      </c>
      <c r="P24" s="29" t="s">
        <v>1782</v>
      </c>
      <c r="Q24" s="29" t="s">
        <v>1623</v>
      </c>
      <c r="R24" s="29" t="s">
        <v>1783</v>
      </c>
      <c r="S24" s="29" t="s">
        <v>1715</v>
      </c>
      <c r="T24" s="29" t="s">
        <v>1789</v>
      </c>
      <c r="U24" s="29" t="s">
        <v>193</v>
      </c>
      <c r="V24" s="29" t="s">
        <v>1083</v>
      </c>
      <c r="W24" s="35" t="s">
        <v>1662</v>
      </c>
      <c r="X24" s="35" t="s">
        <v>1717</v>
      </c>
      <c r="Y24" s="35" t="s">
        <v>1785</v>
      </c>
      <c r="Z24" s="35" t="s">
        <v>1719</v>
      </c>
      <c r="AA24" s="35" t="s">
        <v>1666</v>
      </c>
      <c r="AB24" s="29" t="s">
        <v>1715</v>
      </c>
      <c r="AC24" s="35" t="s">
        <v>1633</v>
      </c>
      <c r="AD24" s="35" t="s">
        <v>1668</v>
      </c>
      <c r="AE24" s="35" t="s">
        <v>1668</v>
      </c>
      <c r="AF24" s="35" t="s">
        <v>1635</v>
      </c>
      <c r="AG24" s="35" t="s">
        <v>1670</v>
      </c>
      <c r="AI24" s="35"/>
      <c r="AJ24" s="35" t="s">
        <v>1671</v>
      </c>
      <c r="AK24" s="35" t="s">
        <v>1672</v>
      </c>
      <c r="AL24" s="29" t="s">
        <v>1706</v>
      </c>
      <c r="AM24" s="35" t="s">
        <v>1721</v>
      </c>
      <c r="AN24" s="35" t="s">
        <v>1722</v>
      </c>
      <c r="AO24" s="35"/>
      <c r="AP24" s="35"/>
      <c r="AQ24" s="35"/>
      <c r="AS24" s="35"/>
      <c r="AT24" s="29" t="s">
        <v>1640</v>
      </c>
      <c r="AU24" s="35"/>
      <c r="AV24" s="29" t="s">
        <v>1641</v>
      </c>
      <c r="AW24" s="35"/>
      <c r="AX24" s="29" t="s">
        <v>1674</v>
      </c>
      <c r="AY24" s="35"/>
      <c r="AZ24" s="35"/>
      <c r="BA24" s="35"/>
      <c r="BH24" s="29" t="s">
        <v>1723</v>
      </c>
      <c r="BI24" s="35"/>
      <c r="BJ24" s="35"/>
      <c r="BK24" s="29" t="str" cm="1">
        <f t="array" ref="BK24">_xlfn.UNIQUE(MID(BB24,16,14))</f>
        <v/>
      </c>
    </row>
    <row r="25" spans="1:67" x14ac:dyDescent="0.3">
      <c r="A25" s="29" t="s">
        <v>1779</v>
      </c>
      <c r="B25" s="36" t="str">
        <f t="shared" si="0"/>
        <v>A01PAD01WP001-BT02</v>
      </c>
      <c r="C25" s="33" t="s">
        <v>1790</v>
      </c>
      <c r="D25" s="34" t="str">
        <f t="shared" si="1"/>
        <v>AUX COOL WTR PIPING TEMP2 ANALOG1</v>
      </c>
      <c r="E25" s="31">
        <f t="shared" si="2"/>
        <v>33</v>
      </c>
      <c r="F25" s="32" t="str">
        <f t="shared" si="3"/>
        <v>ANCILLARY/AUXILIARY SYSTEMS AUXILLIARY SYSTEMS COOLING WATER SYSTEMS COOLING WATER SYSTEM RECOOLING WATER DISTRIBUTION SYSTEM COOLING WATER PIPE SYSTEM TEMPERATURE - COMPRESSOR COOLINGWATER RETURN ANALOG PROCESS SIGNAL</v>
      </c>
      <c r="G25" s="29" t="s">
        <v>1651</v>
      </c>
      <c r="H25" s="29" t="s">
        <v>1652</v>
      </c>
      <c r="I25" s="29" t="str">
        <f t="shared" si="4"/>
        <v>01</v>
      </c>
      <c r="J25" s="29" t="s">
        <v>1653</v>
      </c>
      <c r="K25" s="29" t="s">
        <v>1709</v>
      </c>
      <c r="L25" s="29" t="s">
        <v>1710</v>
      </c>
      <c r="M25" s="29" t="s">
        <v>1619</v>
      </c>
      <c r="N25" s="29" t="s">
        <v>1711</v>
      </c>
      <c r="O25" s="29" t="s">
        <v>1781</v>
      </c>
      <c r="P25" s="29" t="s">
        <v>1782</v>
      </c>
      <c r="Q25" s="29" t="s">
        <v>1623</v>
      </c>
      <c r="R25" s="29" t="s">
        <v>1783</v>
      </c>
      <c r="S25" s="29" t="s">
        <v>1791</v>
      </c>
      <c r="T25" s="29" t="s">
        <v>1792</v>
      </c>
      <c r="U25" s="29" t="s">
        <v>193</v>
      </c>
      <c r="V25" s="29" t="s">
        <v>1083</v>
      </c>
      <c r="W25" s="35" t="s">
        <v>1662</v>
      </c>
      <c r="X25" s="35" t="s">
        <v>1717</v>
      </c>
      <c r="Y25" s="35" t="s">
        <v>1785</v>
      </c>
      <c r="Z25" s="35" t="s">
        <v>1793</v>
      </c>
      <c r="AA25" s="35" t="s">
        <v>1666</v>
      </c>
      <c r="AB25" s="29" t="s">
        <v>1791</v>
      </c>
      <c r="AC25" s="35" t="s">
        <v>1633</v>
      </c>
      <c r="AD25" s="35" t="s">
        <v>1668</v>
      </c>
      <c r="AE25" s="35" t="s">
        <v>1668</v>
      </c>
      <c r="AF25" s="35" t="s">
        <v>1635</v>
      </c>
      <c r="AG25" s="35" t="s">
        <v>1670</v>
      </c>
      <c r="AI25" s="35"/>
      <c r="AJ25" s="35" t="s">
        <v>1671</v>
      </c>
      <c r="AK25" s="35" t="s">
        <v>1672</v>
      </c>
      <c r="AL25" s="29" t="s">
        <v>1706</v>
      </c>
      <c r="AM25" s="35" t="s">
        <v>1721</v>
      </c>
      <c r="AN25" s="35" t="s">
        <v>1722</v>
      </c>
      <c r="AO25" s="35"/>
      <c r="AP25" s="35"/>
      <c r="AQ25" s="35"/>
      <c r="AS25" s="35"/>
      <c r="AU25" s="35"/>
      <c r="AW25" s="35"/>
      <c r="AY25" s="35"/>
      <c r="AZ25" s="35"/>
      <c r="BA25" s="35"/>
      <c r="BH25" s="29" t="s">
        <v>1794</v>
      </c>
      <c r="BI25" s="35"/>
      <c r="BJ25" s="35"/>
      <c r="BK25" s="29" t="str" cm="1">
        <f t="array" ref="BK25">_xlfn.UNIQUE(MID(BB25,16,14))</f>
        <v/>
      </c>
    </row>
    <row r="26" spans="1:67" x14ac:dyDescent="0.3">
      <c r="A26" s="29" t="s">
        <v>1779</v>
      </c>
      <c r="B26" s="36" t="str">
        <f t="shared" si="0"/>
        <v>A01PAD01WP001-BT03</v>
      </c>
      <c r="C26" s="33" t="s">
        <v>1795</v>
      </c>
      <c r="D26" s="34" t="str">
        <f t="shared" si="1"/>
        <v>AUX COOL WTR PIPING TEMP3 ANALOG1</v>
      </c>
      <c r="E26" s="31">
        <f t="shared" si="2"/>
        <v>33</v>
      </c>
      <c r="F26" s="32" t="str">
        <f t="shared" si="3"/>
        <v>ANCILLARY/AUXILIARY SYSTEMS AUXILLIARY SYSTEMS COOLING WATER SYSTEMS COOLING WATER SYSTEM RECOOLING WATER DISTRIBUTION SYSTEM COOLING WATER PIPE SYSTEM TEMPERATURE - HVAC COOLINGWATER RETURN ANALOG PROCESS SIGNAL</v>
      </c>
      <c r="G26" s="29" t="s">
        <v>1651</v>
      </c>
      <c r="H26" s="29" t="s">
        <v>1652</v>
      </c>
      <c r="I26" s="29" t="str">
        <f t="shared" si="4"/>
        <v>01</v>
      </c>
      <c r="J26" s="29" t="s">
        <v>1653</v>
      </c>
      <c r="K26" s="29" t="s">
        <v>1709</v>
      </c>
      <c r="L26" s="29" t="s">
        <v>1710</v>
      </c>
      <c r="M26" s="29" t="s">
        <v>1619</v>
      </c>
      <c r="N26" s="29" t="s">
        <v>1711</v>
      </c>
      <c r="O26" s="29" t="s">
        <v>1781</v>
      </c>
      <c r="P26" s="29" t="s">
        <v>1782</v>
      </c>
      <c r="Q26" s="29" t="s">
        <v>1623</v>
      </c>
      <c r="R26" s="29" t="s">
        <v>1783</v>
      </c>
      <c r="S26" s="29" t="s">
        <v>1796</v>
      </c>
      <c r="T26" s="29" t="s">
        <v>1797</v>
      </c>
      <c r="U26" s="29" t="s">
        <v>193</v>
      </c>
      <c r="V26" s="29" t="s">
        <v>1083</v>
      </c>
      <c r="W26" s="35" t="s">
        <v>1662</v>
      </c>
      <c r="X26" s="35" t="s">
        <v>1717</v>
      </c>
      <c r="Y26" s="35" t="s">
        <v>1785</v>
      </c>
      <c r="Z26" s="35" t="s">
        <v>1798</v>
      </c>
      <c r="AA26" s="35" t="s">
        <v>1666</v>
      </c>
      <c r="AB26" s="29" t="s">
        <v>1796</v>
      </c>
      <c r="AC26" s="35" t="s">
        <v>1633</v>
      </c>
      <c r="AD26" s="35" t="s">
        <v>1668</v>
      </c>
      <c r="AE26" s="35" t="s">
        <v>1668</v>
      </c>
      <c r="AF26" s="35" t="s">
        <v>1635</v>
      </c>
      <c r="AG26" s="35" t="s">
        <v>1670</v>
      </c>
      <c r="AI26" s="35"/>
      <c r="AJ26" s="35" t="s">
        <v>1671</v>
      </c>
      <c r="AK26" s="35" t="s">
        <v>1672</v>
      </c>
      <c r="AL26" s="29" t="s">
        <v>1706</v>
      </c>
      <c r="AM26" s="35" t="s">
        <v>1721</v>
      </c>
      <c r="AN26" s="35" t="s">
        <v>1722</v>
      </c>
      <c r="AO26" s="35"/>
      <c r="AP26" s="35"/>
      <c r="AQ26" s="35"/>
      <c r="AS26" s="35"/>
      <c r="AU26" s="35"/>
      <c r="AW26" s="35"/>
      <c r="AY26" s="35"/>
      <c r="AZ26" s="35"/>
      <c r="BA26" s="35"/>
      <c r="BH26" s="29" t="s">
        <v>1794</v>
      </c>
      <c r="BI26" s="35"/>
      <c r="BJ26" s="35"/>
      <c r="BK26" s="29" t="str" cm="1">
        <f t="array" ref="BK26">_xlfn.UNIQUE(MID(BB26,16,14))</f>
        <v/>
      </c>
    </row>
    <row r="27" spans="1:67" x14ac:dyDescent="0.3">
      <c r="A27" s="29" t="s">
        <v>1779</v>
      </c>
      <c r="B27" s="36" t="str">
        <f t="shared" si="0"/>
        <v>A01PAD01WP001-QN01</v>
      </c>
      <c r="C27" s="33" t="s">
        <v>1799</v>
      </c>
      <c r="D27" s="34" t="str">
        <f t="shared" si="1"/>
        <v>AUX COOL WTR PIPING CV1 ANALOG1</v>
      </c>
      <c r="E27" s="31">
        <f t="shared" si="2"/>
        <v>31</v>
      </c>
      <c r="F27" s="32" t="str">
        <f t="shared" si="3"/>
        <v>ANCILLARY/AUXILIARY SYSTEMS AUXILLIARY SYSTEMS COOLING WATER SYSTEMS COOLING WATER SYSTEM RECOOLING WATER DISTRIBUTION SYSTEM COOLING WATER PIPE SYSTEM CONTROL VALVE - COMPRESSOR COOLINGWATER RETURN ANALOG PROCESS SIGNAL</v>
      </c>
      <c r="G27" s="29" t="s">
        <v>1651</v>
      </c>
      <c r="H27" s="29" t="s">
        <v>1652</v>
      </c>
      <c r="I27" s="29" t="str">
        <f t="shared" si="4"/>
        <v>01</v>
      </c>
      <c r="J27" s="29" t="s">
        <v>1653</v>
      </c>
      <c r="K27" s="29" t="s">
        <v>1709</v>
      </c>
      <c r="L27" s="29" t="s">
        <v>1710</v>
      </c>
      <c r="M27" s="29" t="s">
        <v>1619</v>
      </c>
      <c r="N27" s="29" t="s">
        <v>1711</v>
      </c>
      <c r="O27" s="29" t="s">
        <v>1781</v>
      </c>
      <c r="P27" s="29" t="s">
        <v>1782</v>
      </c>
      <c r="Q27" s="29" t="s">
        <v>1623</v>
      </c>
      <c r="R27" s="29" t="s">
        <v>1783</v>
      </c>
      <c r="S27" s="29" t="s">
        <v>1800</v>
      </c>
      <c r="T27" s="29" t="s">
        <v>1801</v>
      </c>
      <c r="U27" s="29" t="s">
        <v>193</v>
      </c>
      <c r="V27" s="29" t="s">
        <v>1083</v>
      </c>
      <c r="W27" s="35" t="s">
        <v>1662</v>
      </c>
      <c r="X27" s="35" t="s">
        <v>1717</v>
      </c>
      <c r="Y27" s="35" t="s">
        <v>1785</v>
      </c>
      <c r="Z27" s="35" t="s">
        <v>1802</v>
      </c>
      <c r="AA27" s="35" t="s">
        <v>1666</v>
      </c>
      <c r="AB27" s="29" t="s">
        <v>1667</v>
      </c>
      <c r="AC27" s="35" t="s">
        <v>1633</v>
      </c>
      <c r="AD27" s="35" t="s">
        <v>1668</v>
      </c>
      <c r="AE27" s="35" t="s">
        <v>1668</v>
      </c>
      <c r="AF27" s="35" t="s">
        <v>1635</v>
      </c>
      <c r="AG27" s="35" t="s">
        <v>1670</v>
      </c>
      <c r="AI27" s="35"/>
      <c r="AJ27" s="35" t="s">
        <v>1671</v>
      </c>
      <c r="AK27" s="35" t="s">
        <v>1672</v>
      </c>
      <c r="AL27" s="29" t="s">
        <v>1803</v>
      </c>
      <c r="AM27" s="35"/>
      <c r="AN27" s="35"/>
      <c r="AO27" s="35"/>
      <c r="AP27" s="35"/>
      <c r="AQ27" s="35"/>
      <c r="AS27" s="35"/>
      <c r="AU27" s="35"/>
      <c r="AW27" s="35"/>
      <c r="AY27" s="35"/>
      <c r="AZ27" s="35"/>
      <c r="BA27" s="35"/>
      <c r="BD27" s="29" t="s">
        <v>1804</v>
      </c>
      <c r="BE27" s="29" t="s">
        <v>1805</v>
      </c>
      <c r="BH27" s="29" t="s">
        <v>1794</v>
      </c>
      <c r="BI27" s="35"/>
      <c r="BJ27" s="35"/>
      <c r="BK27" s="29" t="str" cm="1">
        <f t="array" ref="BK27">_xlfn.UNIQUE(MID(BB27,16,14))</f>
        <v/>
      </c>
    </row>
    <row r="28" spans="1:67" x14ac:dyDescent="0.3">
      <c r="A28" s="29" t="s">
        <v>1806</v>
      </c>
      <c r="B28" s="36" t="str">
        <f t="shared" si="0"/>
        <v>A01QFB01QM001-BP01</v>
      </c>
      <c r="C28" s="33" t="s">
        <v>1807</v>
      </c>
      <c r="D28" s="34" t="str">
        <f t="shared" si="1"/>
        <v>AUX CTRL AIR DIST PRES1 ANALOG1</v>
      </c>
      <c r="E28" s="31">
        <f t="shared" si="2"/>
        <v>31</v>
      </c>
      <c r="F28" s="32" t="str">
        <f t="shared" si="3"/>
        <v>ANCILLARY/AUXILIARY SYSTEMS AUXILLIARY SYSTEMS INSTRUMENT AIR SUPPLY SYSTEM INSTRUMENT AIR SUPPLY SYSTEM 1 INSTRUMENT AIR DISTRIBUTION SYSTEM INSTRUMENT AIR DISTRIBUTION 10922; GAUGE PRESSURE TRANSM. WITHOUT PRESSURE REPEATER ANALOG PROCESS SIGNAL</v>
      </c>
      <c r="G28" s="29" t="s">
        <v>1651</v>
      </c>
      <c r="H28" s="29" t="s">
        <v>1652</v>
      </c>
      <c r="I28" s="29" t="str">
        <f t="shared" si="4"/>
        <v>01</v>
      </c>
      <c r="J28" s="29" t="s">
        <v>1653</v>
      </c>
      <c r="K28" s="29" t="s">
        <v>1808</v>
      </c>
      <c r="L28" s="29" t="s">
        <v>1809</v>
      </c>
      <c r="M28" s="29" t="s">
        <v>1619</v>
      </c>
      <c r="N28" s="29" t="s">
        <v>1810</v>
      </c>
      <c r="O28" s="29" t="s">
        <v>1811</v>
      </c>
      <c r="P28" s="29" t="s">
        <v>1812</v>
      </c>
      <c r="Q28" s="29" t="s">
        <v>1623</v>
      </c>
      <c r="R28" s="29" t="s">
        <v>1813</v>
      </c>
      <c r="S28" s="29" t="s">
        <v>1681</v>
      </c>
      <c r="T28" s="29" t="s">
        <v>1814</v>
      </c>
      <c r="U28" s="29" t="s">
        <v>193</v>
      </c>
      <c r="V28" s="29" t="s">
        <v>1083</v>
      </c>
      <c r="W28" s="35" t="s">
        <v>1662</v>
      </c>
      <c r="X28" s="35" t="s">
        <v>1815</v>
      </c>
      <c r="Y28" s="35" t="s">
        <v>1816</v>
      </c>
      <c r="Z28" s="35" t="s">
        <v>1684</v>
      </c>
      <c r="AA28" s="35" t="s">
        <v>1666</v>
      </c>
      <c r="AB28" s="29" t="s">
        <v>1681</v>
      </c>
      <c r="AC28" s="35" t="s">
        <v>1633</v>
      </c>
      <c r="AD28" s="35" t="s">
        <v>1668</v>
      </c>
      <c r="AE28" s="35" t="s">
        <v>1668</v>
      </c>
      <c r="AF28" s="35" t="s">
        <v>1635</v>
      </c>
      <c r="AG28" s="35" t="s">
        <v>1670</v>
      </c>
      <c r="AI28" s="35"/>
      <c r="AJ28" s="35" t="s">
        <v>1671</v>
      </c>
      <c r="AK28" s="35" t="s">
        <v>1672</v>
      </c>
      <c r="AL28" s="29" t="s">
        <v>1685</v>
      </c>
      <c r="AM28" s="35"/>
      <c r="AN28" s="35"/>
      <c r="AO28" s="35"/>
      <c r="AP28" s="35"/>
      <c r="AQ28" s="35"/>
      <c r="AS28" s="35"/>
      <c r="AU28" s="35"/>
      <c r="AV28" s="29" t="s">
        <v>1641</v>
      </c>
      <c r="AW28" s="35"/>
      <c r="AX28" s="29" t="s">
        <v>1674</v>
      </c>
      <c r="AY28" s="35"/>
      <c r="AZ28" s="35"/>
      <c r="BA28" s="35"/>
      <c r="BH28" s="29" t="s">
        <v>1817</v>
      </c>
      <c r="BI28" s="35"/>
      <c r="BJ28" s="35"/>
      <c r="BK28" s="29" t="str" cm="1">
        <f t="array" ref="BK28">_xlfn.UNIQUE(MID(BB28,16,14))</f>
        <v/>
      </c>
    </row>
    <row r="29" spans="1:67" x14ac:dyDescent="0.3">
      <c r="A29" s="29" t="s">
        <v>1818</v>
      </c>
      <c r="B29" s="36" t="str">
        <f t="shared" si="0"/>
        <v>A01QJB01WP001-BP01</v>
      </c>
      <c r="C29" s="33" t="s">
        <v>1819</v>
      </c>
      <c r="D29" s="34" t="str">
        <f t="shared" si="1"/>
        <v>AUX N2 SUP PIPING PRES1 ANALOG1</v>
      </c>
      <c r="E29" s="31">
        <f t="shared" si="2"/>
        <v>31</v>
      </c>
      <c r="F29" s="32" t="str">
        <f t="shared" si="3"/>
        <v>ANCILLARY/AUXILIARY SYSTEMS AUXILLIARY SYSTEMS NITROGEN SUPPLY SYSTEMS NITROGEN SUPPLY SYSTEM 1 PIPE SYSTEM NITROGEN MAIN DISTRIBUTION 10912; PRESSURE GAUGE WITHOUT PRESSURE REPEATER ANALOG PROCESS SIGNAL</v>
      </c>
      <c r="G29" s="29" t="s">
        <v>1651</v>
      </c>
      <c r="H29" s="29" t="s">
        <v>1652</v>
      </c>
      <c r="I29" s="29" t="str">
        <f t="shared" si="4"/>
        <v>01</v>
      </c>
      <c r="J29" s="29" t="s">
        <v>1653</v>
      </c>
      <c r="K29" s="29" t="s">
        <v>1820</v>
      </c>
      <c r="L29" s="29" t="s">
        <v>1821</v>
      </c>
      <c r="M29" s="29" t="s">
        <v>1619</v>
      </c>
      <c r="N29" s="29" t="s">
        <v>1822</v>
      </c>
      <c r="O29" s="29" t="s">
        <v>1781</v>
      </c>
      <c r="P29" s="29" t="s">
        <v>1823</v>
      </c>
      <c r="Q29" s="29" t="s">
        <v>1623</v>
      </c>
      <c r="R29" s="29" t="s">
        <v>1824</v>
      </c>
      <c r="S29" s="29" t="s">
        <v>1681</v>
      </c>
      <c r="T29" s="29" t="s">
        <v>1825</v>
      </c>
      <c r="U29" s="29" t="s">
        <v>193</v>
      </c>
      <c r="V29" s="29" t="s">
        <v>1083</v>
      </c>
      <c r="W29" s="35" t="s">
        <v>1662</v>
      </c>
      <c r="X29" s="35" t="s">
        <v>1826</v>
      </c>
      <c r="Y29" s="35" t="s">
        <v>1785</v>
      </c>
      <c r="Z29" s="35" t="s">
        <v>1684</v>
      </c>
      <c r="AA29" s="35" t="s">
        <v>1666</v>
      </c>
      <c r="AB29" s="29" t="s">
        <v>1681</v>
      </c>
      <c r="AC29" s="35" t="s">
        <v>1633</v>
      </c>
      <c r="AD29" s="35" t="s">
        <v>1668</v>
      </c>
      <c r="AE29" s="35" t="s">
        <v>1668</v>
      </c>
      <c r="AF29" s="35" t="s">
        <v>1635</v>
      </c>
      <c r="AG29" s="35" t="s">
        <v>1670</v>
      </c>
      <c r="AI29" s="35"/>
      <c r="AJ29" s="35" t="s">
        <v>1671</v>
      </c>
      <c r="AK29" s="35" t="s">
        <v>1672</v>
      </c>
      <c r="AL29" s="29" t="s">
        <v>1685</v>
      </c>
      <c r="AM29" s="35"/>
      <c r="AN29" s="35"/>
      <c r="AO29" s="35"/>
      <c r="AP29" s="35"/>
      <c r="AQ29" s="35"/>
      <c r="AS29" s="35"/>
      <c r="AU29" s="35"/>
      <c r="AV29" s="29" t="s">
        <v>1641</v>
      </c>
      <c r="AW29" s="35"/>
      <c r="AX29" s="29" t="s">
        <v>1674</v>
      </c>
      <c r="AY29" s="35"/>
      <c r="AZ29" s="35"/>
      <c r="BA29" s="35"/>
      <c r="BH29" s="29" t="s">
        <v>1827</v>
      </c>
      <c r="BI29" s="35"/>
      <c r="BJ29" s="35"/>
      <c r="BK29" s="29" t="str" cm="1">
        <f t="array" ref="BK29">_xlfn.UNIQUE(MID(BB29,16,14))</f>
        <v/>
      </c>
    </row>
    <row r="30" spans="1:67" x14ac:dyDescent="0.3">
      <c r="A30" s="29" t="s">
        <v>1828</v>
      </c>
      <c r="B30" s="36" t="str">
        <f t="shared" si="0"/>
        <v>A01QJB01WP003-BF10</v>
      </c>
      <c r="C30" s="33" t="s">
        <v>1829</v>
      </c>
      <c r="D30" s="34" t="str">
        <f t="shared" si="1"/>
        <v>AUX N2 SUP PIPING FLOW1 ANALOG1</v>
      </c>
      <c r="E30" s="31">
        <f t="shared" si="2"/>
        <v>31</v>
      </c>
      <c r="F30" s="32" t="str">
        <f t="shared" si="3"/>
        <v>ANCILLARY/AUXILIARY SYSTEMS AUXILLIARY SYSTEMS NITROGEN SUPPLY SYSTEMS NITROGEN SUPPLY SYSTEM 1 PIPE SYSTEM NITROGEN SUPPLY AUX1 10301; FLOWMETER GENERAL ANALOG PROCESS SIGNAL</v>
      </c>
      <c r="G30" s="29" t="s">
        <v>1651</v>
      </c>
      <c r="H30" s="29" t="s">
        <v>1652</v>
      </c>
      <c r="I30" s="29" t="str">
        <f t="shared" si="4"/>
        <v>01</v>
      </c>
      <c r="J30" s="29" t="s">
        <v>1653</v>
      </c>
      <c r="K30" s="29" t="s">
        <v>1820</v>
      </c>
      <c r="L30" s="29" t="s">
        <v>1821</v>
      </c>
      <c r="M30" s="29" t="s">
        <v>1619</v>
      </c>
      <c r="N30" s="29" t="s">
        <v>1822</v>
      </c>
      <c r="O30" s="29" t="s">
        <v>1781</v>
      </c>
      <c r="P30" s="29" t="s">
        <v>1823</v>
      </c>
      <c r="Q30" s="29" t="s">
        <v>1830</v>
      </c>
      <c r="R30" s="29" t="s">
        <v>1831</v>
      </c>
      <c r="S30" s="29" t="s">
        <v>1832</v>
      </c>
      <c r="T30" s="29" t="s">
        <v>1626</v>
      </c>
      <c r="U30" s="29" t="s">
        <v>193</v>
      </c>
      <c r="V30" s="29" t="s">
        <v>1083</v>
      </c>
      <c r="W30" s="35" t="s">
        <v>1662</v>
      </c>
      <c r="X30" s="35" t="s">
        <v>1826</v>
      </c>
      <c r="Y30" s="35" t="s">
        <v>1785</v>
      </c>
      <c r="Z30" s="35" t="s">
        <v>1631</v>
      </c>
      <c r="AA30" s="35" t="s">
        <v>1666</v>
      </c>
      <c r="AB30" s="29" t="s">
        <v>1832</v>
      </c>
      <c r="AC30" s="35" t="s">
        <v>1633</v>
      </c>
      <c r="AD30" s="35" t="s">
        <v>1668</v>
      </c>
      <c r="AE30" s="35" t="s">
        <v>1668</v>
      </c>
      <c r="AF30" s="35" t="s">
        <v>1635</v>
      </c>
      <c r="AG30" s="35" t="s">
        <v>1670</v>
      </c>
      <c r="AI30" s="35"/>
      <c r="AJ30" s="35" t="s">
        <v>1671</v>
      </c>
      <c r="AK30" s="35" t="s">
        <v>1672</v>
      </c>
      <c r="AL30" s="29" t="s">
        <v>1697</v>
      </c>
      <c r="AM30" s="35"/>
      <c r="AN30" s="35"/>
      <c r="AO30" s="35"/>
      <c r="AP30" s="35"/>
      <c r="AQ30" s="35"/>
      <c r="AS30" s="35"/>
      <c r="AU30" s="35"/>
      <c r="AW30" s="35"/>
      <c r="AY30" s="35"/>
      <c r="AZ30" s="35"/>
      <c r="BA30" s="35"/>
      <c r="BH30" s="29" t="s">
        <v>1827</v>
      </c>
      <c r="BI30" s="35"/>
      <c r="BJ30" s="35"/>
      <c r="BK30" s="29" t="str" cm="1">
        <f t="array" ref="BK30">_xlfn.UNIQUE(MID(BB30,16,14))</f>
        <v/>
      </c>
    </row>
    <row r="31" spans="1:67" x14ac:dyDescent="0.3">
      <c r="A31" s="29" t="s">
        <v>1828</v>
      </c>
      <c r="B31" s="36" t="str">
        <f t="shared" si="0"/>
        <v>A01QJB01WP003-BF60</v>
      </c>
      <c r="C31" s="33" t="s">
        <v>1833</v>
      </c>
      <c r="D31" s="34" t="str">
        <f t="shared" si="1"/>
        <v>AUX N2 SUP PIPING FLOW6 ANALOG1</v>
      </c>
      <c r="E31" s="31">
        <f t="shared" si="2"/>
        <v>31</v>
      </c>
      <c r="F31" s="32" t="str">
        <f t="shared" si="3"/>
        <v>ANCILLARY/AUXILIARY SYSTEMS AUXILLIARY SYSTEMS NITROGEN SUPPLY SYSTEMS NITROGEN SUPPLY SYSTEM 1 PIPE SYSTEM NITROGEN SUPPLY AUX1 10301; FLOWMETER GENERAL ANALOG PROCESS SIGNAL</v>
      </c>
      <c r="G31" s="29" t="s">
        <v>1651</v>
      </c>
      <c r="H31" s="29" t="s">
        <v>1652</v>
      </c>
      <c r="I31" s="29" t="str">
        <f t="shared" si="4"/>
        <v>01</v>
      </c>
      <c r="J31" s="29" t="s">
        <v>1653</v>
      </c>
      <c r="K31" s="29" t="s">
        <v>1820</v>
      </c>
      <c r="L31" s="29" t="s">
        <v>1821</v>
      </c>
      <c r="M31" s="29" t="s">
        <v>1619</v>
      </c>
      <c r="N31" s="29" t="s">
        <v>1822</v>
      </c>
      <c r="O31" s="29" t="s">
        <v>1781</v>
      </c>
      <c r="P31" s="29" t="s">
        <v>1823</v>
      </c>
      <c r="Q31" s="29" t="s">
        <v>1830</v>
      </c>
      <c r="R31" s="29" t="s">
        <v>1831</v>
      </c>
      <c r="S31" s="29" t="s">
        <v>1834</v>
      </c>
      <c r="T31" s="29" t="s">
        <v>1626</v>
      </c>
      <c r="U31" s="29" t="s">
        <v>193</v>
      </c>
      <c r="V31" s="29" t="s">
        <v>1083</v>
      </c>
      <c r="W31" s="35" t="s">
        <v>1662</v>
      </c>
      <c r="X31" s="35" t="s">
        <v>1826</v>
      </c>
      <c r="Y31" s="35" t="s">
        <v>1785</v>
      </c>
      <c r="Z31" s="35" t="s">
        <v>1835</v>
      </c>
      <c r="AA31" s="35" t="s">
        <v>1666</v>
      </c>
      <c r="AB31" s="29" t="s">
        <v>1834</v>
      </c>
      <c r="AC31" s="35" t="s">
        <v>1633</v>
      </c>
      <c r="AD31" s="35" t="s">
        <v>1668</v>
      </c>
      <c r="AE31" s="35" t="s">
        <v>1668</v>
      </c>
      <c r="AF31" s="35" t="s">
        <v>1635</v>
      </c>
      <c r="AG31" s="35" t="s">
        <v>1670</v>
      </c>
      <c r="AI31" s="35"/>
      <c r="AJ31" s="35" t="s">
        <v>1671</v>
      </c>
      <c r="AK31" s="35" t="s">
        <v>1672</v>
      </c>
      <c r="AL31" s="29" t="s">
        <v>1697</v>
      </c>
      <c r="AM31" s="35"/>
      <c r="AN31" s="35"/>
      <c r="AO31" s="35"/>
      <c r="AP31" s="35"/>
      <c r="AQ31" s="35"/>
      <c r="AS31" s="35"/>
      <c r="AU31" s="35"/>
      <c r="AW31" s="35"/>
      <c r="AY31" s="35"/>
      <c r="AZ31" s="35"/>
      <c r="BA31" s="35"/>
      <c r="BH31" s="29" t="s">
        <v>1827</v>
      </c>
      <c r="BI31" s="35"/>
      <c r="BJ31" s="35"/>
      <c r="BK31" s="29" t="str" cm="1">
        <f t="array" ref="BK31">_xlfn.UNIQUE(MID(BB31,16,14))</f>
        <v/>
      </c>
    </row>
    <row r="32" spans="1:67" x14ac:dyDescent="0.3">
      <c r="A32" s="29" t="s">
        <v>1836</v>
      </c>
      <c r="B32" s="36" t="str">
        <f t="shared" si="0"/>
        <v>A01QJB01WP004-BF01</v>
      </c>
      <c r="C32" s="33" t="s">
        <v>1837</v>
      </c>
      <c r="D32" s="34" t="str">
        <f t="shared" si="1"/>
        <v>AUX N2 SUP PIPING FLOW1 ANALOG1</v>
      </c>
      <c r="E32" s="31">
        <f t="shared" si="2"/>
        <v>31</v>
      </c>
      <c r="F32" s="32" t="str">
        <f t="shared" si="3"/>
        <v>ANCILLARY/AUXILIARY SYSTEMS AUXILLIARY SYSTEMS NITROGEN SUPPLY SYSTEMS NITROGEN SUPPLY SYSTEM 1 PIPE SYSTEM NITROGEN SUPPLY AUX2 10301; FLOWMETER GENERAL ANALOG PROCESS SIGNAL</v>
      </c>
      <c r="G32" s="29" t="s">
        <v>1651</v>
      </c>
      <c r="H32" s="29" t="s">
        <v>1652</v>
      </c>
      <c r="I32" s="29" t="str">
        <f t="shared" si="4"/>
        <v>01</v>
      </c>
      <c r="J32" s="29" t="s">
        <v>1653</v>
      </c>
      <c r="K32" s="29" t="s">
        <v>1820</v>
      </c>
      <c r="L32" s="29" t="s">
        <v>1821</v>
      </c>
      <c r="M32" s="29" t="s">
        <v>1619</v>
      </c>
      <c r="N32" s="29" t="s">
        <v>1822</v>
      </c>
      <c r="O32" s="29" t="s">
        <v>1781</v>
      </c>
      <c r="P32" s="29" t="s">
        <v>1823</v>
      </c>
      <c r="Q32" s="29" t="s">
        <v>1838</v>
      </c>
      <c r="R32" s="29" t="s">
        <v>1839</v>
      </c>
      <c r="S32" s="29" t="s">
        <v>1625</v>
      </c>
      <c r="T32" s="29" t="s">
        <v>1626</v>
      </c>
      <c r="U32" s="29" t="s">
        <v>193</v>
      </c>
      <c r="V32" s="29" t="s">
        <v>1083</v>
      </c>
      <c r="W32" s="35" t="s">
        <v>1662</v>
      </c>
      <c r="X32" s="35" t="s">
        <v>1826</v>
      </c>
      <c r="Y32" s="35" t="s">
        <v>1785</v>
      </c>
      <c r="Z32" s="35" t="s">
        <v>1631</v>
      </c>
      <c r="AA32" s="35" t="s">
        <v>1666</v>
      </c>
      <c r="AB32" s="29" t="s">
        <v>1625</v>
      </c>
      <c r="AC32" s="35" t="s">
        <v>1633</v>
      </c>
      <c r="AD32" s="35" t="s">
        <v>1668</v>
      </c>
      <c r="AE32" s="35" t="s">
        <v>1668</v>
      </c>
      <c r="AF32" s="35" t="s">
        <v>1635</v>
      </c>
      <c r="AG32" s="35" t="s">
        <v>1670</v>
      </c>
      <c r="AI32" s="35"/>
      <c r="AJ32" s="35" t="s">
        <v>1671</v>
      </c>
      <c r="AK32" s="35" t="s">
        <v>1672</v>
      </c>
      <c r="AL32" s="29" t="s">
        <v>1697</v>
      </c>
      <c r="AM32" s="35"/>
      <c r="AN32" s="35"/>
      <c r="AO32" s="35"/>
      <c r="AP32" s="35"/>
      <c r="AQ32" s="35"/>
      <c r="AS32" s="35"/>
      <c r="AU32" s="35"/>
      <c r="AW32" s="35"/>
      <c r="AY32" s="35"/>
      <c r="AZ32" s="35"/>
      <c r="BA32" s="35"/>
      <c r="BH32" s="29" t="s">
        <v>1827</v>
      </c>
      <c r="BI32" s="35"/>
      <c r="BJ32" s="35"/>
      <c r="BK32" s="29" t="str" cm="1">
        <f t="array" ref="BK32">_xlfn.UNIQUE(MID(BB32,16,14))</f>
        <v/>
      </c>
    </row>
    <row r="33" spans="1:63" x14ac:dyDescent="0.3">
      <c r="A33" s="29" t="s">
        <v>1840</v>
      </c>
      <c r="B33" s="36" t="str">
        <f t="shared" si="0"/>
        <v>G01NHA01BZ001-BC01</v>
      </c>
      <c r="C33" s="33" t="s">
        <v>1841</v>
      </c>
      <c r="D33" s="34" t="str">
        <f t="shared" si="1"/>
        <v>ELY1 RECT1 MEAS1 CURR1 ANALOG1</v>
      </c>
      <c r="E33" s="31">
        <f t="shared" si="2"/>
        <v>30</v>
      </c>
      <c r="F33" s="32" t="str">
        <f t="shared" si="3"/>
        <v>ELECTROLYSIS SYSTEM ELECTROLYSIS ARRAY 1 RECTIFIER SYSTEMS RECTIFIER SYSTEM 1 MEASURING SYSTEMS MEASURING SYSTEM 1 DC CURRENT MEASUREMENT ANALOG PROCESS SIGNAL</v>
      </c>
      <c r="G33" s="29" t="s">
        <v>1614</v>
      </c>
      <c r="H33" s="29" t="s">
        <v>1615</v>
      </c>
      <c r="I33" s="29" t="str">
        <f t="shared" si="4"/>
        <v>01</v>
      </c>
      <c r="J33" s="29" t="s">
        <v>1616</v>
      </c>
      <c r="K33" s="29" t="s">
        <v>1842</v>
      </c>
      <c r="L33" s="29" t="s">
        <v>1843</v>
      </c>
      <c r="M33" s="29" t="s">
        <v>1619</v>
      </c>
      <c r="N33" s="29" t="s">
        <v>1844</v>
      </c>
      <c r="O33" s="29" t="s">
        <v>1845</v>
      </c>
      <c r="P33" s="29" t="s">
        <v>1846</v>
      </c>
      <c r="Q33" s="29" t="s">
        <v>1623</v>
      </c>
      <c r="R33" s="29" t="s">
        <v>1847</v>
      </c>
      <c r="S33" s="29" t="s">
        <v>1848</v>
      </c>
      <c r="T33" s="29" t="s">
        <v>1849</v>
      </c>
      <c r="U33" s="29" t="s">
        <v>193</v>
      </c>
      <c r="V33" s="29" t="s">
        <v>1083</v>
      </c>
      <c r="W33" s="35" t="s">
        <v>1628</v>
      </c>
      <c r="X33" s="35" t="s">
        <v>1850</v>
      </c>
      <c r="Y33" s="35" t="s">
        <v>1851</v>
      </c>
      <c r="Z33" s="35" t="s">
        <v>1852</v>
      </c>
      <c r="AA33" s="35" t="s">
        <v>1666</v>
      </c>
      <c r="AC33" s="35" t="s">
        <v>1633</v>
      </c>
      <c r="AD33" s="35" t="s">
        <v>1668</v>
      </c>
      <c r="AE33" s="35" t="s">
        <v>1668</v>
      </c>
      <c r="AF33" s="35" t="s">
        <v>1635</v>
      </c>
      <c r="AG33" s="35" t="s">
        <v>1728</v>
      </c>
      <c r="AI33" s="35"/>
      <c r="AJ33" s="35" t="s">
        <v>1671</v>
      </c>
      <c r="AK33" s="35" t="s">
        <v>1672</v>
      </c>
      <c r="AL33" s="29" t="s">
        <v>1853</v>
      </c>
      <c r="AM33" s="35" t="s">
        <v>1854</v>
      </c>
      <c r="AN33" s="35" t="s">
        <v>1855</v>
      </c>
      <c r="AO33" s="35"/>
      <c r="AP33" s="35"/>
      <c r="AQ33" s="35"/>
      <c r="AS33" s="35"/>
      <c r="AU33" s="35"/>
      <c r="AW33" s="35"/>
      <c r="AY33" s="35"/>
      <c r="AZ33" s="35"/>
      <c r="BA33" s="35"/>
      <c r="BI33" s="35"/>
      <c r="BJ33" s="35"/>
      <c r="BK33" s="29" t="str" cm="1">
        <f t="array" ref="BK33">_xlfn.UNIQUE(MID(BB33,16,14))</f>
        <v/>
      </c>
    </row>
    <row r="34" spans="1:63" x14ac:dyDescent="0.3">
      <c r="A34" s="29" t="s">
        <v>1840</v>
      </c>
      <c r="B34" s="36" t="str">
        <f t="shared" si="0"/>
        <v>G01NHA01BZ001-TF01</v>
      </c>
      <c r="C34" s="33" t="s">
        <v>1856</v>
      </c>
      <c r="D34" s="34" t="str">
        <f t="shared" si="1"/>
        <v>ELY1 RECT1 MEAS1 DC MON1 ANALOG1</v>
      </c>
      <c r="E34" s="31">
        <f t="shared" si="2"/>
        <v>32</v>
      </c>
      <c r="F34" s="32" t="str">
        <f t="shared" si="3"/>
        <v>ELECTROLYSIS SYSTEM ELECTROLYSIS ARRAY 1 RECTIFIER SYSTEMS RECTIFIER SYSTEM 1 MEASURING SYSTEMS MEASURING SYSTEM 1 DC ISOLATION MONITORING ANALOG PROCESS SIGNAL</v>
      </c>
      <c r="G34" s="29" t="s">
        <v>1614</v>
      </c>
      <c r="H34" s="29" t="s">
        <v>1615</v>
      </c>
      <c r="I34" s="29" t="str">
        <f t="shared" si="4"/>
        <v>01</v>
      </c>
      <c r="J34" s="29" t="s">
        <v>1616</v>
      </c>
      <c r="K34" s="29" t="s">
        <v>1842</v>
      </c>
      <c r="L34" s="29" t="s">
        <v>1843</v>
      </c>
      <c r="M34" s="29" t="s">
        <v>1619</v>
      </c>
      <c r="N34" s="29" t="s">
        <v>1844</v>
      </c>
      <c r="O34" s="29" t="s">
        <v>1845</v>
      </c>
      <c r="P34" s="29" t="s">
        <v>1846</v>
      </c>
      <c r="Q34" s="29" t="s">
        <v>1623</v>
      </c>
      <c r="R34" s="29" t="s">
        <v>1847</v>
      </c>
      <c r="S34" s="29" t="s">
        <v>1857</v>
      </c>
      <c r="T34" s="29" t="s">
        <v>1858</v>
      </c>
      <c r="U34" s="29" t="s">
        <v>193</v>
      </c>
      <c r="V34" s="29" t="s">
        <v>1083</v>
      </c>
      <c r="W34" s="35" t="s">
        <v>1628</v>
      </c>
      <c r="X34" s="35" t="s">
        <v>1850</v>
      </c>
      <c r="Y34" s="35" t="s">
        <v>1851</v>
      </c>
      <c r="Z34" s="35" t="s">
        <v>1859</v>
      </c>
      <c r="AA34" s="35" t="s">
        <v>1666</v>
      </c>
      <c r="AC34" s="35" t="s">
        <v>1633</v>
      </c>
      <c r="AD34" s="35" t="s">
        <v>1668</v>
      </c>
      <c r="AE34" s="35" t="s">
        <v>1668</v>
      </c>
      <c r="AF34" s="35" t="s">
        <v>1635</v>
      </c>
      <c r="AG34" s="35" t="s">
        <v>1728</v>
      </c>
      <c r="AI34" s="35"/>
      <c r="AJ34" s="35" t="s">
        <v>1671</v>
      </c>
      <c r="AK34" s="35" t="s">
        <v>1672</v>
      </c>
      <c r="AL34" s="29" t="s">
        <v>1860</v>
      </c>
      <c r="AM34" s="35"/>
      <c r="AN34" s="35"/>
      <c r="AO34" s="35"/>
      <c r="AP34" s="35"/>
      <c r="AQ34" s="35"/>
      <c r="AS34" s="35"/>
      <c r="AU34" s="35"/>
      <c r="AW34" s="35"/>
      <c r="AY34" s="35"/>
      <c r="AZ34" s="35"/>
      <c r="BA34" s="35"/>
      <c r="BI34" s="35"/>
      <c r="BJ34" s="35"/>
      <c r="BK34" s="29" t="str" cm="1">
        <f t="array" ref="BK34">_xlfn.UNIQUE(MID(BB34,16,14))</f>
        <v/>
      </c>
    </row>
    <row r="35" spans="1:63" x14ac:dyDescent="0.3">
      <c r="A35" s="29" t="s">
        <v>1840</v>
      </c>
      <c r="B35" s="36" t="str">
        <f t="shared" si="0"/>
        <v>G01NHA01BZ001-TF02</v>
      </c>
      <c r="C35" s="33" t="s">
        <v>1861</v>
      </c>
      <c r="D35" s="34" t="str">
        <f t="shared" si="1"/>
        <v>ELY1 RECT1 MEAS1 DC MON SIL  ANALOG1</v>
      </c>
      <c r="E35" s="31">
        <f t="shared" si="2"/>
        <v>36</v>
      </c>
      <c r="F35" s="32" t="str">
        <f t="shared" si="3"/>
        <v>ELECTROLYSIS SYSTEM ELECTROLYSIS ARRAY 1 RECTIFIER SYSTEMS RECTIFIER SYSTEM 1 MEASURING SYSTEMS MEASURING SYSTEM 1 DC CURRENT MEASUREMENT (SIL) ANALOG PROCESS SIGNAL</v>
      </c>
      <c r="G35" s="29" t="s">
        <v>1614</v>
      </c>
      <c r="H35" s="29" t="s">
        <v>1615</v>
      </c>
      <c r="I35" s="29" t="str">
        <f t="shared" si="4"/>
        <v>01</v>
      </c>
      <c r="J35" s="29" t="s">
        <v>1616</v>
      </c>
      <c r="K35" s="29" t="s">
        <v>1842</v>
      </c>
      <c r="L35" s="29" t="s">
        <v>1843</v>
      </c>
      <c r="M35" s="29" t="s">
        <v>1619</v>
      </c>
      <c r="N35" s="29" t="s">
        <v>1844</v>
      </c>
      <c r="O35" s="29" t="s">
        <v>1845</v>
      </c>
      <c r="P35" s="29" t="s">
        <v>1846</v>
      </c>
      <c r="Q35" s="29" t="s">
        <v>1623</v>
      </c>
      <c r="R35" s="29" t="s">
        <v>1847</v>
      </c>
      <c r="S35" s="29" t="s">
        <v>1862</v>
      </c>
      <c r="T35" s="29" t="s">
        <v>1863</v>
      </c>
      <c r="U35" s="29" t="s">
        <v>193</v>
      </c>
      <c r="V35" s="29" t="s">
        <v>1083</v>
      </c>
      <c r="W35" s="35" t="s">
        <v>1628</v>
      </c>
      <c r="X35" s="35" t="s">
        <v>1850</v>
      </c>
      <c r="Y35" s="35" t="s">
        <v>1851</v>
      </c>
      <c r="Z35" s="35" t="s">
        <v>1864</v>
      </c>
      <c r="AA35" s="35" t="s">
        <v>1666</v>
      </c>
      <c r="AB35" s="29" t="s">
        <v>1865</v>
      </c>
      <c r="AC35" s="35" t="s">
        <v>1633</v>
      </c>
      <c r="AD35" s="35" t="s">
        <v>1668</v>
      </c>
      <c r="AE35" s="35" t="s">
        <v>1668</v>
      </c>
      <c r="AF35" s="35" t="s">
        <v>1635</v>
      </c>
      <c r="AG35" s="35" t="s">
        <v>1728</v>
      </c>
      <c r="AI35" s="35"/>
      <c r="AJ35" s="35" t="s">
        <v>1671</v>
      </c>
      <c r="AK35" s="35" t="s">
        <v>1638</v>
      </c>
      <c r="AL35" s="29" t="s">
        <v>1866</v>
      </c>
      <c r="AM35" s="35" t="s">
        <v>1867</v>
      </c>
      <c r="AN35" s="35" t="s">
        <v>1868</v>
      </c>
      <c r="AO35" s="35"/>
      <c r="AP35" s="35"/>
      <c r="AQ35" s="35"/>
      <c r="AS35" s="35"/>
      <c r="AU35" s="35"/>
      <c r="AW35" s="35"/>
      <c r="AY35" s="35"/>
      <c r="AZ35" s="35"/>
      <c r="BA35" s="35"/>
      <c r="BD35" s="29" t="s">
        <v>1804</v>
      </c>
      <c r="BE35" s="29" t="s">
        <v>1805</v>
      </c>
      <c r="BG35" s="29" t="s">
        <v>1869</v>
      </c>
      <c r="BI35" s="35"/>
      <c r="BJ35" s="35"/>
      <c r="BK35" s="29" t="str" cm="1">
        <f t="array" ref="BK35">_xlfn.UNIQUE(MID(BB35,16,14))</f>
        <v/>
      </c>
    </row>
    <row r="36" spans="1:63" x14ac:dyDescent="0.3">
      <c r="A36" s="29" t="s">
        <v>1870</v>
      </c>
      <c r="B36" s="36" t="str">
        <f t="shared" si="0"/>
        <v>G01NHA01BZ002-BC01</v>
      </c>
      <c r="C36" s="33" t="s">
        <v>1871</v>
      </c>
      <c r="D36" s="34" t="str">
        <f t="shared" si="1"/>
        <v>ELY1 RECT1 MEAS2 CURR1 ANALOG1</v>
      </c>
      <c r="E36" s="31">
        <f t="shared" si="2"/>
        <v>30</v>
      </c>
      <c r="F36" s="32" t="str">
        <f t="shared" si="3"/>
        <v>ELECTROLYSIS SYSTEM ELECTROLYSIS ARRAY 1 RECTIFIER SYSTEMS RECTIFIER SYSTEM 1 MEASURING SYSTEMS MEASURING SYSTEM 2 DC CURRENT MEASUREMENT ANALOG PROCESS SIGNAL</v>
      </c>
      <c r="G36" s="29" t="s">
        <v>1614</v>
      </c>
      <c r="H36" s="29" t="s">
        <v>1615</v>
      </c>
      <c r="I36" s="29" t="str">
        <f t="shared" si="4"/>
        <v>01</v>
      </c>
      <c r="J36" s="29" t="s">
        <v>1616</v>
      </c>
      <c r="K36" s="29" t="s">
        <v>1842</v>
      </c>
      <c r="L36" s="29" t="s">
        <v>1843</v>
      </c>
      <c r="M36" s="29" t="s">
        <v>1619</v>
      </c>
      <c r="N36" s="29" t="s">
        <v>1844</v>
      </c>
      <c r="O36" s="29" t="s">
        <v>1845</v>
      </c>
      <c r="P36" s="29" t="s">
        <v>1846</v>
      </c>
      <c r="Q36" s="29" t="s">
        <v>1872</v>
      </c>
      <c r="R36" s="29" t="s">
        <v>1873</v>
      </c>
      <c r="S36" s="29" t="s">
        <v>1848</v>
      </c>
      <c r="T36" s="29" t="s">
        <v>1849</v>
      </c>
      <c r="U36" s="29" t="s">
        <v>193</v>
      </c>
      <c r="V36" s="29" t="s">
        <v>1083</v>
      </c>
      <c r="W36" s="35" t="s">
        <v>1628</v>
      </c>
      <c r="X36" s="35" t="s">
        <v>1850</v>
      </c>
      <c r="Y36" s="35" t="s">
        <v>1874</v>
      </c>
      <c r="Z36" s="35" t="s">
        <v>1852</v>
      </c>
      <c r="AA36" s="35" t="s">
        <v>1666</v>
      </c>
      <c r="AC36" s="35" t="s">
        <v>1633</v>
      </c>
      <c r="AD36" s="35" t="s">
        <v>1668</v>
      </c>
      <c r="AE36" s="35" t="s">
        <v>1668</v>
      </c>
      <c r="AF36" s="35" t="s">
        <v>1635</v>
      </c>
      <c r="AG36" s="35" t="s">
        <v>1728</v>
      </c>
      <c r="AI36" s="35"/>
      <c r="AJ36" s="35" t="s">
        <v>1671</v>
      </c>
      <c r="AK36" s="35" t="s">
        <v>1672</v>
      </c>
      <c r="AL36" s="29" t="s">
        <v>1853</v>
      </c>
      <c r="AM36" s="35" t="s">
        <v>1854</v>
      </c>
      <c r="AN36" s="35" t="s">
        <v>1855</v>
      </c>
      <c r="AO36" s="35"/>
      <c r="AP36" s="35"/>
      <c r="AQ36" s="35"/>
      <c r="AS36" s="35"/>
      <c r="AU36" s="35"/>
      <c r="AW36" s="35"/>
      <c r="AY36" s="35"/>
      <c r="AZ36" s="35"/>
      <c r="BA36" s="35"/>
      <c r="BI36" s="35"/>
      <c r="BJ36" s="35"/>
      <c r="BK36" s="29" t="str" cm="1">
        <f t="array" ref="BK36">_xlfn.UNIQUE(MID(BB36,16,14))</f>
        <v/>
      </c>
    </row>
    <row r="37" spans="1:63" x14ac:dyDescent="0.3">
      <c r="A37" s="29" t="s">
        <v>1870</v>
      </c>
      <c r="B37" s="36" t="str">
        <f t="shared" si="0"/>
        <v>G01NHA01BZ002-TF01</v>
      </c>
      <c r="C37" s="33" t="s">
        <v>1875</v>
      </c>
      <c r="D37" s="34" t="str">
        <f t="shared" si="1"/>
        <v>ELY1 RECT1 MEAS2 DC MON1 ANALOG1</v>
      </c>
      <c r="E37" s="31">
        <f t="shared" si="2"/>
        <v>32</v>
      </c>
      <c r="F37" s="32" t="str">
        <f t="shared" si="3"/>
        <v>ELECTROLYSIS SYSTEM ELECTROLYSIS ARRAY 1 RECTIFIER SYSTEMS RECTIFIER SYSTEM 1 MEASURING SYSTEMS MEASURING SYSTEM 2 DC ISOLATION MONITORING ANALOG PROCESS SIGNAL</v>
      </c>
      <c r="G37" s="29" t="s">
        <v>1614</v>
      </c>
      <c r="H37" s="29" t="s">
        <v>1615</v>
      </c>
      <c r="I37" s="29" t="str">
        <f t="shared" si="4"/>
        <v>01</v>
      </c>
      <c r="J37" s="29" t="s">
        <v>1616</v>
      </c>
      <c r="K37" s="29" t="s">
        <v>1842</v>
      </c>
      <c r="L37" s="29" t="s">
        <v>1843</v>
      </c>
      <c r="M37" s="29" t="s">
        <v>1619</v>
      </c>
      <c r="N37" s="29" t="s">
        <v>1844</v>
      </c>
      <c r="O37" s="29" t="s">
        <v>1845</v>
      </c>
      <c r="P37" s="29" t="s">
        <v>1846</v>
      </c>
      <c r="Q37" s="29" t="s">
        <v>1872</v>
      </c>
      <c r="R37" s="29" t="s">
        <v>1873</v>
      </c>
      <c r="S37" s="29" t="s">
        <v>1857</v>
      </c>
      <c r="T37" s="29" t="s">
        <v>1858</v>
      </c>
      <c r="U37" s="29" t="s">
        <v>193</v>
      </c>
      <c r="V37" s="29" t="s">
        <v>1083</v>
      </c>
      <c r="W37" s="35" t="s">
        <v>1628</v>
      </c>
      <c r="X37" s="35" t="s">
        <v>1850</v>
      </c>
      <c r="Y37" s="35" t="s">
        <v>1874</v>
      </c>
      <c r="Z37" s="35" t="s">
        <v>1859</v>
      </c>
      <c r="AA37" s="35" t="s">
        <v>1666</v>
      </c>
      <c r="AC37" s="35" t="s">
        <v>1633</v>
      </c>
      <c r="AD37" s="35" t="s">
        <v>1668</v>
      </c>
      <c r="AE37" s="35" t="s">
        <v>1668</v>
      </c>
      <c r="AF37" s="35" t="s">
        <v>1635</v>
      </c>
      <c r="AG37" s="35" t="s">
        <v>1728</v>
      </c>
      <c r="AI37" s="35"/>
      <c r="AJ37" s="35" t="s">
        <v>1671</v>
      </c>
      <c r="AK37" s="35" t="s">
        <v>1672</v>
      </c>
      <c r="AL37" s="29" t="s">
        <v>1860</v>
      </c>
      <c r="AM37" s="35"/>
      <c r="AN37" s="35"/>
      <c r="AO37" s="35"/>
      <c r="AP37" s="35"/>
      <c r="AQ37" s="35"/>
      <c r="AS37" s="35"/>
      <c r="AU37" s="35"/>
      <c r="AW37" s="35"/>
      <c r="AY37" s="35"/>
      <c r="AZ37" s="35"/>
      <c r="BA37" s="35"/>
      <c r="BI37" s="35"/>
      <c r="BJ37" s="35"/>
      <c r="BK37" s="29" t="str" cm="1">
        <f t="array" ref="BK37">_xlfn.UNIQUE(MID(BB37,16,14))</f>
        <v/>
      </c>
    </row>
    <row r="38" spans="1:63" x14ac:dyDescent="0.3">
      <c r="A38" s="29" t="s">
        <v>1870</v>
      </c>
      <c r="B38" s="36" t="str">
        <f t="shared" si="0"/>
        <v>G01NHA01BZ002-TF02</v>
      </c>
      <c r="C38" s="33" t="s">
        <v>1876</v>
      </c>
      <c r="D38" s="34" t="str">
        <f t="shared" si="1"/>
        <v>ELY1 RECT1 MEAS2 DC MON SIL  ANALOG1</v>
      </c>
      <c r="E38" s="31">
        <f t="shared" si="2"/>
        <v>36</v>
      </c>
      <c r="F38" s="32" t="str">
        <f t="shared" si="3"/>
        <v>ELECTROLYSIS SYSTEM ELECTROLYSIS ARRAY 1 RECTIFIER SYSTEMS RECTIFIER SYSTEM 1 MEASURING SYSTEMS MEASURING SYSTEM 2 DC CURRENT MEASUREMENT (SIL) ANALOG PROCESS SIGNAL</v>
      </c>
      <c r="G38" s="29" t="s">
        <v>1614</v>
      </c>
      <c r="H38" s="29" t="s">
        <v>1615</v>
      </c>
      <c r="I38" s="29" t="str">
        <f t="shared" si="4"/>
        <v>01</v>
      </c>
      <c r="J38" s="29" t="s">
        <v>1616</v>
      </c>
      <c r="K38" s="29" t="s">
        <v>1842</v>
      </c>
      <c r="L38" s="29" t="s">
        <v>1843</v>
      </c>
      <c r="M38" s="29" t="s">
        <v>1619</v>
      </c>
      <c r="N38" s="29" t="s">
        <v>1844</v>
      </c>
      <c r="O38" s="29" t="s">
        <v>1845</v>
      </c>
      <c r="P38" s="29" t="s">
        <v>1846</v>
      </c>
      <c r="Q38" s="29" t="s">
        <v>1872</v>
      </c>
      <c r="R38" s="29" t="s">
        <v>1873</v>
      </c>
      <c r="S38" s="29" t="s">
        <v>1862</v>
      </c>
      <c r="T38" s="29" t="s">
        <v>1863</v>
      </c>
      <c r="U38" s="29" t="s">
        <v>193</v>
      </c>
      <c r="V38" s="29" t="s">
        <v>1083</v>
      </c>
      <c r="W38" s="35" t="s">
        <v>1628</v>
      </c>
      <c r="X38" s="35" t="s">
        <v>1850</v>
      </c>
      <c r="Y38" s="35" t="s">
        <v>1874</v>
      </c>
      <c r="Z38" s="35" t="s">
        <v>1864</v>
      </c>
      <c r="AA38" s="35" t="s">
        <v>1666</v>
      </c>
      <c r="AB38" s="29" t="s">
        <v>1865</v>
      </c>
      <c r="AC38" s="35" t="s">
        <v>1633</v>
      </c>
      <c r="AD38" s="35" t="s">
        <v>1668</v>
      </c>
      <c r="AE38" s="35" t="s">
        <v>1668</v>
      </c>
      <c r="AF38" s="35" t="s">
        <v>1635</v>
      </c>
      <c r="AG38" s="35" t="s">
        <v>1728</v>
      </c>
      <c r="AI38" s="35"/>
      <c r="AJ38" s="35" t="s">
        <v>1671</v>
      </c>
      <c r="AK38" s="35" t="s">
        <v>1638</v>
      </c>
      <c r="AL38" s="29" t="s">
        <v>1866</v>
      </c>
      <c r="AM38" s="35" t="s">
        <v>1867</v>
      </c>
      <c r="AN38" s="35" t="s">
        <v>1868</v>
      </c>
      <c r="AO38" s="35"/>
      <c r="AP38" s="35"/>
      <c r="AQ38" s="35"/>
      <c r="AS38" s="35"/>
      <c r="AU38" s="35"/>
      <c r="AW38" s="35"/>
      <c r="AY38" s="35"/>
      <c r="AZ38" s="35"/>
      <c r="BA38" s="35"/>
      <c r="BD38" s="29" t="s">
        <v>1804</v>
      </c>
      <c r="BE38" s="29" t="s">
        <v>1805</v>
      </c>
      <c r="BG38" s="29" t="s">
        <v>1877</v>
      </c>
      <c r="BI38" s="35"/>
      <c r="BJ38" s="35"/>
      <c r="BK38" s="29" t="str" cm="1">
        <f t="array" ref="BK38">_xlfn.UNIQUE(MID(BB38,16,14))</f>
        <v/>
      </c>
    </row>
    <row r="39" spans="1:63" x14ac:dyDescent="0.3">
      <c r="A39" s="29" t="s">
        <v>1878</v>
      </c>
      <c r="B39" s="36" t="str">
        <f t="shared" si="0"/>
        <v>G01NHA01BZ003-BC01</v>
      </c>
      <c r="C39" s="33" t="s">
        <v>1879</v>
      </c>
      <c r="D39" s="34" t="str">
        <f t="shared" si="1"/>
        <v>ELY1 RECT1 MEAS3 CURR1 ANALOG1</v>
      </c>
      <c r="E39" s="31">
        <f t="shared" si="2"/>
        <v>30</v>
      </c>
      <c r="F39" s="32" t="str">
        <f t="shared" si="3"/>
        <v>ELECTROLYSIS SYSTEM ELECTROLYSIS ARRAY 1 RECTIFIER SYSTEMS RECTIFIER SYSTEM 1 MEASURING SYSTEMS MEASURING SYSTEM 3 DC CURRENT MEASUREMENT ANALOG PROCESS SIGNAL</v>
      </c>
      <c r="G39" s="29" t="s">
        <v>1614</v>
      </c>
      <c r="H39" s="29" t="s">
        <v>1615</v>
      </c>
      <c r="I39" s="29" t="str">
        <f t="shared" si="4"/>
        <v>01</v>
      </c>
      <c r="J39" s="29" t="s">
        <v>1616</v>
      </c>
      <c r="K39" s="29" t="s">
        <v>1842</v>
      </c>
      <c r="L39" s="29" t="s">
        <v>1843</v>
      </c>
      <c r="M39" s="29" t="s">
        <v>1619</v>
      </c>
      <c r="N39" s="29" t="s">
        <v>1844</v>
      </c>
      <c r="O39" s="29" t="s">
        <v>1845</v>
      </c>
      <c r="P39" s="29" t="s">
        <v>1846</v>
      </c>
      <c r="Q39" s="29" t="s">
        <v>1830</v>
      </c>
      <c r="R39" s="29" t="s">
        <v>1880</v>
      </c>
      <c r="S39" s="29" t="s">
        <v>1848</v>
      </c>
      <c r="T39" s="29" t="s">
        <v>1849</v>
      </c>
      <c r="U39" s="29" t="s">
        <v>193</v>
      </c>
      <c r="V39" s="29" t="s">
        <v>1083</v>
      </c>
      <c r="W39" s="35" t="s">
        <v>1628</v>
      </c>
      <c r="X39" s="35" t="s">
        <v>1850</v>
      </c>
      <c r="Y39" s="35" t="s">
        <v>1881</v>
      </c>
      <c r="Z39" s="35" t="s">
        <v>1852</v>
      </c>
      <c r="AA39" s="35" t="s">
        <v>1666</v>
      </c>
      <c r="AC39" s="35" t="s">
        <v>1633</v>
      </c>
      <c r="AD39" s="35" t="s">
        <v>1668</v>
      </c>
      <c r="AE39" s="35" t="s">
        <v>1668</v>
      </c>
      <c r="AF39" s="35" t="s">
        <v>1635</v>
      </c>
      <c r="AG39" s="35" t="s">
        <v>1728</v>
      </c>
      <c r="AI39" s="35"/>
      <c r="AJ39" s="35" t="s">
        <v>1671</v>
      </c>
      <c r="AK39" s="35" t="s">
        <v>1672</v>
      </c>
      <c r="AL39" s="29" t="s">
        <v>1853</v>
      </c>
      <c r="AM39" s="35" t="s">
        <v>1854</v>
      </c>
      <c r="AN39" s="35" t="s">
        <v>1855</v>
      </c>
      <c r="AO39" s="35"/>
      <c r="AP39" s="35"/>
      <c r="AQ39" s="35"/>
      <c r="AS39" s="35"/>
      <c r="AU39" s="35"/>
      <c r="AW39" s="35"/>
      <c r="AY39" s="35"/>
      <c r="AZ39" s="35"/>
      <c r="BA39" s="35"/>
      <c r="BI39" s="35"/>
      <c r="BJ39" s="35"/>
      <c r="BK39" s="29" t="str" cm="1">
        <f t="array" ref="BK39">_xlfn.UNIQUE(MID(BB39,16,14))</f>
        <v/>
      </c>
    </row>
    <row r="40" spans="1:63" x14ac:dyDescent="0.3">
      <c r="A40" s="29" t="s">
        <v>1878</v>
      </c>
      <c r="B40" s="36" t="str">
        <f t="shared" si="0"/>
        <v>G01NHA01BZ003-TF01</v>
      </c>
      <c r="C40" s="33" t="s">
        <v>1882</v>
      </c>
      <c r="D40" s="34" t="str">
        <f t="shared" si="1"/>
        <v>ELY1 RECT1 MEAS3 DC MON1 ANALOG1</v>
      </c>
      <c r="E40" s="31">
        <f t="shared" si="2"/>
        <v>32</v>
      </c>
      <c r="F40" s="32" t="str">
        <f t="shared" si="3"/>
        <v>ELECTROLYSIS SYSTEM ELECTROLYSIS ARRAY 1 RECTIFIER SYSTEMS RECTIFIER SYSTEM 1 MEASURING SYSTEMS MEASURING SYSTEM 3 DC ISOLATION MONITORING ANALOG PROCESS SIGNAL</v>
      </c>
      <c r="G40" s="29" t="s">
        <v>1614</v>
      </c>
      <c r="H40" s="29" t="s">
        <v>1615</v>
      </c>
      <c r="I40" s="29" t="str">
        <f t="shared" si="4"/>
        <v>01</v>
      </c>
      <c r="J40" s="29" t="s">
        <v>1616</v>
      </c>
      <c r="K40" s="29" t="s">
        <v>1842</v>
      </c>
      <c r="L40" s="29" t="s">
        <v>1843</v>
      </c>
      <c r="M40" s="29" t="s">
        <v>1619</v>
      </c>
      <c r="N40" s="29" t="s">
        <v>1844</v>
      </c>
      <c r="O40" s="29" t="s">
        <v>1845</v>
      </c>
      <c r="P40" s="29" t="s">
        <v>1846</v>
      </c>
      <c r="Q40" s="29" t="s">
        <v>1830</v>
      </c>
      <c r="R40" s="29" t="s">
        <v>1880</v>
      </c>
      <c r="S40" s="29" t="s">
        <v>1857</v>
      </c>
      <c r="T40" s="29" t="s">
        <v>1858</v>
      </c>
      <c r="U40" s="29" t="s">
        <v>193</v>
      </c>
      <c r="V40" s="29" t="s">
        <v>1083</v>
      </c>
      <c r="W40" s="35" t="s">
        <v>1628</v>
      </c>
      <c r="X40" s="35" t="s">
        <v>1850</v>
      </c>
      <c r="Y40" s="35" t="s">
        <v>1881</v>
      </c>
      <c r="Z40" s="35" t="s">
        <v>1859</v>
      </c>
      <c r="AA40" s="35" t="s">
        <v>1666</v>
      </c>
      <c r="AC40" s="35" t="s">
        <v>1633</v>
      </c>
      <c r="AD40" s="35" t="s">
        <v>1668</v>
      </c>
      <c r="AE40" s="35" t="s">
        <v>1668</v>
      </c>
      <c r="AF40" s="35" t="s">
        <v>1635</v>
      </c>
      <c r="AG40" s="35" t="s">
        <v>1728</v>
      </c>
      <c r="AI40" s="35"/>
      <c r="AJ40" s="35" t="s">
        <v>1671</v>
      </c>
      <c r="AK40" s="35" t="s">
        <v>1672</v>
      </c>
      <c r="AL40" s="29" t="s">
        <v>1860</v>
      </c>
      <c r="AM40" s="35"/>
      <c r="AN40" s="35"/>
      <c r="AO40" s="35"/>
      <c r="AP40" s="35"/>
      <c r="AQ40" s="35"/>
      <c r="AS40" s="35"/>
      <c r="AU40" s="35"/>
      <c r="AW40" s="35"/>
      <c r="AY40" s="35"/>
      <c r="AZ40" s="35"/>
      <c r="BA40" s="35"/>
      <c r="BI40" s="35"/>
      <c r="BJ40" s="35"/>
      <c r="BK40" s="29" t="str" cm="1">
        <f t="array" ref="BK40">_xlfn.UNIQUE(MID(BB40,16,14))</f>
        <v/>
      </c>
    </row>
    <row r="41" spans="1:63" x14ac:dyDescent="0.3">
      <c r="A41" s="29" t="s">
        <v>1878</v>
      </c>
      <c r="B41" s="36" t="str">
        <f t="shared" si="0"/>
        <v>G01NHA01BZ003-TF02</v>
      </c>
      <c r="C41" s="33" t="s">
        <v>1883</v>
      </c>
      <c r="D41" s="34" t="str">
        <f t="shared" si="1"/>
        <v>ELY1 RECT1 MEAS3 DC MON SIL  ANALOG1</v>
      </c>
      <c r="E41" s="31">
        <f t="shared" si="2"/>
        <v>36</v>
      </c>
      <c r="F41" s="32" t="str">
        <f t="shared" si="3"/>
        <v>ELECTROLYSIS SYSTEM ELECTROLYSIS ARRAY 1 RECTIFIER SYSTEMS RECTIFIER SYSTEM 1 MEASURING SYSTEMS MEASURING SYSTEM 3 DC CURRENT MEASUREMENT (SIL) ANALOG PROCESS SIGNAL</v>
      </c>
      <c r="G41" s="29" t="s">
        <v>1614</v>
      </c>
      <c r="H41" s="29" t="s">
        <v>1615</v>
      </c>
      <c r="I41" s="29" t="str">
        <f t="shared" si="4"/>
        <v>01</v>
      </c>
      <c r="J41" s="29" t="s">
        <v>1616</v>
      </c>
      <c r="K41" s="29" t="s">
        <v>1842</v>
      </c>
      <c r="L41" s="29" t="s">
        <v>1843</v>
      </c>
      <c r="M41" s="29" t="s">
        <v>1619</v>
      </c>
      <c r="N41" s="29" t="s">
        <v>1844</v>
      </c>
      <c r="O41" s="29" t="s">
        <v>1845</v>
      </c>
      <c r="P41" s="29" t="s">
        <v>1846</v>
      </c>
      <c r="Q41" s="29" t="s">
        <v>1830</v>
      </c>
      <c r="R41" s="29" t="s">
        <v>1880</v>
      </c>
      <c r="S41" s="29" t="s">
        <v>1862</v>
      </c>
      <c r="T41" s="29" t="s">
        <v>1863</v>
      </c>
      <c r="U41" s="29" t="s">
        <v>193</v>
      </c>
      <c r="V41" s="29" t="s">
        <v>1083</v>
      </c>
      <c r="W41" s="35" t="s">
        <v>1628</v>
      </c>
      <c r="X41" s="35" t="s">
        <v>1850</v>
      </c>
      <c r="Y41" s="35" t="s">
        <v>1881</v>
      </c>
      <c r="Z41" s="35" t="s">
        <v>1864</v>
      </c>
      <c r="AA41" s="35" t="s">
        <v>1666</v>
      </c>
      <c r="AB41" s="29" t="s">
        <v>1865</v>
      </c>
      <c r="AC41" s="35" t="s">
        <v>1633</v>
      </c>
      <c r="AD41" s="35" t="s">
        <v>1668</v>
      </c>
      <c r="AE41" s="35" t="s">
        <v>1668</v>
      </c>
      <c r="AF41" s="35" t="s">
        <v>1635</v>
      </c>
      <c r="AG41" s="35" t="s">
        <v>1728</v>
      </c>
      <c r="AI41" s="35"/>
      <c r="AJ41" s="35" t="s">
        <v>1671</v>
      </c>
      <c r="AK41" s="35" t="s">
        <v>1638</v>
      </c>
      <c r="AL41" s="29" t="s">
        <v>1866</v>
      </c>
      <c r="AM41" s="35" t="s">
        <v>1867</v>
      </c>
      <c r="AN41" s="35" t="s">
        <v>1868</v>
      </c>
      <c r="AO41" s="35"/>
      <c r="AP41" s="35"/>
      <c r="AQ41" s="35"/>
      <c r="AS41" s="35"/>
      <c r="AU41" s="35"/>
      <c r="AW41" s="35"/>
      <c r="AY41" s="35"/>
      <c r="AZ41" s="35"/>
      <c r="BA41" s="35"/>
      <c r="BD41" s="29" t="s">
        <v>1804</v>
      </c>
      <c r="BE41" s="29" t="s">
        <v>1805</v>
      </c>
      <c r="BG41" s="29" t="s">
        <v>1884</v>
      </c>
      <c r="BI41" s="35"/>
      <c r="BJ41" s="35"/>
      <c r="BK41" s="29" t="str" cm="1">
        <f t="array" ref="BK41">_xlfn.UNIQUE(MID(BB41,16,14))</f>
        <v/>
      </c>
    </row>
    <row r="42" spans="1:63" x14ac:dyDescent="0.3">
      <c r="A42" s="29" t="s">
        <v>1885</v>
      </c>
      <c r="B42" s="36" t="str">
        <f t="shared" si="0"/>
        <v>G01NHA01BZ004-BC01</v>
      </c>
      <c r="C42" s="33" t="s">
        <v>1886</v>
      </c>
      <c r="D42" s="34" t="str">
        <f t="shared" si="1"/>
        <v>ELY1 RECT1 MEAS4 CURR1 ANALOG1</v>
      </c>
      <c r="E42" s="31">
        <f t="shared" si="2"/>
        <v>30</v>
      </c>
      <c r="F42" s="32" t="str">
        <f t="shared" si="3"/>
        <v>ELECTROLYSIS SYSTEM ELECTROLYSIS ARRAY 1 RECTIFIER SYSTEMS RECTIFIER SYSTEM 1 MEASURING SYSTEMS MEASURING SYSTEM 4 DC CURRENT MEASUREMENT ANALOG PROCESS SIGNAL</v>
      </c>
      <c r="G42" s="29" t="s">
        <v>1614</v>
      </c>
      <c r="H42" s="29" t="s">
        <v>1615</v>
      </c>
      <c r="I42" s="29" t="str">
        <f t="shared" si="4"/>
        <v>01</v>
      </c>
      <c r="J42" s="29" t="s">
        <v>1616</v>
      </c>
      <c r="K42" s="29" t="s">
        <v>1842</v>
      </c>
      <c r="L42" s="29" t="s">
        <v>1843</v>
      </c>
      <c r="M42" s="29" t="s">
        <v>1619</v>
      </c>
      <c r="N42" s="29" t="s">
        <v>1844</v>
      </c>
      <c r="O42" s="29" t="s">
        <v>1845</v>
      </c>
      <c r="P42" s="29" t="s">
        <v>1846</v>
      </c>
      <c r="Q42" s="29" t="s">
        <v>1838</v>
      </c>
      <c r="R42" s="29" t="s">
        <v>1887</v>
      </c>
      <c r="S42" s="29" t="s">
        <v>1848</v>
      </c>
      <c r="T42" s="29" t="s">
        <v>1849</v>
      </c>
      <c r="U42" s="29" t="s">
        <v>193</v>
      </c>
      <c r="V42" s="29" t="s">
        <v>1083</v>
      </c>
      <c r="W42" s="35" t="s">
        <v>1628</v>
      </c>
      <c r="X42" s="35" t="s">
        <v>1850</v>
      </c>
      <c r="Y42" s="35" t="s">
        <v>1888</v>
      </c>
      <c r="Z42" s="35" t="s">
        <v>1852</v>
      </c>
      <c r="AA42" s="35" t="s">
        <v>1666</v>
      </c>
      <c r="AC42" s="35" t="s">
        <v>1633</v>
      </c>
      <c r="AD42" s="35" t="s">
        <v>1668</v>
      </c>
      <c r="AE42" s="35" t="s">
        <v>1668</v>
      </c>
      <c r="AF42" s="35" t="s">
        <v>1635</v>
      </c>
      <c r="AG42" s="35" t="s">
        <v>1728</v>
      </c>
      <c r="AI42" s="35"/>
      <c r="AJ42" s="35" t="s">
        <v>1671</v>
      </c>
      <c r="AK42" s="35" t="s">
        <v>1672</v>
      </c>
      <c r="AL42" s="29" t="s">
        <v>1853</v>
      </c>
      <c r="AM42" s="35" t="s">
        <v>1854</v>
      </c>
      <c r="AN42" s="35" t="s">
        <v>1855</v>
      </c>
      <c r="AO42" s="35"/>
      <c r="AP42" s="35"/>
      <c r="AQ42" s="35"/>
      <c r="AS42" s="35"/>
      <c r="AU42" s="35"/>
      <c r="AW42" s="35"/>
      <c r="AY42" s="35"/>
      <c r="AZ42" s="35"/>
      <c r="BA42" s="35"/>
      <c r="BI42" s="35"/>
      <c r="BJ42" s="35"/>
      <c r="BK42" s="29" t="str" cm="1">
        <f t="array" ref="BK42">_xlfn.UNIQUE(MID(BB42,16,14))</f>
        <v/>
      </c>
    </row>
    <row r="43" spans="1:63" x14ac:dyDescent="0.3">
      <c r="A43" s="29" t="s">
        <v>1885</v>
      </c>
      <c r="B43" s="36" t="str">
        <f t="shared" si="0"/>
        <v>G01NHA01BZ004-TF01</v>
      </c>
      <c r="C43" s="33" t="s">
        <v>1889</v>
      </c>
      <c r="D43" s="34" t="str">
        <f t="shared" si="1"/>
        <v>ELY1 RECT1 MEAS4 DC MON1 ANALOG1</v>
      </c>
      <c r="E43" s="31">
        <f t="shared" si="2"/>
        <v>32</v>
      </c>
      <c r="F43" s="32" t="str">
        <f t="shared" si="3"/>
        <v>ELECTROLYSIS SYSTEM ELECTROLYSIS ARRAY 1 RECTIFIER SYSTEMS RECTIFIER SYSTEM 1 MEASURING SYSTEMS MEASURING SYSTEM 4 DC ISOLATION MONITORING ANALOG PROCESS SIGNAL</v>
      </c>
      <c r="G43" s="29" t="s">
        <v>1614</v>
      </c>
      <c r="H43" s="29" t="s">
        <v>1615</v>
      </c>
      <c r="I43" s="29" t="str">
        <f t="shared" si="4"/>
        <v>01</v>
      </c>
      <c r="J43" s="29" t="s">
        <v>1616</v>
      </c>
      <c r="K43" s="29" t="s">
        <v>1842</v>
      </c>
      <c r="L43" s="29" t="s">
        <v>1843</v>
      </c>
      <c r="M43" s="29" t="s">
        <v>1619</v>
      </c>
      <c r="N43" s="29" t="s">
        <v>1844</v>
      </c>
      <c r="O43" s="29" t="s">
        <v>1845</v>
      </c>
      <c r="P43" s="29" t="s">
        <v>1846</v>
      </c>
      <c r="Q43" s="29" t="s">
        <v>1838</v>
      </c>
      <c r="R43" s="29" t="s">
        <v>1887</v>
      </c>
      <c r="S43" s="29" t="s">
        <v>1857</v>
      </c>
      <c r="T43" s="29" t="s">
        <v>1858</v>
      </c>
      <c r="U43" s="29" t="s">
        <v>193</v>
      </c>
      <c r="V43" s="29" t="s">
        <v>1083</v>
      </c>
      <c r="W43" s="35" t="s">
        <v>1628</v>
      </c>
      <c r="X43" s="35" t="s">
        <v>1850</v>
      </c>
      <c r="Y43" s="35" t="s">
        <v>1888</v>
      </c>
      <c r="Z43" s="35" t="s">
        <v>1859</v>
      </c>
      <c r="AA43" s="35" t="s">
        <v>1666</v>
      </c>
      <c r="AC43" s="35" t="s">
        <v>1633</v>
      </c>
      <c r="AD43" s="35" t="s">
        <v>1668</v>
      </c>
      <c r="AE43" s="35" t="s">
        <v>1668</v>
      </c>
      <c r="AF43" s="35" t="s">
        <v>1635</v>
      </c>
      <c r="AG43" s="35" t="s">
        <v>1728</v>
      </c>
      <c r="AI43" s="35"/>
      <c r="AJ43" s="35" t="s">
        <v>1671</v>
      </c>
      <c r="AK43" s="35" t="s">
        <v>1672</v>
      </c>
      <c r="AL43" s="29" t="s">
        <v>1860</v>
      </c>
      <c r="AM43" s="35"/>
      <c r="AN43" s="35"/>
      <c r="AO43" s="35"/>
      <c r="AP43" s="35"/>
      <c r="AQ43" s="35"/>
      <c r="AS43" s="35"/>
      <c r="AU43" s="35"/>
      <c r="AW43" s="35"/>
      <c r="AY43" s="35"/>
      <c r="AZ43" s="35"/>
      <c r="BA43" s="35"/>
      <c r="BI43" s="35"/>
      <c r="BJ43" s="35"/>
      <c r="BK43" s="29" t="str" cm="1">
        <f t="array" ref="BK43">_xlfn.UNIQUE(MID(BB43,16,14))</f>
        <v/>
      </c>
    </row>
    <row r="44" spans="1:63" x14ac:dyDescent="0.3">
      <c r="A44" s="29" t="s">
        <v>1885</v>
      </c>
      <c r="B44" s="36" t="str">
        <f t="shared" si="0"/>
        <v>G01NHA01BZ004-TF02</v>
      </c>
      <c r="C44" s="33" t="s">
        <v>1890</v>
      </c>
      <c r="D44" s="34" t="str">
        <f t="shared" si="1"/>
        <v>ELY1 RECT1 MEAS4 DC MON SIL  ANALOG1</v>
      </c>
      <c r="E44" s="31">
        <f t="shared" si="2"/>
        <v>36</v>
      </c>
      <c r="F44" s="32" t="str">
        <f t="shared" si="3"/>
        <v>ELECTROLYSIS SYSTEM ELECTROLYSIS ARRAY 1 RECTIFIER SYSTEMS RECTIFIER SYSTEM 1 MEASURING SYSTEMS MEASURING SYSTEM 4 DC CURRENT MEASUREMENT (SIL) ANALOG PROCESS SIGNAL</v>
      </c>
      <c r="G44" s="29" t="s">
        <v>1614</v>
      </c>
      <c r="H44" s="29" t="s">
        <v>1615</v>
      </c>
      <c r="I44" s="29" t="str">
        <f t="shared" si="4"/>
        <v>01</v>
      </c>
      <c r="J44" s="29" t="s">
        <v>1616</v>
      </c>
      <c r="K44" s="29" t="s">
        <v>1842</v>
      </c>
      <c r="L44" s="29" t="s">
        <v>1843</v>
      </c>
      <c r="M44" s="29" t="s">
        <v>1619</v>
      </c>
      <c r="N44" s="29" t="s">
        <v>1844</v>
      </c>
      <c r="O44" s="29" t="s">
        <v>1845</v>
      </c>
      <c r="P44" s="29" t="s">
        <v>1846</v>
      </c>
      <c r="Q44" s="29" t="s">
        <v>1838</v>
      </c>
      <c r="R44" s="29" t="s">
        <v>1887</v>
      </c>
      <c r="S44" s="29" t="s">
        <v>1862</v>
      </c>
      <c r="T44" s="29" t="s">
        <v>1863</v>
      </c>
      <c r="U44" s="29" t="s">
        <v>193</v>
      </c>
      <c r="V44" s="29" t="s">
        <v>1083</v>
      </c>
      <c r="W44" s="35" t="s">
        <v>1628</v>
      </c>
      <c r="X44" s="35" t="s">
        <v>1850</v>
      </c>
      <c r="Y44" s="35" t="s">
        <v>1888</v>
      </c>
      <c r="Z44" s="35" t="s">
        <v>1864</v>
      </c>
      <c r="AA44" s="35" t="s">
        <v>1666</v>
      </c>
      <c r="AB44" s="29" t="s">
        <v>1865</v>
      </c>
      <c r="AC44" s="35" t="s">
        <v>1633</v>
      </c>
      <c r="AD44" s="35" t="s">
        <v>1668</v>
      </c>
      <c r="AE44" s="35" t="s">
        <v>1668</v>
      </c>
      <c r="AF44" s="35" t="s">
        <v>1635</v>
      </c>
      <c r="AG44" s="35" t="s">
        <v>1728</v>
      </c>
      <c r="AI44" s="35"/>
      <c r="AJ44" s="35" t="s">
        <v>1671</v>
      </c>
      <c r="AK44" s="35" t="s">
        <v>1638</v>
      </c>
      <c r="AL44" s="29" t="s">
        <v>1866</v>
      </c>
      <c r="AM44" s="35" t="s">
        <v>1867</v>
      </c>
      <c r="AN44" s="35" t="s">
        <v>1868</v>
      </c>
      <c r="AO44" s="35"/>
      <c r="AP44" s="35"/>
      <c r="AQ44" s="35"/>
      <c r="AS44" s="35"/>
      <c r="AU44" s="35"/>
      <c r="AW44" s="35"/>
      <c r="AY44" s="35"/>
      <c r="AZ44" s="35"/>
      <c r="BA44" s="35"/>
      <c r="BD44" s="29" t="s">
        <v>1804</v>
      </c>
      <c r="BE44" s="29" t="s">
        <v>1805</v>
      </c>
      <c r="BG44" s="29" t="s">
        <v>1891</v>
      </c>
      <c r="BI44" s="35"/>
      <c r="BJ44" s="35"/>
      <c r="BK44" s="29" t="str" cm="1">
        <f t="array" ref="BK44">_xlfn.UNIQUE(MID(BB44,16,14))</f>
        <v/>
      </c>
    </row>
    <row r="45" spans="1:63" x14ac:dyDescent="0.3">
      <c r="A45" s="29" t="s">
        <v>1892</v>
      </c>
      <c r="B45" s="36" t="str">
        <f t="shared" si="0"/>
        <v>G01NHA01EQ001-BP01</v>
      </c>
      <c r="C45" s="33" t="s">
        <v>1893</v>
      </c>
      <c r="D45" s="34" t="str">
        <f t="shared" si="1"/>
        <v>ELY1 RECT1 COOL PRES1 ANALOG1</v>
      </c>
      <c r="E45" s="31">
        <f t="shared" si="2"/>
        <v>29</v>
      </c>
      <c r="F45" s="32" t="str">
        <f t="shared" si="3"/>
        <v>ELECTROLYSIS SYSTEM ELECTROLYSIS ARRAY 1 RECTIFIER SYSTEMS RECTIFIER SYSTEM 1 COOLING SYSTEMS RECTIFIER COOLING SYSTEM PRESSURE - PUMP INPUT ANALOG PROCESS SIGNAL</v>
      </c>
      <c r="G45" s="29" t="s">
        <v>1614</v>
      </c>
      <c r="H45" s="29" t="s">
        <v>1615</v>
      </c>
      <c r="I45" s="29" t="str">
        <f t="shared" si="4"/>
        <v>01</v>
      </c>
      <c r="J45" s="29" t="s">
        <v>1616</v>
      </c>
      <c r="K45" s="29" t="s">
        <v>1842</v>
      </c>
      <c r="L45" s="29" t="s">
        <v>1843</v>
      </c>
      <c r="M45" s="29" t="s">
        <v>1619</v>
      </c>
      <c r="N45" s="29" t="s">
        <v>1844</v>
      </c>
      <c r="O45" s="29" t="s">
        <v>1894</v>
      </c>
      <c r="P45" s="29" t="s">
        <v>1895</v>
      </c>
      <c r="Q45" s="29" t="s">
        <v>1623</v>
      </c>
      <c r="R45" s="29" t="s">
        <v>1896</v>
      </c>
      <c r="S45" s="29" t="s">
        <v>1681</v>
      </c>
      <c r="T45" s="29" t="s">
        <v>1897</v>
      </c>
      <c r="U45" s="29" t="s">
        <v>193</v>
      </c>
      <c r="V45" s="29" t="s">
        <v>1083</v>
      </c>
      <c r="W45" s="35" t="s">
        <v>1628</v>
      </c>
      <c r="X45" s="35" t="s">
        <v>1850</v>
      </c>
      <c r="Y45" s="35" t="s">
        <v>1898</v>
      </c>
      <c r="Z45" s="35" t="s">
        <v>1684</v>
      </c>
      <c r="AA45" s="35" t="s">
        <v>1666</v>
      </c>
      <c r="AB45" s="29" t="s">
        <v>1681</v>
      </c>
      <c r="AC45" s="35" t="s">
        <v>1633</v>
      </c>
      <c r="AD45" s="35" t="s">
        <v>1668</v>
      </c>
      <c r="AE45" s="35" t="s">
        <v>1668</v>
      </c>
      <c r="AF45" s="35" t="s">
        <v>1635</v>
      </c>
      <c r="AG45" s="35" t="s">
        <v>1728</v>
      </c>
      <c r="AI45" s="35"/>
      <c r="AJ45" s="35" t="s">
        <v>1671</v>
      </c>
      <c r="AK45" s="35" t="s">
        <v>1672</v>
      </c>
      <c r="AL45" s="29" t="s">
        <v>1685</v>
      </c>
      <c r="AM45" s="35"/>
      <c r="AN45" s="35"/>
      <c r="AO45" s="35"/>
      <c r="AP45" s="35"/>
      <c r="AQ45" s="35"/>
      <c r="AS45" s="35"/>
      <c r="AU45" s="35"/>
      <c r="AV45" s="29" t="s">
        <v>1641</v>
      </c>
      <c r="AW45" s="35"/>
      <c r="AX45" s="29" t="s">
        <v>1674</v>
      </c>
      <c r="AY45" s="35"/>
      <c r="AZ45" s="35"/>
      <c r="BA45" s="35"/>
      <c r="BB45" s="29" t="s">
        <v>1899</v>
      </c>
      <c r="BC45" s="29" t="s">
        <v>1900</v>
      </c>
      <c r="BD45" s="29" t="s">
        <v>1804</v>
      </c>
      <c r="BE45" s="29" t="s">
        <v>1805</v>
      </c>
      <c r="BF45" s="29" t="s">
        <v>1619</v>
      </c>
      <c r="BG45" s="29" t="s">
        <v>1901</v>
      </c>
      <c r="BH45" s="29" t="s">
        <v>1902</v>
      </c>
      <c r="BI45" s="35"/>
      <c r="BJ45" s="35"/>
      <c r="BK45" s="29" t="str" cm="1">
        <f t="array" ref="BK45">_xlfn.UNIQUE(MID(BB45,16,14))</f>
        <v>U012UBB01UC001</v>
      </c>
    </row>
    <row r="46" spans="1:63" x14ac:dyDescent="0.3">
      <c r="A46" s="29" t="s">
        <v>1892</v>
      </c>
      <c r="B46" s="36" t="str">
        <f t="shared" si="0"/>
        <v>G01NHA01EQ001-BP02</v>
      </c>
      <c r="C46" s="33" t="s">
        <v>1903</v>
      </c>
      <c r="D46" s="34" t="str">
        <f t="shared" si="1"/>
        <v>ELY1 RECT1 COOL PRES2 ANALOG1</v>
      </c>
      <c r="E46" s="31">
        <f t="shared" si="2"/>
        <v>29</v>
      </c>
      <c r="F46" s="32" t="str">
        <f t="shared" si="3"/>
        <v>ELECTROLYSIS SYSTEM ELECTROLYSIS ARRAY 1 RECTIFIER SYSTEMS RECTIFIER SYSTEM 1 COOLING SYSTEMS RECTIFIER COOLING SYSTEM PRESSURE - PUMP OUTPUT ANALOG PROCESS SIGNAL</v>
      </c>
      <c r="G46" s="29" t="s">
        <v>1614</v>
      </c>
      <c r="H46" s="29" t="s">
        <v>1615</v>
      </c>
      <c r="I46" s="29" t="str">
        <f t="shared" si="4"/>
        <v>01</v>
      </c>
      <c r="J46" s="29" t="s">
        <v>1616</v>
      </c>
      <c r="K46" s="29" t="s">
        <v>1842</v>
      </c>
      <c r="L46" s="29" t="s">
        <v>1843</v>
      </c>
      <c r="M46" s="29" t="s">
        <v>1619</v>
      </c>
      <c r="N46" s="29" t="s">
        <v>1844</v>
      </c>
      <c r="O46" s="29" t="s">
        <v>1894</v>
      </c>
      <c r="P46" s="29" t="s">
        <v>1895</v>
      </c>
      <c r="Q46" s="29" t="s">
        <v>1623</v>
      </c>
      <c r="R46" s="29" t="s">
        <v>1896</v>
      </c>
      <c r="S46" s="29" t="s">
        <v>1758</v>
      </c>
      <c r="T46" s="29" t="s">
        <v>1904</v>
      </c>
      <c r="U46" s="29" t="s">
        <v>193</v>
      </c>
      <c r="V46" s="29" t="s">
        <v>1083</v>
      </c>
      <c r="W46" s="35" t="s">
        <v>1628</v>
      </c>
      <c r="X46" s="35" t="s">
        <v>1850</v>
      </c>
      <c r="Y46" s="35" t="s">
        <v>1898</v>
      </c>
      <c r="Z46" s="35" t="s">
        <v>1760</v>
      </c>
      <c r="AA46" s="35" t="s">
        <v>1666</v>
      </c>
      <c r="AB46" s="29" t="s">
        <v>1758</v>
      </c>
      <c r="AC46" s="35" t="s">
        <v>1633</v>
      </c>
      <c r="AD46" s="35" t="s">
        <v>1668</v>
      </c>
      <c r="AE46" s="35" t="s">
        <v>1668</v>
      </c>
      <c r="AF46" s="35" t="s">
        <v>1635</v>
      </c>
      <c r="AG46" s="35" t="s">
        <v>1728</v>
      </c>
      <c r="AI46" s="35"/>
      <c r="AJ46" s="35" t="s">
        <v>1671</v>
      </c>
      <c r="AK46" s="35" t="s">
        <v>1672</v>
      </c>
      <c r="AL46" s="29" t="s">
        <v>1685</v>
      </c>
      <c r="AM46" s="35"/>
      <c r="AN46" s="35"/>
      <c r="AO46" s="35"/>
      <c r="AP46" s="35"/>
      <c r="AQ46" s="35"/>
      <c r="AR46" s="29" t="s">
        <v>1756</v>
      </c>
      <c r="AS46" s="35"/>
      <c r="AT46" s="29" t="s">
        <v>1640</v>
      </c>
      <c r="AU46" s="35"/>
      <c r="AW46" s="35"/>
      <c r="AY46" s="35"/>
      <c r="AZ46" s="35"/>
      <c r="BA46" s="35"/>
      <c r="BB46" s="29" t="s">
        <v>1899</v>
      </c>
      <c r="BC46" s="29" t="s">
        <v>1900</v>
      </c>
      <c r="BD46" s="29" t="s">
        <v>1804</v>
      </c>
      <c r="BE46" s="29" t="s">
        <v>1805</v>
      </c>
      <c r="BF46" s="29" t="s">
        <v>1905</v>
      </c>
      <c r="BG46" s="29" t="s">
        <v>1906</v>
      </c>
      <c r="BH46" s="29" t="s">
        <v>1902</v>
      </c>
      <c r="BI46" s="35"/>
      <c r="BJ46" s="35"/>
      <c r="BK46" s="29" t="str" cm="1">
        <f t="array" ref="BK46">_xlfn.UNIQUE(MID(BB46,16,14))</f>
        <v>U012UBB01UC001</v>
      </c>
    </row>
    <row r="47" spans="1:63" x14ac:dyDescent="0.3">
      <c r="A47" s="29" t="s">
        <v>1892</v>
      </c>
      <c r="B47" s="36" t="str">
        <f t="shared" si="0"/>
        <v>G01NHA01EQ001-BP03</v>
      </c>
      <c r="C47" s="33" t="s">
        <v>1907</v>
      </c>
      <c r="D47" s="34" t="str">
        <f t="shared" si="1"/>
        <v>ELY1 RECT1 COOL PRES3 ANALOG1</v>
      </c>
      <c r="E47" s="31">
        <f t="shared" si="2"/>
        <v>29</v>
      </c>
      <c r="F47" s="32" t="str">
        <f t="shared" si="3"/>
        <v>ELECTROLYSIS SYSTEM ELECTROLYSIS ARRAY 1 RECTIFIER SYSTEMS RECTIFIER SYSTEM 1 COOLING SYSTEMS RECTIFIER COOLING SYSTEM PRESSURE - HEAT EXCHANGER OUTPUT ANALOG PROCESS SIGNAL</v>
      </c>
      <c r="G47" s="29" t="s">
        <v>1614</v>
      </c>
      <c r="H47" s="29" t="s">
        <v>1615</v>
      </c>
      <c r="I47" s="29" t="str">
        <f t="shared" si="4"/>
        <v>01</v>
      </c>
      <c r="J47" s="29" t="s">
        <v>1616</v>
      </c>
      <c r="K47" s="29" t="s">
        <v>1842</v>
      </c>
      <c r="L47" s="29" t="s">
        <v>1843</v>
      </c>
      <c r="M47" s="29" t="s">
        <v>1619</v>
      </c>
      <c r="N47" s="29" t="s">
        <v>1844</v>
      </c>
      <c r="O47" s="29" t="s">
        <v>1894</v>
      </c>
      <c r="P47" s="29" t="s">
        <v>1895</v>
      </c>
      <c r="Q47" s="29" t="s">
        <v>1623</v>
      </c>
      <c r="R47" s="29" t="s">
        <v>1896</v>
      </c>
      <c r="S47" s="29" t="s">
        <v>1762</v>
      </c>
      <c r="T47" s="29" t="s">
        <v>1908</v>
      </c>
      <c r="U47" s="29" t="s">
        <v>193</v>
      </c>
      <c r="V47" s="29" t="s">
        <v>1083</v>
      </c>
      <c r="W47" s="35" t="s">
        <v>1628</v>
      </c>
      <c r="X47" s="35" t="s">
        <v>1850</v>
      </c>
      <c r="Y47" s="35" t="s">
        <v>1898</v>
      </c>
      <c r="Z47" s="35" t="s">
        <v>1764</v>
      </c>
      <c r="AA47" s="35" t="s">
        <v>1666</v>
      </c>
      <c r="AB47" s="29" t="s">
        <v>1762</v>
      </c>
      <c r="AC47" s="35" t="s">
        <v>1633</v>
      </c>
      <c r="AD47" s="35" t="s">
        <v>1668</v>
      </c>
      <c r="AE47" s="35" t="s">
        <v>1668</v>
      </c>
      <c r="AF47" s="35" t="s">
        <v>1635</v>
      </c>
      <c r="AG47" s="35" t="s">
        <v>1728</v>
      </c>
      <c r="AI47" s="35"/>
      <c r="AJ47" s="35" t="s">
        <v>1671</v>
      </c>
      <c r="AK47" s="35" t="s">
        <v>1672</v>
      </c>
      <c r="AL47" s="29" t="s">
        <v>1685</v>
      </c>
      <c r="AM47" s="35"/>
      <c r="AN47" s="35"/>
      <c r="AO47" s="35"/>
      <c r="AP47" s="35"/>
      <c r="AQ47" s="35"/>
      <c r="AS47" s="35"/>
      <c r="AU47" s="35"/>
      <c r="AW47" s="35"/>
      <c r="AY47" s="35"/>
      <c r="AZ47" s="35"/>
      <c r="BA47" s="35"/>
      <c r="BB47" s="29" t="s">
        <v>1899</v>
      </c>
      <c r="BC47" s="29" t="s">
        <v>1900</v>
      </c>
      <c r="BD47" s="29" t="s">
        <v>1804</v>
      </c>
      <c r="BE47" s="29" t="s">
        <v>1805</v>
      </c>
      <c r="BF47" s="29" t="s">
        <v>1909</v>
      </c>
      <c r="BG47" s="29" t="s">
        <v>1910</v>
      </c>
      <c r="BH47" s="29" t="s">
        <v>1902</v>
      </c>
      <c r="BI47" s="35"/>
      <c r="BJ47" s="35"/>
      <c r="BK47" s="29" t="str" cm="1">
        <f t="array" ref="BK47">_xlfn.UNIQUE(MID(BB47,16,14))</f>
        <v>U012UBB01UC001</v>
      </c>
    </row>
    <row r="48" spans="1:63" x14ac:dyDescent="0.3">
      <c r="A48" s="29" t="s">
        <v>1892</v>
      </c>
      <c r="B48" s="36" t="str">
        <f t="shared" si="0"/>
        <v>G01NHA01EQ001-BQ01</v>
      </c>
      <c r="C48" s="33" t="s">
        <v>1911</v>
      </c>
      <c r="D48" s="34" t="str">
        <f t="shared" si="1"/>
        <v>ELY1 RECT1 COOL QUAL1 ANALOG1</v>
      </c>
      <c r="E48" s="31">
        <f t="shared" si="2"/>
        <v>29</v>
      </c>
      <c r="F48" s="32" t="str">
        <f t="shared" si="3"/>
        <v>ELECTROLYSIS SYSTEM ELECTROLYSIS ARRAY 1 RECTIFIER SYSTEMS RECTIFIER SYSTEM 1 COOLING SYSTEMS RECTIFIER COOLING SYSTEM CONDUCTIVITY - HEAT EXCHANGER OUTLET ANALOG PROCESS SIGNAL</v>
      </c>
      <c r="G48" s="29" t="s">
        <v>1614</v>
      </c>
      <c r="H48" s="29" t="s">
        <v>1615</v>
      </c>
      <c r="I48" s="29" t="str">
        <f t="shared" si="4"/>
        <v>01</v>
      </c>
      <c r="J48" s="29" t="s">
        <v>1616</v>
      </c>
      <c r="K48" s="29" t="s">
        <v>1842</v>
      </c>
      <c r="L48" s="29" t="s">
        <v>1843</v>
      </c>
      <c r="M48" s="29" t="s">
        <v>1619</v>
      </c>
      <c r="N48" s="29" t="s">
        <v>1844</v>
      </c>
      <c r="O48" s="29" t="s">
        <v>1894</v>
      </c>
      <c r="P48" s="29" t="s">
        <v>1895</v>
      </c>
      <c r="Q48" s="29" t="s">
        <v>1623</v>
      </c>
      <c r="R48" s="29" t="s">
        <v>1896</v>
      </c>
      <c r="S48" s="29" t="s">
        <v>1687</v>
      </c>
      <c r="T48" s="29" t="s">
        <v>1912</v>
      </c>
      <c r="U48" s="29" t="s">
        <v>193</v>
      </c>
      <c r="V48" s="29" t="s">
        <v>1083</v>
      </c>
      <c r="W48" s="35" t="s">
        <v>1628</v>
      </c>
      <c r="X48" s="35" t="s">
        <v>1850</v>
      </c>
      <c r="Y48" s="35" t="s">
        <v>1898</v>
      </c>
      <c r="Z48" s="35" t="s">
        <v>1689</v>
      </c>
      <c r="AA48" s="35" t="s">
        <v>1666</v>
      </c>
      <c r="AB48" s="29" t="s">
        <v>1687</v>
      </c>
      <c r="AC48" s="35" t="s">
        <v>1633</v>
      </c>
      <c r="AD48" s="35" t="s">
        <v>1668</v>
      </c>
      <c r="AE48" s="35" t="s">
        <v>1668</v>
      </c>
      <c r="AF48" s="35" t="s">
        <v>1635</v>
      </c>
      <c r="AG48" s="35" t="s">
        <v>1728</v>
      </c>
      <c r="AI48" s="35"/>
      <c r="AJ48" s="35" t="s">
        <v>1671</v>
      </c>
      <c r="AK48" s="35" t="s">
        <v>1672</v>
      </c>
      <c r="AL48" s="29" t="s">
        <v>1671</v>
      </c>
      <c r="AM48" s="35" t="s">
        <v>1702</v>
      </c>
      <c r="AN48" s="35" t="s">
        <v>1703</v>
      </c>
      <c r="AO48" s="35"/>
      <c r="AP48" s="35"/>
      <c r="AQ48" s="35"/>
      <c r="AS48" s="35"/>
      <c r="AT48" s="29" t="s">
        <v>1640</v>
      </c>
      <c r="AU48" s="35"/>
      <c r="AW48" s="35"/>
      <c r="AY48" s="35"/>
      <c r="AZ48" s="35"/>
      <c r="BA48" s="35"/>
      <c r="BB48" s="29" t="s">
        <v>1899</v>
      </c>
      <c r="BC48" s="29" t="s">
        <v>1900</v>
      </c>
      <c r="BD48" s="29" t="s">
        <v>1913</v>
      </c>
      <c r="BE48" s="29" t="s">
        <v>1914</v>
      </c>
      <c r="BF48" s="29" t="s">
        <v>1915</v>
      </c>
      <c r="BG48" s="29" t="s">
        <v>1916</v>
      </c>
      <c r="BH48" s="29" t="s">
        <v>1902</v>
      </c>
      <c r="BI48" s="35"/>
      <c r="BJ48" s="35"/>
      <c r="BK48" s="29" t="str" cm="1">
        <f t="array" ref="BK48">_xlfn.UNIQUE(MID(BB48,16,14))</f>
        <v>U012UBB01UC001</v>
      </c>
    </row>
    <row r="49" spans="1:63" x14ac:dyDescent="0.3">
      <c r="A49" s="29" t="s">
        <v>1892</v>
      </c>
      <c r="B49" s="36" t="str">
        <f t="shared" si="0"/>
        <v>G01NHA01EQ001-BQ01</v>
      </c>
      <c r="C49" s="33" t="s">
        <v>1917</v>
      </c>
      <c r="D49" s="34" t="str">
        <f t="shared" si="1"/>
        <v>ELY1 RECT1 COOL QUAL1 ANALOG2</v>
      </c>
      <c r="E49" s="31">
        <f t="shared" si="2"/>
        <v>29</v>
      </c>
      <c r="F49" s="32" t="str">
        <f t="shared" si="3"/>
        <v>ELECTROLYSIS SYSTEM ELECTROLYSIS ARRAY 1 RECTIFIER SYSTEMS RECTIFIER SYSTEM 1 COOLING SYSTEMS RECTIFIER COOLING SYSTEM CONDUCTIVITY - HEAT EXCHANGER OUTLET ANALOG PROCESS SIGNAL</v>
      </c>
      <c r="G49" s="29" t="s">
        <v>1614</v>
      </c>
      <c r="H49" s="29" t="s">
        <v>1615</v>
      </c>
      <c r="I49" s="29" t="str">
        <f t="shared" si="4"/>
        <v>01</v>
      </c>
      <c r="J49" s="29" t="s">
        <v>1616</v>
      </c>
      <c r="K49" s="29" t="s">
        <v>1842</v>
      </c>
      <c r="L49" s="29" t="s">
        <v>1843</v>
      </c>
      <c r="M49" s="29" t="s">
        <v>1619</v>
      </c>
      <c r="N49" s="29" t="s">
        <v>1844</v>
      </c>
      <c r="O49" s="29" t="s">
        <v>1894</v>
      </c>
      <c r="P49" s="29" t="s">
        <v>1895</v>
      </c>
      <c r="Q49" s="29" t="s">
        <v>1623</v>
      </c>
      <c r="R49" s="29" t="s">
        <v>1896</v>
      </c>
      <c r="S49" s="29" t="s">
        <v>1687</v>
      </c>
      <c r="T49" s="29" t="s">
        <v>1912</v>
      </c>
      <c r="U49" s="29" t="s">
        <v>905</v>
      </c>
      <c r="V49" s="29" t="s">
        <v>1083</v>
      </c>
      <c r="W49" s="35" t="s">
        <v>1628</v>
      </c>
      <c r="X49" s="35" t="s">
        <v>1850</v>
      </c>
      <c r="Y49" s="35" t="s">
        <v>1898</v>
      </c>
      <c r="Z49" s="35" t="s">
        <v>1689</v>
      </c>
      <c r="AA49" s="35" t="s">
        <v>1705</v>
      </c>
      <c r="AB49" s="29" t="s">
        <v>1687</v>
      </c>
      <c r="AC49" s="35" t="s">
        <v>1633</v>
      </c>
      <c r="AD49" s="35" t="s">
        <v>1668</v>
      </c>
      <c r="AE49" s="35" t="s">
        <v>1668</v>
      </c>
      <c r="AF49" s="35" t="s">
        <v>1635</v>
      </c>
      <c r="AG49" s="35" t="s">
        <v>1728</v>
      </c>
      <c r="AI49" s="35"/>
      <c r="AJ49" s="35" t="s">
        <v>1671</v>
      </c>
      <c r="AK49" s="35" t="s">
        <v>1672</v>
      </c>
      <c r="AL49" s="29" t="s">
        <v>1706</v>
      </c>
      <c r="AM49" s="35" t="s">
        <v>1702</v>
      </c>
      <c r="AN49" s="35" t="s">
        <v>1703</v>
      </c>
      <c r="AO49" s="35"/>
      <c r="AP49" s="35"/>
      <c r="AQ49" s="35"/>
      <c r="AS49" s="35"/>
      <c r="AU49" s="35"/>
      <c r="AW49" s="35"/>
      <c r="AY49" s="35"/>
      <c r="AZ49" s="35"/>
      <c r="BA49" s="35"/>
      <c r="BB49" s="29" t="s">
        <v>1899</v>
      </c>
      <c r="BC49" s="29" t="s">
        <v>1900</v>
      </c>
      <c r="BD49" s="29" t="s">
        <v>1918</v>
      </c>
      <c r="BE49" s="29" t="s">
        <v>1805</v>
      </c>
      <c r="BF49" s="29" t="s">
        <v>1919</v>
      </c>
      <c r="BG49" s="29" t="s">
        <v>1916</v>
      </c>
      <c r="BH49" s="29" t="s">
        <v>1902</v>
      </c>
      <c r="BI49" s="35"/>
      <c r="BJ49" s="35"/>
      <c r="BK49" s="29" t="str" cm="1">
        <f t="array" ref="BK49">_xlfn.UNIQUE(MID(BB49,16,14))</f>
        <v>U012UBB01UC001</v>
      </c>
    </row>
    <row r="50" spans="1:63" x14ac:dyDescent="0.3">
      <c r="A50" s="29" t="s">
        <v>1892</v>
      </c>
      <c r="B50" s="36" t="str">
        <f t="shared" si="0"/>
        <v>G01NHA01EQ001-BT01</v>
      </c>
      <c r="C50" s="33" t="s">
        <v>1920</v>
      </c>
      <c r="D50" s="34" t="str">
        <f t="shared" si="1"/>
        <v>ELY1 RECT1 COOL TEMP1 ANALOG1</v>
      </c>
      <c r="E50" s="31">
        <f t="shared" si="2"/>
        <v>29</v>
      </c>
      <c r="F50" s="32" t="str">
        <f t="shared" si="3"/>
        <v>ELECTROLYSIS SYSTEM ELECTROLYSIS ARRAY 1 RECTIFIER SYSTEMS RECTIFIER SYSTEM 1 COOLING SYSTEMS RECTIFIER COOLING SYSTEM TEMPERATURE - HEAT EXCHANGER OUTLET ANALOG PROCESS SIGNAL</v>
      </c>
      <c r="G50" s="29" t="s">
        <v>1614</v>
      </c>
      <c r="H50" s="29" t="s">
        <v>1615</v>
      </c>
      <c r="I50" s="29" t="str">
        <f t="shared" si="4"/>
        <v>01</v>
      </c>
      <c r="J50" s="29" t="s">
        <v>1616</v>
      </c>
      <c r="K50" s="29" t="s">
        <v>1842</v>
      </c>
      <c r="L50" s="29" t="s">
        <v>1843</v>
      </c>
      <c r="M50" s="29" t="s">
        <v>1619</v>
      </c>
      <c r="N50" s="29" t="s">
        <v>1844</v>
      </c>
      <c r="O50" s="29" t="s">
        <v>1894</v>
      </c>
      <c r="P50" s="29" t="s">
        <v>1895</v>
      </c>
      <c r="Q50" s="29" t="s">
        <v>1623</v>
      </c>
      <c r="R50" s="29" t="s">
        <v>1896</v>
      </c>
      <c r="S50" s="29" t="s">
        <v>1715</v>
      </c>
      <c r="T50" s="29" t="s">
        <v>1921</v>
      </c>
      <c r="U50" s="29" t="s">
        <v>193</v>
      </c>
      <c r="V50" s="29" t="s">
        <v>1083</v>
      </c>
      <c r="W50" s="35" t="s">
        <v>1628</v>
      </c>
      <c r="X50" s="35" t="s">
        <v>1850</v>
      </c>
      <c r="Y50" s="35" t="s">
        <v>1898</v>
      </c>
      <c r="Z50" s="35" t="s">
        <v>1719</v>
      </c>
      <c r="AA50" s="35" t="s">
        <v>1666</v>
      </c>
      <c r="AB50" s="29" t="s">
        <v>1715</v>
      </c>
      <c r="AC50" s="35" t="s">
        <v>1633</v>
      </c>
      <c r="AD50" s="35" t="s">
        <v>1668</v>
      </c>
      <c r="AE50" s="35" t="s">
        <v>1668</v>
      </c>
      <c r="AF50" s="35" t="s">
        <v>1635</v>
      </c>
      <c r="AG50" s="35" t="s">
        <v>1728</v>
      </c>
      <c r="AI50" s="35"/>
      <c r="AJ50" s="35" t="s">
        <v>1671</v>
      </c>
      <c r="AK50" s="35" t="s">
        <v>1672</v>
      </c>
      <c r="AL50" s="29" t="s">
        <v>1706</v>
      </c>
      <c r="AM50" s="35" t="s">
        <v>1721</v>
      </c>
      <c r="AN50" s="35" t="s">
        <v>1722</v>
      </c>
      <c r="AO50" s="35"/>
      <c r="AP50" s="35"/>
      <c r="AQ50" s="35"/>
      <c r="AR50" s="29" t="s">
        <v>1756</v>
      </c>
      <c r="AS50" s="35"/>
      <c r="AT50" s="29" t="s">
        <v>1640</v>
      </c>
      <c r="AU50" s="35"/>
      <c r="AV50" s="29" t="s">
        <v>1641</v>
      </c>
      <c r="AW50" s="35"/>
      <c r="AX50" s="29" t="s">
        <v>1674</v>
      </c>
      <c r="AY50" s="35"/>
      <c r="AZ50" s="35"/>
      <c r="BA50" s="35"/>
      <c r="BB50" s="29" t="s">
        <v>1899</v>
      </c>
      <c r="BC50" s="29" t="s">
        <v>1900</v>
      </c>
      <c r="BD50" s="29" t="s">
        <v>1804</v>
      </c>
      <c r="BE50" s="29" t="s">
        <v>1805</v>
      </c>
      <c r="BF50" s="29" t="s">
        <v>1922</v>
      </c>
      <c r="BG50" s="29" t="s">
        <v>1923</v>
      </c>
      <c r="BH50" s="29" t="s">
        <v>1902</v>
      </c>
      <c r="BI50" s="35"/>
      <c r="BJ50" s="35"/>
      <c r="BK50" s="29" t="str" cm="1">
        <f t="array" ref="BK50">_xlfn.UNIQUE(MID(BB50,16,14))</f>
        <v>U012UBB01UC001</v>
      </c>
    </row>
    <row r="51" spans="1:63" x14ac:dyDescent="0.3">
      <c r="A51" s="29" t="s">
        <v>1924</v>
      </c>
      <c r="B51" s="36" t="str">
        <f t="shared" si="0"/>
        <v>G01NHA01TA001-BT01</v>
      </c>
      <c r="C51" s="33" t="s">
        <v>1925</v>
      </c>
      <c r="D51" s="34" t="str">
        <f t="shared" si="1"/>
        <v>ELY1 RECT1 TRAFO1 TEMP1 ANALOG1</v>
      </c>
      <c r="E51" s="31">
        <f t="shared" si="2"/>
        <v>31</v>
      </c>
      <c r="F51" s="32" t="str">
        <f t="shared" si="3"/>
        <v>ELECTROLYSIS SYSTEM ELECTROLYSIS ARRAY 1 RECTIFIER SYSTEMS RECTIFIER SYSTEM 1 TRANSFORMERS RECTIFIER TRANSFORMER TEMPERATURE SWITCH - OIL TEMPERATURE ANALOG PROCESS SIGNAL</v>
      </c>
      <c r="G51" s="29" t="s">
        <v>1614</v>
      </c>
      <c r="H51" s="29" t="s">
        <v>1615</v>
      </c>
      <c r="I51" s="29" t="str">
        <f t="shared" si="4"/>
        <v>01</v>
      </c>
      <c r="J51" s="29" t="s">
        <v>1616</v>
      </c>
      <c r="K51" s="29" t="s">
        <v>1842</v>
      </c>
      <c r="L51" s="29" t="s">
        <v>1843</v>
      </c>
      <c r="M51" s="29" t="s">
        <v>1619</v>
      </c>
      <c r="N51" s="29" t="s">
        <v>1844</v>
      </c>
      <c r="O51" s="29" t="s">
        <v>1926</v>
      </c>
      <c r="P51" s="29" t="s">
        <v>1927</v>
      </c>
      <c r="Q51" s="29" t="s">
        <v>1623</v>
      </c>
      <c r="R51" s="29" t="s">
        <v>1928</v>
      </c>
      <c r="S51" s="29" t="s">
        <v>1715</v>
      </c>
      <c r="T51" s="29" t="s">
        <v>1929</v>
      </c>
      <c r="U51" s="29" t="s">
        <v>193</v>
      </c>
      <c r="V51" s="29" t="s">
        <v>1083</v>
      </c>
      <c r="W51" s="35" t="s">
        <v>1628</v>
      </c>
      <c r="X51" s="35" t="s">
        <v>1850</v>
      </c>
      <c r="Y51" s="35" t="s">
        <v>1930</v>
      </c>
      <c r="Z51" s="35" t="s">
        <v>1719</v>
      </c>
      <c r="AA51" s="35" t="s">
        <v>1666</v>
      </c>
      <c r="AB51" s="29" t="s">
        <v>1715</v>
      </c>
      <c r="AC51" s="35" t="s">
        <v>1633</v>
      </c>
      <c r="AD51" s="35" t="s">
        <v>1668</v>
      </c>
      <c r="AE51" s="35" t="s">
        <v>1668</v>
      </c>
      <c r="AF51" s="35" t="s">
        <v>1635</v>
      </c>
      <c r="AG51" s="35" t="s">
        <v>1728</v>
      </c>
      <c r="AI51" s="35"/>
      <c r="AJ51" s="35" t="s">
        <v>1671</v>
      </c>
      <c r="AK51" s="35" t="s">
        <v>1672</v>
      </c>
      <c r="AL51" s="29" t="s">
        <v>1706</v>
      </c>
      <c r="AM51" s="35"/>
      <c r="AN51" s="35"/>
      <c r="AO51" s="35"/>
      <c r="AP51" s="35"/>
      <c r="AQ51" s="35"/>
      <c r="AS51" s="35"/>
      <c r="AU51" s="35"/>
      <c r="AW51" s="35"/>
      <c r="AY51" s="35"/>
      <c r="AZ51" s="35" t="s">
        <v>1642</v>
      </c>
      <c r="BA51" s="35"/>
      <c r="BB51" s="29" t="s">
        <v>1899</v>
      </c>
      <c r="BC51" s="29" t="s">
        <v>1900</v>
      </c>
      <c r="BD51" s="29" t="s">
        <v>1804</v>
      </c>
      <c r="BE51" s="29" t="s">
        <v>1805</v>
      </c>
      <c r="BF51" s="29" t="s">
        <v>1931</v>
      </c>
      <c r="BG51" s="29" t="s">
        <v>1932</v>
      </c>
      <c r="BI51" s="35"/>
      <c r="BJ51" s="35"/>
      <c r="BK51" s="29" t="str" cm="1">
        <f t="array" ref="BK51">_xlfn.UNIQUE(MID(BB51,16,14))</f>
        <v>U012UBB01UC001</v>
      </c>
    </row>
    <row r="52" spans="1:63" x14ac:dyDescent="0.3">
      <c r="A52" s="29" t="s">
        <v>1924</v>
      </c>
      <c r="B52" s="36" t="str">
        <f t="shared" si="0"/>
        <v>G01NHA01TA001-BT02</v>
      </c>
      <c r="C52" s="33" t="s">
        <v>1933</v>
      </c>
      <c r="D52" s="34" t="str">
        <f t="shared" si="1"/>
        <v>ELY1 RECT1 TRAFO1 TEMP2 ANALOG1</v>
      </c>
      <c r="E52" s="31">
        <f t="shared" si="2"/>
        <v>31</v>
      </c>
      <c r="F52" s="32" t="str">
        <f t="shared" si="3"/>
        <v>ELECTROLYSIS SYSTEM ELECTROLYSIS ARRAY 1 RECTIFIER SYSTEMS RECTIFIER SYSTEM 1 TRANSFORMERS RECTIFIER TRANSFORMER TEMPERATURE SWITCH - WINDING TEMPERATURE ANALOG PROCESS SIGNAL</v>
      </c>
      <c r="G52" s="29" t="s">
        <v>1614</v>
      </c>
      <c r="H52" s="29" t="s">
        <v>1615</v>
      </c>
      <c r="I52" s="29" t="str">
        <f t="shared" si="4"/>
        <v>01</v>
      </c>
      <c r="J52" s="29" t="s">
        <v>1616</v>
      </c>
      <c r="K52" s="29" t="s">
        <v>1842</v>
      </c>
      <c r="L52" s="29" t="s">
        <v>1843</v>
      </c>
      <c r="M52" s="29" t="s">
        <v>1619</v>
      </c>
      <c r="N52" s="29" t="s">
        <v>1844</v>
      </c>
      <c r="O52" s="29" t="s">
        <v>1926</v>
      </c>
      <c r="P52" s="29" t="s">
        <v>1927</v>
      </c>
      <c r="Q52" s="29" t="s">
        <v>1623</v>
      </c>
      <c r="R52" s="29" t="s">
        <v>1928</v>
      </c>
      <c r="S52" s="29" t="s">
        <v>1791</v>
      </c>
      <c r="T52" s="29" t="s">
        <v>1934</v>
      </c>
      <c r="U52" s="29" t="s">
        <v>193</v>
      </c>
      <c r="V52" s="29" t="s">
        <v>1083</v>
      </c>
      <c r="W52" s="35" t="s">
        <v>1628</v>
      </c>
      <c r="X52" s="35" t="s">
        <v>1850</v>
      </c>
      <c r="Y52" s="35" t="s">
        <v>1930</v>
      </c>
      <c r="Z52" s="35" t="s">
        <v>1793</v>
      </c>
      <c r="AA52" s="35" t="s">
        <v>1666</v>
      </c>
      <c r="AB52" s="29" t="s">
        <v>1791</v>
      </c>
      <c r="AC52" s="35" t="s">
        <v>1633</v>
      </c>
      <c r="AD52" s="35" t="s">
        <v>1668</v>
      </c>
      <c r="AE52" s="35" t="s">
        <v>1668</v>
      </c>
      <c r="AF52" s="35" t="s">
        <v>1635</v>
      </c>
      <c r="AG52" s="35" t="s">
        <v>1728</v>
      </c>
      <c r="AI52" s="35"/>
      <c r="AJ52" s="35" t="s">
        <v>1671</v>
      </c>
      <c r="AK52" s="35" t="s">
        <v>1672</v>
      </c>
      <c r="AL52" s="29" t="s">
        <v>1935</v>
      </c>
      <c r="AM52" s="35"/>
      <c r="AN52" s="35"/>
      <c r="AO52" s="35"/>
      <c r="AP52" s="35"/>
      <c r="AQ52" s="35"/>
      <c r="AS52" s="35"/>
      <c r="AU52" s="35"/>
      <c r="AW52" s="35"/>
      <c r="AY52" s="35"/>
      <c r="AZ52" s="35" t="s">
        <v>1642</v>
      </c>
      <c r="BA52" s="35"/>
      <c r="BB52" s="29" t="s">
        <v>1899</v>
      </c>
      <c r="BC52" s="29" t="s">
        <v>1900</v>
      </c>
      <c r="BD52" s="29" t="s">
        <v>1804</v>
      </c>
      <c r="BE52" s="29" t="s">
        <v>1805</v>
      </c>
      <c r="BF52" s="29" t="s">
        <v>1936</v>
      </c>
      <c r="BG52" s="29" t="s">
        <v>1937</v>
      </c>
      <c r="BI52" s="35"/>
      <c r="BJ52" s="35"/>
      <c r="BK52" s="29" t="str" cm="1">
        <f t="array" ref="BK52">_xlfn.UNIQUE(MID(BB52,16,14))</f>
        <v>U012UBB01UC001</v>
      </c>
    </row>
    <row r="53" spans="1:63" x14ac:dyDescent="0.3">
      <c r="A53" s="29" t="s">
        <v>1924</v>
      </c>
      <c r="B53" s="36" t="str">
        <f t="shared" si="0"/>
        <v>G01NHA01TA001-BT10</v>
      </c>
      <c r="C53" s="33" t="s">
        <v>1938</v>
      </c>
      <c r="D53" s="34" t="str">
        <f t="shared" si="1"/>
        <v>ELY1 RECT1 TRAFO1 OIL TEMP1 ANALOG1</v>
      </c>
      <c r="E53" s="31">
        <f t="shared" si="2"/>
        <v>35</v>
      </c>
      <c r="F53" s="32" t="str">
        <f t="shared" si="3"/>
        <v>ELECTROLYSIS SYSTEM ELECTROLYSIS ARRAY 1 RECTIFIER SYSTEMS RECTIFIER SYSTEM 1 TRANSFORMERS RECTIFIER TRANSFORMER PT100 - TOP OIL TEMPERATURE TEMPERATURE - TOP OIL TRANSFORMER</v>
      </c>
      <c r="G53" s="29" t="s">
        <v>1614</v>
      </c>
      <c r="H53" s="29" t="s">
        <v>1615</v>
      </c>
      <c r="I53" s="29" t="str">
        <f t="shared" si="4"/>
        <v>01</v>
      </c>
      <c r="J53" s="29" t="s">
        <v>1616</v>
      </c>
      <c r="K53" s="29" t="s">
        <v>1842</v>
      </c>
      <c r="L53" s="29" t="s">
        <v>1843</v>
      </c>
      <c r="M53" s="29" t="s">
        <v>1619</v>
      </c>
      <c r="N53" s="29" t="s">
        <v>1844</v>
      </c>
      <c r="O53" s="29" t="s">
        <v>1926</v>
      </c>
      <c r="P53" s="29" t="s">
        <v>1927</v>
      </c>
      <c r="Q53" s="29" t="s">
        <v>1623</v>
      </c>
      <c r="R53" s="29" t="s">
        <v>1928</v>
      </c>
      <c r="S53" s="29" t="s">
        <v>1939</v>
      </c>
      <c r="T53" s="29" t="s">
        <v>1940</v>
      </c>
      <c r="U53" s="29" t="s">
        <v>193</v>
      </c>
      <c r="V53" s="29" t="s">
        <v>1941</v>
      </c>
      <c r="W53" s="35" t="s">
        <v>1628</v>
      </c>
      <c r="X53" s="35" t="s">
        <v>1850</v>
      </c>
      <c r="Y53" s="35" t="s">
        <v>1930</v>
      </c>
      <c r="Z53" s="35" t="s">
        <v>1942</v>
      </c>
      <c r="AA53" s="35" t="s">
        <v>1666</v>
      </c>
      <c r="AB53" s="29" t="s">
        <v>1667</v>
      </c>
      <c r="AC53" s="35" t="s">
        <v>1633</v>
      </c>
      <c r="AD53" s="35" t="s">
        <v>1943</v>
      </c>
      <c r="AE53" s="35" t="s">
        <v>1943</v>
      </c>
      <c r="AF53" s="35" t="s">
        <v>1635</v>
      </c>
      <c r="AG53" s="35" t="s">
        <v>1728</v>
      </c>
      <c r="AI53" s="35"/>
      <c r="AJ53" s="35" t="s">
        <v>1671</v>
      </c>
      <c r="AK53" s="35" t="s">
        <v>1672</v>
      </c>
      <c r="AL53" s="29" t="s">
        <v>1706</v>
      </c>
      <c r="AM53" s="35"/>
      <c r="AN53" s="35"/>
      <c r="AO53" s="35"/>
      <c r="AP53" s="35"/>
      <c r="AQ53" s="35"/>
      <c r="AS53" s="35"/>
      <c r="AU53" s="35"/>
      <c r="AW53" s="35"/>
      <c r="AY53" s="35"/>
      <c r="AZ53" s="35"/>
      <c r="BA53" s="35"/>
      <c r="BB53" s="29" t="s">
        <v>1944</v>
      </c>
      <c r="BC53" s="29" t="s">
        <v>1945</v>
      </c>
      <c r="BD53" s="29" t="s">
        <v>1804</v>
      </c>
      <c r="BE53" s="29" t="s">
        <v>1805</v>
      </c>
      <c r="BF53" s="29" t="s">
        <v>1905</v>
      </c>
      <c r="BG53" s="29" t="s">
        <v>1946</v>
      </c>
      <c r="BI53" s="35"/>
      <c r="BJ53" s="35"/>
      <c r="BK53" s="29" t="str" cm="1">
        <f t="array" ref="BK53">_xlfn.UNIQUE(MID(BB53,16,14))</f>
        <v>U012UBB01UC001</v>
      </c>
    </row>
    <row r="54" spans="1:63" x14ac:dyDescent="0.3">
      <c r="A54" s="29" t="s">
        <v>1924</v>
      </c>
      <c r="B54" s="36" t="str">
        <f t="shared" si="0"/>
        <v>G01NHA01TA001-BT11</v>
      </c>
      <c r="C54" s="33" t="s">
        <v>1947</v>
      </c>
      <c r="D54" s="34" t="str">
        <f t="shared" si="1"/>
        <v>ELY1 RECT1 TRAFO1 OIL TEMP2 ANALOG1</v>
      </c>
      <c r="E54" s="31">
        <f t="shared" si="2"/>
        <v>35</v>
      </c>
      <c r="F54" s="32" t="str">
        <f t="shared" si="3"/>
        <v>ELECTROLYSIS SYSTEM ELECTROLYSIS ARRAY 1 RECTIFIER SYSTEMS RECTIFIER SYSTEM 1 TRANSFORMERS RECTIFIER TRANSFORMER PT100 - TOP OIL TEMPERATURE TEMPERATURE - TOP OIL TRANSFORMER</v>
      </c>
      <c r="G54" s="29" t="s">
        <v>1614</v>
      </c>
      <c r="H54" s="29" t="s">
        <v>1615</v>
      </c>
      <c r="I54" s="29" t="str">
        <f t="shared" si="4"/>
        <v>01</v>
      </c>
      <c r="J54" s="29" t="s">
        <v>1616</v>
      </c>
      <c r="K54" s="29" t="s">
        <v>1842</v>
      </c>
      <c r="L54" s="29" t="s">
        <v>1843</v>
      </c>
      <c r="M54" s="29" t="s">
        <v>1619</v>
      </c>
      <c r="N54" s="29" t="s">
        <v>1844</v>
      </c>
      <c r="O54" s="29" t="s">
        <v>1926</v>
      </c>
      <c r="P54" s="29" t="s">
        <v>1927</v>
      </c>
      <c r="Q54" s="29" t="s">
        <v>1623</v>
      </c>
      <c r="R54" s="29" t="s">
        <v>1928</v>
      </c>
      <c r="S54" s="29" t="s">
        <v>1948</v>
      </c>
      <c r="T54" s="29" t="s">
        <v>1940</v>
      </c>
      <c r="U54" s="29" t="s">
        <v>193</v>
      </c>
      <c r="V54" s="29" t="s">
        <v>1941</v>
      </c>
      <c r="W54" s="35" t="s">
        <v>1628</v>
      </c>
      <c r="X54" s="35" t="s">
        <v>1850</v>
      </c>
      <c r="Y54" s="35" t="s">
        <v>1930</v>
      </c>
      <c r="Z54" s="35" t="s">
        <v>1949</v>
      </c>
      <c r="AA54" s="35" t="s">
        <v>1666</v>
      </c>
      <c r="AB54" s="29" t="s">
        <v>1667</v>
      </c>
      <c r="AC54" s="35" t="s">
        <v>1633</v>
      </c>
      <c r="AD54" s="35" t="s">
        <v>1943</v>
      </c>
      <c r="AE54" s="35" t="s">
        <v>1943</v>
      </c>
      <c r="AF54" s="35" t="s">
        <v>1635</v>
      </c>
      <c r="AG54" s="35" t="s">
        <v>1728</v>
      </c>
      <c r="AI54" s="35"/>
      <c r="AJ54" s="35" t="s">
        <v>1671</v>
      </c>
      <c r="AK54" s="35" t="s">
        <v>1672</v>
      </c>
      <c r="AL54" s="29" t="s">
        <v>1706</v>
      </c>
      <c r="AM54" s="35"/>
      <c r="AN54" s="35"/>
      <c r="AO54" s="35"/>
      <c r="AP54" s="35"/>
      <c r="AQ54" s="35"/>
      <c r="AS54" s="35"/>
      <c r="AU54" s="35"/>
      <c r="AW54" s="35"/>
      <c r="AY54" s="35"/>
      <c r="AZ54" s="35"/>
      <c r="BA54" s="35"/>
      <c r="BB54" s="29" t="s">
        <v>1944</v>
      </c>
      <c r="BC54" s="29" t="s">
        <v>1945</v>
      </c>
      <c r="BD54" s="29" t="s">
        <v>1804</v>
      </c>
      <c r="BE54" s="29" t="s">
        <v>1805</v>
      </c>
      <c r="BF54" s="29" t="s">
        <v>1909</v>
      </c>
      <c r="BG54" s="29" t="s">
        <v>1950</v>
      </c>
      <c r="BI54" s="35"/>
      <c r="BJ54" s="35"/>
      <c r="BK54" s="29" t="str" cm="1">
        <f t="array" ref="BK54">_xlfn.UNIQUE(MID(BB54,16,14))</f>
        <v>U012UBB01UC001</v>
      </c>
    </row>
    <row r="55" spans="1:63" x14ac:dyDescent="0.3">
      <c r="A55" s="29" t="s">
        <v>1924</v>
      </c>
      <c r="B55" s="36" t="str">
        <f t="shared" si="0"/>
        <v>G01NHA01TA001-BT20</v>
      </c>
      <c r="C55" s="33" t="s">
        <v>1951</v>
      </c>
      <c r="D55" s="34" t="str">
        <f t="shared" si="1"/>
        <v>ELY1 RECT1 TRAFO1 COOL TEMP1 ANALOG1</v>
      </c>
      <c r="E55" s="31">
        <f t="shared" si="2"/>
        <v>36</v>
      </c>
      <c r="F55" s="32" t="str">
        <f t="shared" si="3"/>
        <v>ELECTROLYSIS SYSTEM ELECTROLYSIS ARRAY 1 RECTIFIER SYSTEMS RECTIFIER SYSTEM 1 TRANSFORMERS RECTIFIER TRANSFORMER PT100 - COOLING WATER INLET TEMPERATURE - COOLING WATER INLET</v>
      </c>
      <c r="G55" s="29" t="s">
        <v>1614</v>
      </c>
      <c r="H55" s="29" t="s">
        <v>1615</v>
      </c>
      <c r="I55" s="29" t="str">
        <f t="shared" si="4"/>
        <v>01</v>
      </c>
      <c r="J55" s="29" t="s">
        <v>1616</v>
      </c>
      <c r="K55" s="29" t="s">
        <v>1842</v>
      </c>
      <c r="L55" s="29" t="s">
        <v>1843</v>
      </c>
      <c r="M55" s="29" t="s">
        <v>1619</v>
      </c>
      <c r="N55" s="29" t="s">
        <v>1844</v>
      </c>
      <c r="O55" s="29" t="s">
        <v>1926</v>
      </c>
      <c r="P55" s="29" t="s">
        <v>1927</v>
      </c>
      <c r="Q55" s="29" t="s">
        <v>1623</v>
      </c>
      <c r="R55" s="29" t="s">
        <v>1928</v>
      </c>
      <c r="S55" s="29" t="s">
        <v>1952</v>
      </c>
      <c r="T55" s="29" t="s">
        <v>1953</v>
      </c>
      <c r="U55" s="29" t="s">
        <v>193</v>
      </c>
      <c r="V55" s="29" t="s">
        <v>1954</v>
      </c>
      <c r="W55" s="35" t="s">
        <v>1628</v>
      </c>
      <c r="X55" s="35" t="s">
        <v>1850</v>
      </c>
      <c r="Y55" s="35" t="s">
        <v>1930</v>
      </c>
      <c r="Z55" s="35" t="s">
        <v>1955</v>
      </c>
      <c r="AA55" s="35" t="s">
        <v>1666</v>
      </c>
      <c r="AB55" s="29" t="s">
        <v>1667</v>
      </c>
      <c r="AC55" s="35" t="s">
        <v>1633</v>
      </c>
      <c r="AD55" s="35" t="s">
        <v>1943</v>
      </c>
      <c r="AE55" s="35" t="s">
        <v>1943</v>
      </c>
      <c r="AF55" s="35" t="s">
        <v>1635</v>
      </c>
      <c r="AG55" s="35" t="s">
        <v>1728</v>
      </c>
      <c r="AI55" s="35"/>
      <c r="AJ55" s="35" t="s">
        <v>1671</v>
      </c>
      <c r="AK55" s="35" t="s">
        <v>1672</v>
      </c>
      <c r="AL55" s="29" t="s">
        <v>1706</v>
      </c>
      <c r="AM55" s="35"/>
      <c r="AN55" s="35"/>
      <c r="AO55" s="35"/>
      <c r="AP55" s="35"/>
      <c r="AQ55" s="35"/>
      <c r="AS55" s="35"/>
      <c r="AU55" s="35"/>
      <c r="AW55" s="35"/>
      <c r="AY55" s="35"/>
      <c r="AZ55" s="35"/>
      <c r="BA55" s="35"/>
      <c r="BB55" s="29" t="s">
        <v>1944</v>
      </c>
      <c r="BC55" s="29" t="s">
        <v>1945</v>
      </c>
      <c r="BD55" s="29" t="s">
        <v>1804</v>
      </c>
      <c r="BE55" s="29" t="s">
        <v>1805</v>
      </c>
      <c r="BF55" s="29" t="s">
        <v>1915</v>
      </c>
      <c r="BG55" s="29" t="s">
        <v>1956</v>
      </c>
      <c r="BI55" s="35"/>
      <c r="BJ55" s="35"/>
      <c r="BK55" s="29" t="str" cm="1">
        <f t="array" ref="BK55">_xlfn.UNIQUE(MID(BB55,16,14))</f>
        <v>U012UBB01UC001</v>
      </c>
    </row>
    <row r="56" spans="1:63" x14ac:dyDescent="0.3">
      <c r="A56" s="29" t="s">
        <v>1924</v>
      </c>
      <c r="B56" s="36" t="str">
        <f t="shared" si="0"/>
        <v>G01NHA01TA001-BT21</v>
      </c>
      <c r="C56" s="33" t="s">
        <v>1957</v>
      </c>
      <c r="D56" s="34" t="str">
        <f t="shared" si="1"/>
        <v>ELY1 RECT1 TRAFO1 COOL TEMP2 ANALOG1</v>
      </c>
      <c r="E56" s="31">
        <f t="shared" si="2"/>
        <v>36</v>
      </c>
      <c r="F56" s="32" t="str">
        <f t="shared" si="3"/>
        <v>ELECTROLYSIS SYSTEM ELECTROLYSIS ARRAY 1 RECTIFIER SYSTEMS RECTIFIER SYSTEM 1 TRANSFORMERS RECTIFIER TRANSFORMER PT100 - COOLING WATER OUTLET TEMPERATURE - COOLING WATER OUTLET</v>
      </c>
      <c r="G56" s="29" t="s">
        <v>1614</v>
      </c>
      <c r="H56" s="29" t="s">
        <v>1615</v>
      </c>
      <c r="I56" s="29" t="str">
        <f t="shared" si="4"/>
        <v>01</v>
      </c>
      <c r="J56" s="29" t="s">
        <v>1616</v>
      </c>
      <c r="K56" s="29" t="s">
        <v>1842</v>
      </c>
      <c r="L56" s="29" t="s">
        <v>1843</v>
      </c>
      <c r="M56" s="29" t="s">
        <v>1619</v>
      </c>
      <c r="N56" s="29" t="s">
        <v>1844</v>
      </c>
      <c r="O56" s="29" t="s">
        <v>1926</v>
      </c>
      <c r="P56" s="29" t="s">
        <v>1927</v>
      </c>
      <c r="Q56" s="29" t="s">
        <v>1623</v>
      </c>
      <c r="R56" s="29" t="s">
        <v>1928</v>
      </c>
      <c r="S56" s="29" t="s">
        <v>1958</v>
      </c>
      <c r="T56" s="29" t="s">
        <v>1959</v>
      </c>
      <c r="U56" s="29" t="s">
        <v>193</v>
      </c>
      <c r="V56" s="29" t="s">
        <v>1960</v>
      </c>
      <c r="W56" s="35" t="s">
        <v>1628</v>
      </c>
      <c r="X56" s="35" t="s">
        <v>1850</v>
      </c>
      <c r="Y56" s="35" t="s">
        <v>1930</v>
      </c>
      <c r="Z56" s="35" t="s">
        <v>1961</v>
      </c>
      <c r="AA56" s="35" t="s">
        <v>1666</v>
      </c>
      <c r="AB56" s="29" t="s">
        <v>1667</v>
      </c>
      <c r="AC56" s="35" t="s">
        <v>1633</v>
      </c>
      <c r="AD56" s="35" t="s">
        <v>1943</v>
      </c>
      <c r="AE56" s="35" t="s">
        <v>1943</v>
      </c>
      <c r="AF56" s="35" t="s">
        <v>1635</v>
      </c>
      <c r="AG56" s="35" t="s">
        <v>1728</v>
      </c>
      <c r="AI56" s="35"/>
      <c r="AJ56" s="35" t="s">
        <v>1671</v>
      </c>
      <c r="AK56" s="35" t="s">
        <v>1672</v>
      </c>
      <c r="AL56" s="29" t="s">
        <v>1706</v>
      </c>
      <c r="AM56" s="35"/>
      <c r="AN56" s="35"/>
      <c r="AO56" s="35"/>
      <c r="AP56" s="35"/>
      <c r="AQ56" s="35"/>
      <c r="AS56" s="35"/>
      <c r="AU56" s="35"/>
      <c r="AW56" s="35"/>
      <c r="AY56" s="35"/>
      <c r="AZ56" s="35"/>
      <c r="BA56" s="35"/>
      <c r="BB56" s="29" t="s">
        <v>1944</v>
      </c>
      <c r="BC56" s="29" t="s">
        <v>1945</v>
      </c>
      <c r="BD56" s="29" t="s">
        <v>1804</v>
      </c>
      <c r="BE56" s="29" t="s">
        <v>1805</v>
      </c>
      <c r="BF56" s="29" t="s">
        <v>1919</v>
      </c>
      <c r="BG56" s="29" t="s">
        <v>1962</v>
      </c>
      <c r="BI56" s="35"/>
      <c r="BJ56" s="35"/>
      <c r="BK56" s="29" t="str" cm="1">
        <f t="array" ref="BK56">_xlfn.UNIQUE(MID(BB56,16,14))</f>
        <v>U012UBB01UC001</v>
      </c>
    </row>
    <row r="57" spans="1:63" x14ac:dyDescent="0.3">
      <c r="A57" s="29" t="s">
        <v>1963</v>
      </c>
      <c r="B57" s="36" t="str">
        <f t="shared" si="0"/>
        <v>G01NHA01WP001-BT03</v>
      </c>
      <c r="C57" s="33" t="s">
        <v>1964</v>
      </c>
      <c r="D57" s="34" t="str">
        <f t="shared" si="1"/>
        <v>ELY1 RECT1 PIPING TEMP3 ANALOG1</v>
      </c>
      <c r="E57" s="31">
        <f t="shared" si="2"/>
        <v>31</v>
      </c>
      <c r="F57" s="32" t="str">
        <f t="shared" si="3"/>
        <v>ELECTROLYSIS SYSTEM ELECTROLYSIS ARRAY 1 RECTIFIER SYSTEMS RECTIFIER SYSTEM 1 PIPE SYSTEM PIPE SYSTEM 1 TEMPERATURE MEASUREMENT - COOLING WATER ANALOG PROCESS SIGNAL</v>
      </c>
      <c r="G57" s="29" t="s">
        <v>1614</v>
      </c>
      <c r="H57" s="29" t="s">
        <v>1615</v>
      </c>
      <c r="I57" s="29" t="str">
        <f t="shared" si="4"/>
        <v>01</v>
      </c>
      <c r="J57" s="29" t="s">
        <v>1616</v>
      </c>
      <c r="K57" s="29" t="s">
        <v>1842</v>
      </c>
      <c r="L57" s="29" t="s">
        <v>1843</v>
      </c>
      <c r="M57" s="29" t="s">
        <v>1619</v>
      </c>
      <c r="N57" s="29" t="s">
        <v>1844</v>
      </c>
      <c r="O57" s="29" t="s">
        <v>1781</v>
      </c>
      <c r="P57" s="29" t="s">
        <v>1823</v>
      </c>
      <c r="Q57" s="29" t="s">
        <v>1623</v>
      </c>
      <c r="R57" s="29" t="s">
        <v>1965</v>
      </c>
      <c r="S57" s="29" t="s">
        <v>1796</v>
      </c>
      <c r="T57" s="29" t="s">
        <v>1966</v>
      </c>
      <c r="U57" s="29" t="s">
        <v>193</v>
      </c>
      <c r="V57" s="29" t="s">
        <v>1083</v>
      </c>
      <c r="W57" s="35" t="s">
        <v>1628</v>
      </c>
      <c r="X57" s="35" t="s">
        <v>1850</v>
      </c>
      <c r="Y57" s="35" t="s">
        <v>1785</v>
      </c>
      <c r="Z57" s="35" t="s">
        <v>1798</v>
      </c>
      <c r="AA57" s="35" t="s">
        <v>1666</v>
      </c>
      <c r="AB57" s="29" t="s">
        <v>1796</v>
      </c>
      <c r="AC57" s="35" t="s">
        <v>1633</v>
      </c>
      <c r="AD57" s="35" t="s">
        <v>1668</v>
      </c>
      <c r="AE57" s="35" t="s">
        <v>1668</v>
      </c>
      <c r="AF57" s="35" t="s">
        <v>1635</v>
      </c>
      <c r="AG57" s="35" t="s">
        <v>1670</v>
      </c>
      <c r="AI57" s="35"/>
      <c r="AJ57" s="35" t="s">
        <v>1671</v>
      </c>
      <c r="AK57" s="35" t="s">
        <v>1672</v>
      </c>
      <c r="AL57" s="29" t="s">
        <v>1706</v>
      </c>
      <c r="AM57" s="35" t="s">
        <v>1721</v>
      </c>
      <c r="AN57" s="35" t="s">
        <v>1967</v>
      </c>
      <c r="AO57" s="35"/>
      <c r="AP57" s="35"/>
      <c r="AQ57" s="35"/>
      <c r="AS57" s="35"/>
      <c r="AU57" s="35"/>
      <c r="AW57" s="35"/>
      <c r="AY57" s="35"/>
      <c r="AZ57" s="35"/>
      <c r="BA57" s="35"/>
      <c r="BB57" s="29" t="s">
        <v>1968</v>
      </c>
      <c r="BC57" s="29" t="s">
        <v>1900</v>
      </c>
      <c r="BD57" s="29" t="s">
        <v>1804</v>
      </c>
      <c r="BE57" s="29" t="s">
        <v>1805</v>
      </c>
      <c r="BF57" s="29" t="s">
        <v>1969</v>
      </c>
      <c r="BH57" s="29" t="s">
        <v>1902</v>
      </c>
      <c r="BI57" s="35"/>
      <c r="BJ57" s="35"/>
      <c r="BK57" s="29" t="str" cm="1">
        <f t="array" ref="BK57">_xlfn.UNIQUE(MID(BB57,16,14))</f>
        <v>U012UNA01UH100</v>
      </c>
    </row>
    <row r="58" spans="1:63" x14ac:dyDescent="0.3">
      <c r="A58" s="29" t="s">
        <v>1963</v>
      </c>
      <c r="B58" s="36" t="str">
        <f t="shared" si="0"/>
        <v>G01NHA01WP001-BT04</v>
      </c>
      <c r="C58" s="33" t="s">
        <v>1970</v>
      </c>
      <c r="D58" s="34" t="str">
        <f t="shared" si="1"/>
        <v>ELY1 RECT1 PIPING TEMP4 ANALOG1</v>
      </c>
      <c r="E58" s="31">
        <f t="shared" si="2"/>
        <v>31</v>
      </c>
      <c r="F58" s="32" t="str">
        <f t="shared" si="3"/>
        <v>ELECTROLYSIS SYSTEM ELECTROLYSIS ARRAY 1 RECTIFIER SYSTEMS RECTIFIER SYSTEM 1 PIPE SYSTEM PIPE SYSTEM 1 TEMPERATURE MEASUREMENT - COOLING WATER ANALOG PROCESS SIGNAL</v>
      </c>
      <c r="G58" s="29" t="s">
        <v>1614</v>
      </c>
      <c r="H58" s="29" t="s">
        <v>1615</v>
      </c>
      <c r="I58" s="29" t="str">
        <f t="shared" si="4"/>
        <v>01</v>
      </c>
      <c r="J58" s="29" t="s">
        <v>1616</v>
      </c>
      <c r="K58" s="29" t="s">
        <v>1842</v>
      </c>
      <c r="L58" s="29" t="s">
        <v>1843</v>
      </c>
      <c r="M58" s="29" t="s">
        <v>1619</v>
      </c>
      <c r="N58" s="29" t="s">
        <v>1844</v>
      </c>
      <c r="O58" s="29" t="s">
        <v>1781</v>
      </c>
      <c r="P58" s="29" t="s">
        <v>1823</v>
      </c>
      <c r="Q58" s="29" t="s">
        <v>1623</v>
      </c>
      <c r="R58" s="29" t="s">
        <v>1965</v>
      </c>
      <c r="S58" s="29" t="s">
        <v>1971</v>
      </c>
      <c r="T58" s="29" t="s">
        <v>1966</v>
      </c>
      <c r="U58" s="29" t="s">
        <v>193</v>
      </c>
      <c r="V58" s="29" t="s">
        <v>1083</v>
      </c>
      <c r="W58" s="35" t="s">
        <v>1628</v>
      </c>
      <c r="X58" s="35" t="s">
        <v>1850</v>
      </c>
      <c r="Y58" s="35" t="s">
        <v>1785</v>
      </c>
      <c r="Z58" s="35" t="s">
        <v>1972</v>
      </c>
      <c r="AA58" s="35" t="s">
        <v>1666</v>
      </c>
      <c r="AB58" s="29" t="s">
        <v>1971</v>
      </c>
      <c r="AC58" s="35" t="s">
        <v>1633</v>
      </c>
      <c r="AD58" s="35" t="s">
        <v>1668</v>
      </c>
      <c r="AE58" s="35" t="s">
        <v>1668</v>
      </c>
      <c r="AF58" s="35" t="s">
        <v>1635</v>
      </c>
      <c r="AG58" s="35" t="s">
        <v>1670</v>
      </c>
      <c r="AI58" s="35"/>
      <c r="AJ58" s="35" t="s">
        <v>1671</v>
      </c>
      <c r="AK58" s="35" t="s">
        <v>1672</v>
      </c>
      <c r="AL58" s="29" t="s">
        <v>1706</v>
      </c>
      <c r="AM58" s="35" t="s">
        <v>1721</v>
      </c>
      <c r="AN58" s="35" t="s">
        <v>1967</v>
      </c>
      <c r="AO58" s="35"/>
      <c r="AP58" s="35"/>
      <c r="AQ58" s="35"/>
      <c r="AS58" s="35"/>
      <c r="AU58" s="35"/>
      <c r="AW58" s="35"/>
      <c r="AY58" s="35"/>
      <c r="AZ58" s="35"/>
      <c r="BA58" s="35"/>
      <c r="BB58" s="29" t="s">
        <v>1968</v>
      </c>
      <c r="BC58" s="29" t="s">
        <v>1900</v>
      </c>
      <c r="BD58" s="29" t="s">
        <v>1804</v>
      </c>
      <c r="BE58" s="29" t="s">
        <v>1805</v>
      </c>
      <c r="BF58" s="29" t="s">
        <v>1973</v>
      </c>
      <c r="BH58" s="29" t="s">
        <v>1902</v>
      </c>
      <c r="BI58" s="35"/>
      <c r="BJ58" s="35"/>
      <c r="BK58" s="29" t="str" cm="1">
        <f t="array" ref="BK58">_xlfn.UNIQUE(MID(BB58,16,14))</f>
        <v>U012UNA01UH100</v>
      </c>
    </row>
    <row r="59" spans="1:63" x14ac:dyDescent="0.3">
      <c r="A59" s="29" t="s">
        <v>1974</v>
      </c>
      <c r="B59" s="36" t="str">
        <f t="shared" si="0"/>
        <v>G01NHB01EQ001-BQ01</v>
      </c>
      <c r="C59" s="33" t="s">
        <v>1975</v>
      </c>
      <c r="D59" s="34" t="str">
        <f t="shared" si="1"/>
        <v>ELY1 GRP1 COOL QUAL1 ANALOG1</v>
      </c>
      <c r="E59" s="31">
        <f t="shared" si="2"/>
        <v>28</v>
      </c>
      <c r="F59" s="32" t="str">
        <f t="shared" si="3"/>
        <v>ELECTROLYSIS SYSTEM ELECTROLYSIS ARRAY 1 ELECTROLYZER SYSTEM MODULE GROUP 1 HEAT EXCHANGING SYSTEMS HEAT EXCHANGING SYSTEM 1 CONDUCTIVITY WP H2 ANALOG PROCESS SIGNAL</v>
      </c>
      <c r="G59" s="29" t="s">
        <v>1614</v>
      </c>
      <c r="H59" s="29" t="s">
        <v>1615</v>
      </c>
      <c r="I59" s="29" t="str">
        <f t="shared" si="4"/>
        <v>01</v>
      </c>
      <c r="J59" s="29" t="s">
        <v>1616</v>
      </c>
      <c r="K59" s="29" t="s">
        <v>1976</v>
      </c>
      <c r="L59" s="29" t="s">
        <v>1977</v>
      </c>
      <c r="M59" s="29" t="s">
        <v>1619</v>
      </c>
      <c r="N59" s="29" t="s">
        <v>1978</v>
      </c>
      <c r="O59" s="29" t="s">
        <v>1894</v>
      </c>
      <c r="P59" s="29" t="s">
        <v>1979</v>
      </c>
      <c r="Q59" s="29" t="s">
        <v>1623</v>
      </c>
      <c r="R59" s="29" t="s">
        <v>1980</v>
      </c>
      <c r="S59" s="29" t="s">
        <v>1687</v>
      </c>
      <c r="T59" s="29" t="s">
        <v>1981</v>
      </c>
      <c r="U59" s="29" t="s">
        <v>193</v>
      </c>
      <c r="V59" s="29" t="s">
        <v>1083</v>
      </c>
      <c r="W59" s="35" t="s">
        <v>1628</v>
      </c>
      <c r="X59" s="35" t="s">
        <v>1982</v>
      </c>
      <c r="Y59" s="35" t="s">
        <v>1898</v>
      </c>
      <c r="Z59" s="35" t="s">
        <v>1689</v>
      </c>
      <c r="AA59" s="35" t="s">
        <v>1666</v>
      </c>
      <c r="AB59" s="29" t="s">
        <v>1687</v>
      </c>
      <c r="AC59" s="35" t="s">
        <v>1633</v>
      </c>
      <c r="AD59" s="35" t="s">
        <v>1668</v>
      </c>
      <c r="AE59" s="35" t="s">
        <v>1668</v>
      </c>
      <c r="AF59" s="35" t="s">
        <v>1635</v>
      </c>
      <c r="AG59" s="35" t="s">
        <v>1670</v>
      </c>
      <c r="AI59" s="35"/>
      <c r="AJ59" s="35" t="s">
        <v>1671</v>
      </c>
      <c r="AK59" s="35" t="s">
        <v>1672</v>
      </c>
      <c r="AL59" s="29" t="s">
        <v>1671</v>
      </c>
      <c r="AM59" s="35" t="s">
        <v>1702</v>
      </c>
      <c r="AN59" s="35" t="s">
        <v>1703</v>
      </c>
      <c r="AO59" s="35"/>
      <c r="AP59" s="35"/>
      <c r="AQ59" s="35"/>
      <c r="AR59" s="29" t="s">
        <v>1756</v>
      </c>
      <c r="AS59" s="35"/>
      <c r="AT59" s="29" t="s">
        <v>1640</v>
      </c>
      <c r="AU59" s="35"/>
      <c r="AW59" s="35"/>
      <c r="AY59" s="35"/>
      <c r="AZ59" s="35"/>
      <c r="BA59" s="35"/>
      <c r="BB59" s="29" t="s">
        <v>1983</v>
      </c>
      <c r="BC59" s="29" t="s">
        <v>1900</v>
      </c>
      <c r="BD59" s="29" t="s">
        <v>1804</v>
      </c>
      <c r="BE59" s="29" t="s">
        <v>1984</v>
      </c>
      <c r="BF59" s="29" t="s">
        <v>1619</v>
      </c>
      <c r="BG59" s="29" t="s">
        <v>1985</v>
      </c>
      <c r="BH59" s="29" t="s">
        <v>1986</v>
      </c>
      <c r="BI59" s="35"/>
      <c r="BJ59" s="35"/>
      <c r="BK59" s="29" t="str" cm="1">
        <f t="array" ref="BK59">_xlfn.UNIQUE(MID(BB59,16,14))</f>
        <v>U012UNA01UH111</v>
      </c>
    </row>
    <row r="60" spans="1:63" x14ac:dyDescent="0.3">
      <c r="A60" s="29" t="s">
        <v>1974</v>
      </c>
      <c r="B60" s="36" t="str">
        <f t="shared" si="0"/>
        <v>G01NHB01EQ001-BQ01</v>
      </c>
      <c r="C60" s="33" t="s">
        <v>1987</v>
      </c>
      <c r="D60" s="34" t="str">
        <f t="shared" si="1"/>
        <v>ELY1 GRP1 COOL QUAL1 ANALOG2</v>
      </c>
      <c r="E60" s="31">
        <f t="shared" si="2"/>
        <v>28</v>
      </c>
      <c r="F60" s="32" t="str">
        <f t="shared" si="3"/>
        <v>ELECTROLYSIS SYSTEM ELECTROLYSIS ARRAY 1 ELECTROLYZER SYSTEM MODULE GROUP 1 HEAT EXCHANGING SYSTEMS HEAT EXCHANGING SYSTEM 1 CONDUCTIVITY WP H2 ANALOG PROCESS SIGNAL</v>
      </c>
      <c r="G60" s="29" t="s">
        <v>1614</v>
      </c>
      <c r="H60" s="29" t="s">
        <v>1615</v>
      </c>
      <c r="I60" s="29" t="str">
        <f t="shared" si="4"/>
        <v>01</v>
      </c>
      <c r="J60" s="29" t="s">
        <v>1616</v>
      </c>
      <c r="K60" s="29" t="s">
        <v>1976</v>
      </c>
      <c r="L60" s="29" t="s">
        <v>1977</v>
      </c>
      <c r="M60" s="29" t="s">
        <v>1619</v>
      </c>
      <c r="N60" s="29" t="s">
        <v>1978</v>
      </c>
      <c r="O60" s="29" t="s">
        <v>1894</v>
      </c>
      <c r="P60" s="29" t="s">
        <v>1979</v>
      </c>
      <c r="Q60" s="29" t="s">
        <v>1623</v>
      </c>
      <c r="R60" s="29" t="s">
        <v>1980</v>
      </c>
      <c r="S60" s="29" t="s">
        <v>1687</v>
      </c>
      <c r="T60" s="29" t="s">
        <v>1981</v>
      </c>
      <c r="U60" s="29" t="s">
        <v>905</v>
      </c>
      <c r="V60" s="29" t="s">
        <v>1083</v>
      </c>
      <c r="W60" s="35" t="s">
        <v>1628</v>
      </c>
      <c r="X60" s="35" t="s">
        <v>1982</v>
      </c>
      <c r="Y60" s="35" t="s">
        <v>1898</v>
      </c>
      <c r="Z60" s="35" t="s">
        <v>1689</v>
      </c>
      <c r="AA60" s="35" t="s">
        <v>1705</v>
      </c>
      <c r="AB60" s="29" t="s">
        <v>1687</v>
      </c>
      <c r="AC60" s="35" t="s">
        <v>1633</v>
      </c>
      <c r="AD60" s="35" t="s">
        <v>1668</v>
      </c>
      <c r="AE60" s="35" t="s">
        <v>1668</v>
      </c>
      <c r="AF60" s="35" t="s">
        <v>1635</v>
      </c>
      <c r="AG60" s="35" t="s">
        <v>1670</v>
      </c>
      <c r="AI60" s="35"/>
      <c r="AJ60" s="35" t="s">
        <v>1671</v>
      </c>
      <c r="AK60" s="35" t="s">
        <v>1672</v>
      </c>
      <c r="AL60" s="29" t="s">
        <v>1706</v>
      </c>
      <c r="AM60" s="35" t="s">
        <v>1702</v>
      </c>
      <c r="AN60" s="35" t="s">
        <v>1703</v>
      </c>
      <c r="AO60" s="35"/>
      <c r="AP60" s="35"/>
      <c r="AQ60" s="35"/>
      <c r="AS60" s="35"/>
      <c r="AU60" s="35"/>
      <c r="AV60" s="29" t="s">
        <v>1641</v>
      </c>
      <c r="AW60" s="35"/>
      <c r="AX60" s="29" t="s">
        <v>1674</v>
      </c>
      <c r="AY60" s="35"/>
      <c r="AZ60" s="35"/>
      <c r="BA60" s="35"/>
      <c r="BB60" s="29" t="s">
        <v>1983</v>
      </c>
      <c r="BC60" s="29" t="s">
        <v>1900</v>
      </c>
      <c r="BD60" s="29" t="s">
        <v>1918</v>
      </c>
      <c r="BE60" s="29" t="s">
        <v>1988</v>
      </c>
      <c r="BF60" s="29" t="s">
        <v>1905</v>
      </c>
      <c r="BG60" s="29" t="s">
        <v>1985</v>
      </c>
      <c r="BH60" s="29" t="s">
        <v>1986</v>
      </c>
      <c r="BI60" s="35"/>
      <c r="BJ60" s="35"/>
      <c r="BK60" s="29" t="str" cm="1">
        <f t="array" ref="BK60">_xlfn.UNIQUE(MID(BB60,16,14))</f>
        <v>U012UNA01UH111</v>
      </c>
    </row>
    <row r="61" spans="1:63" x14ac:dyDescent="0.3">
      <c r="A61" s="29" t="s">
        <v>1974</v>
      </c>
      <c r="B61" s="36" t="str">
        <f t="shared" si="0"/>
        <v>G01NHB01EQ001-BQ02</v>
      </c>
      <c r="C61" s="33" t="s">
        <v>1989</v>
      </c>
      <c r="D61" s="34" t="str">
        <f t="shared" si="1"/>
        <v>ELY1 GRP1 COOL QUAL2 ANALOG1</v>
      </c>
      <c r="E61" s="31">
        <f t="shared" si="2"/>
        <v>28</v>
      </c>
      <c r="F61" s="32" t="str">
        <f t="shared" si="3"/>
        <v>ELECTROLYSIS SYSTEM ELECTROLYSIS ARRAY 1 ELECTROLYZER SYSTEM MODULE GROUP 1 HEAT EXCHANGING SYSTEMS HEAT EXCHANGING SYSTEM 1 CONDUCTIVITY WP O2 ANALOG PROCESS SIGNAL</v>
      </c>
      <c r="G61" s="29" t="s">
        <v>1614</v>
      </c>
      <c r="H61" s="29" t="s">
        <v>1615</v>
      </c>
      <c r="I61" s="29" t="str">
        <f t="shared" si="4"/>
        <v>01</v>
      </c>
      <c r="J61" s="29" t="s">
        <v>1616</v>
      </c>
      <c r="K61" s="29" t="s">
        <v>1976</v>
      </c>
      <c r="L61" s="29" t="s">
        <v>1977</v>
      </c>
      <c r="M61" s="29" t="s">
        <v>1619</v>
      </c>
      <c r="N61" s="29" t="s">
        <v>1978</v>
      </c>
      <c r="O61" s="29" t="s">
        <v>1894</v>
      </c>
      <c r="P61" s="29" t="s">
        <v>1979</v>
      </c>
      <c r="Q61" s="29" t="s">
        <v>1623</v>
      </c>
      <c r="R61" s="29" t="s">
        <v>1980</v>
      </c>
      <c r="S61" s="29" t="s">
        <v>1990</v>
      </c>
      <c r="T61" s="29" t="s">
        <v>1991</v>
      </c>
      <c r="U61" s="29" t="s">
        <v>193</v>
      </c>
      <c r="V61" s="29" t="s">
        <v>1083</v>
      </c>
      <c r="W61" s="35" t="s">
        <v>1628</v>
      </c>
      <c r="X61" s="35" t="s">
        <v>1982</v>
      </c>
      <c r="Y61" s="35" t="s">
        <v>1898</v>
      </c>
      <c r="Z61" s="35" t="s">
        <v>1992</v>
      </c>
      <c r="AA61" s="35" t="s">
        <v>1666</v>
      </c>
      <c r="AB61" s="29" t="s">
        <v>1990</v>
      </c>
      <c r="AC61" s="35" t="s">
        <v>1633</v>
      </c>
      <c r="AD61" s="35" t="s">
        <v>1668</v>
      </c>
      <c r="AE61" s="35" t="s">
        <v>1668</v>
      </c>
      <c r="AF61" s="35" t="s">
        <v>1635</v>
      </c>
      <c r="AG61" s="35" t="s">
        <v>1670</v>
      </c>
      <c r="AI61" s="35"/>
      <c r="AJ61" s="35" t="s">
        <v>1671</v>
      </c>
      <c r="AK61" s="35" t="s">
        <v>1672</v>
      </c>
      <c r="AL61" s="29" t="s">
        <v>1671</v>
      </c>
      <c r="AM61" s="35" t="s">
        <v>1702</v>
      </c>
      <c r="AN61" s="35" t="s">
        <v>1703</v>
      </c>
      <c r="AO61" s="35"/>
      <c r="AP61" s="35"/>
      <c r="AQ61" s="35"/>
      <c r="AR61" s="29" t="s">
        <v>1756</v>
      </c>
      <c r="AS61" s="35"/>
      <c r="AT61" s="29" t="s">
        <v>1640</v>
      </c>
      <c r="AU61" s="35"/>
      <c r="AW61" s="35"/>
      <c r="AY61" s="35"/>
      <c r="AZ61" s="35"/>
      <c r="BA61" s="35"/>
      <c r="BB61" s="29" t="s">
        <v>1983</v>
      </c>
      <c r="BC61" s="29" t="s">
        <v>1900</v>
      </c>
      <c r="BD61" s="29" t="s">
        <v>1804</v>
      </c>
      <c r="BE61" s="29" t="s">
        <v>1984</v>
      </c>
      <c r="BF61" s="29" t="s">
        <v>1909</v>
      </c>
      <c r="BG61" s="29" t="s">
        <v>1993</v>
      </c>
      <c r="BH61" s="29" t="s">
        <v>1986</v>
      </c>
      <c r="BI61" s="35"/>
      <c r="BJ61" s="35"/>
      <c r="BK61" s="29" t="str" cm="1">
        <f t="array" ref="BK61">_xlfn.UNIQUE(MID(BB61,16,14))</f>
        <v>U012UNA01UH111</v>
      </c>
    </row>
    <row r="62" spans="1:63" x14ac:dyDescent="0.3">
      <c r="A62" s="29" t="s">
        <v>1974</v>
      </c>
      <c r="B62" s="36" t="str">
        <f t="shared" si="0"/>
        <v>G01NHB01EQ001-BQ02</v>
      </c>
      <c r="C62" s="33" t="s">
        <v>1994</v>
      </c>
      <c r="D62" s="34" t="str">
        <f t="shared" si="1"/>
        <v>ELY1 GRP1 COOL QUAL2 ANALOG2</v>
      </c>
      <c r="E62" s="31">
        <f t="shared" si="2"/>
        <v>28</v>
      </c>
      <c r="F62" s="32" t="str">
        <f t="shared" si="3"/>
        <v>ELECTROLYSIS SYSTEM ELECTROLYSIS ARRAY 1 ELECTROLYZER SYSTEM MODULE GROUP 1 HEAT EXCHANGING SYSTEMS HEAT EXCHANGING SYSTEM 1 CONDUCTIVITY WP O2 ANALOG PROCESS SIGNAL</v>
      </c>
      <c r="G62" s="29" t="s">
        <v>1614</v>
      </c>
      <c r="H62" s="29" t="s">
        <v>1615</v>
      </c>
      <c r="I62" s="29" t="str">
        <f t="shared" si="4"/>
        <v>01</v>
      </c>
      <c r="J62" s="29" t="s">
        <v>1616</v>
      </c>
      <c r="K62" s="29" t="s">
        <v>1976</v>
      </c>
      <c r="L62" s="29" t="s">
        <v>1977</v>
      </c>
      <c r="M62" s="29" t="s">
        <v>1619</v>
      </c>
      <c r="N62" s="29" t="s">
        <v>1978</v>
      </c>
      <c r="O62" s="29" t="s">
        <v>1894</v>
      </c>
      <c r="P62" s="29" t="s">
        <v>1979</v>
      </c>
      <c r="Q62" s="29" t="s">
        <v>1623</v>
      </c>
      <c r="R62" s="29" t="s">
        <v>1980</v>
      </c>
      <c r="S62" s="29" t="s">
        <v>1990</v>
      </c>
      <c r="T62" s="29" t="s">
        <v>1991</v>
      </c>
      <c r="U62" s="29" t="s">
        <v>905</v>
      </c>
      <c r="V62" s="29" t="s">
        <v>1083</v>
      </c>
      <c r="W62" s="35" t="s">
        <v>1628</v>
      </c>
      <c r="X62" s="35" t="s">
        <v>1982</v>
      </c>
      <c r="Y62" s="35" t="s">
        <v>1898</v>
      </c>
      <c r="Z62" s="35" t="s">
        <v>1992</v>
      </c>
      <c r="AA62" s="35" t="s">
        <v>1705</v>
      </c>
      <c r="AB62" s="29" t="s">
        <v>1990</v>
      </c>
      <c r="AC62" s="35" t="s">
        <v>1633</v>
      </c>
      <c r="AD62" s="35" t="s">
        <v>1668</v>
      </c>
      <c r="AE62" s="35" t="s">
        <v>1668</v>
      </c>
      <c r="AF62" s="35" t="s">
        <v>1635</v>
      </c>
      <c r="AG62" s="35" t="s">
        <v>1670</v>
      </c>
      <c r="AI62" s="35"/>
      <c r="AJ62" s="35" t="s">
        <v>1671</v>
      </c>
      <c r="AK62" s="35" t="s">
        <v>1672</v>
      </c>
      <c r="AL62" s="29" t="s">
        <v>1706</v>
      </c>
      <c r="AM62" s="35" t="s">
        <v>1702</v>
      </c>
      <c r="AN62" s="35" t="s">
        <v>1703</v>
      </c>
      <c r="AO62" s="35"/>
      <c r="AP62" s="35"/>
      <c r="AQ62" s="35"/>
      <c r="AS62" s="35"/>
      <c r="AU62" s="35"/>
      <c r="AV62" s="29" t="s">
        <v>1641</v>
      </c>
      <c r="AW62" s="35"/>
      <c r="AX62" s="29" t="s">
        <v>1674</v>
      </c>
      <c r="AY62" s="35"/>
      <c r="AZ62" s="35"/>
      <c r="BA62" s="35"/>
      <c r="BB62" s="29" t="s">
        <v>1983</v>
      </c>
      <c r="BC62" s="29" t="s">
        <v>1900</v>
      </c>
      <c r="BD62" s="29" t="s">
        <v>1918</v>
      </c>
      <c r="BE62" s="29" t="s">
        <v>1988</v>
      </c>
      <c r="BF62" s="29" t="s">
        <v>1915</v>
      </c>
      <c r="BG62" s="29" t="s">
        <v>1993</v>
      </c>
      <c r="BH62" s="29" t="s">
        <v>1986</v>
      </c>
      <c r="BI62" s="35"/>
      <c r="BJ62" s="35"/>
      <c r="BK62" s="29" t="str" cm="1">
        <f t="array" ref="BK62">_xlfn.UNIQUE(MID(BB62,16,14))</f>
        <v>U012UNA01UH111</v>
      </c>
    </row>
    <row r="63" spans="1:63" x14ac:dyDescent="0.3">
      <c r="A63" s="29" t="s">
        <v>1974</v>
      </c>
      <c r="B63" s="36" t="str">
        <f t="shared" si="0"/>
        <v>G01NHB01EQ001-BT01</v>
      </c>
      <c r="C63" s="33" t="s">
        <v>1995</v>
      </c>
      <c r="D63" s="34" t="str">
        <f t="shared" si="1"/>
        <v>ELY1 GRP1 COOL TEMP1 ANALOG1</v>
      </c>
      <c r="E63" s="31">
        <f t="shared" si="2"/>
        <v>28</v>
      </c>
      <c r="F63" s="32" t="str">
        <f t="shared" si="3"/>
        <v>ELECTROLYSIS SYSTEM ELECTROLYSIS ARRAY 1 ELECTROLYZER SYSTEM MODULE GROUP 1 HEAT EXCHANGING SYSTEMS HEAT EXCHANGING SYSTEM 1 TEMPERATURE WCR ANALOG PROCESS SIGNAL</v>
      </c>
      <c r="G63" s="29" t="s">
        <v>1614</v>
      </c>
      <c r="H63" s="29" t="s">
        <v>1615</v>
      </c>
      <c r="I63" s="29" t="str">
        <f t="shared" si="4"/>
        <v>01</v>
      </c>
      <c r="J63" s="29" t="s">
        <v>1616</v>
      </c>
      <c r="K63" s="29" t="s">
        <v>1976</v>
      </c>
      <c r="L63" s="29" t="s">
        <v>1977</v>
      </c>
      <c r="M63" s="29" t="s">
        <v>1619</v>
      </c>
      <c r="N63" s="29" t="s">
        <v>1978</v>
      </c>
      <c r="O63" s="29" t="s">
        <v>1894</v>
      </c>
      <c r="P63" s="29" t="s">
        <v>1979</v>
      </c>
      <c r="Q63" s="29" t="s">
        <v>1623</v>
      </c>
      <c r="R63" s="29" t="s">
        <v>1980</v>
      </c>
      <c r="S63" s="29" t="s">
        <v>1715</v>
      </c>
      <c r="T63" s="29" t="s">
        <v>1996</v>
      </c>
      <c r="U63" s="29" t="s">
        <v>193</v>
      </c>
      <c r="V63" s="29" t="s">
        <v>1083</v>
      </c>
      <c r="W63" s="35" t="s">
        <v>1628</v>
      </c>
      <c r="X63" s="35" t="s">
        <v>1982</v>
      </c>
      <c r="Y63" s="35" t="s">
        <v>1898</v>
      </c>
      <c r="Z63" s="35" t="s">
        <v>1719</v>
      </c>
      <c r="AA63" s="35" t="s">
        <v>1666</v>
      </c>
      <c r="AB63" s="29" t="s">
        <v>1715</v>
      </c>
      <c r="AC63" s="35" t="s">
        <v>1633</v>
      </c>
      <c r="AD63" s="35" t="s">
        <v>1668</v>
      </c>
      <c r="AE63" s="35" t="s">
        <v>1668</v>
      </c>
      <c r="AF63" s="35" t="s">
        <v>1635</v>
      </c>
      <c r="AG63" s="35" t="s">
        <v>1670</v>
      </c>
      <c r="AI63" s="35"/>
      <c r="AJ63" s="35" t="s">
        <v>1671</v>
      </c>
      <c r="AK63" s="35" t="s">
        <v>1672</v>
      </c>
      <c r="AL63" s="29" t="s">
        <v>1706</v>
      </c>
      <c r="AM63" s="35" t="s">
        <v>1721</v>
      </c>
      <c r="AN63" s="35" t="s">
        <v>1967</v>
      </c>
      <c r="AO63" s="35"/>
      <c r="AP63" s="35"/>
      <c r="AQ63" s="35"/>
      <c r="AS63" s="35"/>
      <c r="AU63" s="35"/>
      <c r="AW63" s="35"/>
      <c r="AY63" s="35"/>
      <c r="AZ63" s="35"/>
      <c r="BA63" s="35"/>
      <c r="BB63" s="29" t="s">
        <v>1983</v>
      </c>
      <c r="BC63" s="29" t="s">
        <v>1900</v>
      </c>
      <c r="BD63" s="29" t="s">
        <v>1804</v>
      </c>
      <c r="BE63" s="29" t="s">
        <v>1805</v>
      </c>
      <c r="BF63" s="29" t="s">
        <v>1919</v>
      </c>
      <c r="BG63" s="29" t="s">
        <v>1997</v>
      </c>
      <c r="BH63" s="29" t="s">
        <v>1986</v>
      </c>
      <c r="BI63" s="35"/>
      <c r="BJ63" s="35"/>
      <c r="BK63" s="29" t="str" cm="1">
        <f t="array" ref="BK63">_xlfn.UNIQUE(MID(BB63,16,14))</f>
        <v>U012UNA01UH111</v>
      </c>
    </row>
    <row r="64" spans="1:63" x14ac:dyDescent="0.3">
      <c r="A64" s="29" t="s">
        <v>1974</v>
      </c>
      <c r="B64" s="36" t="str">
        <f t="shared" si="0"/>
        <v>G01NHB01EQ001-BT02</v>
      </c>
      <c r="C64" s="33" t="s">
        <v>1998</v>
      </c>
      <c r="D64" s="34" t="str">
        <f t="shared" si="1"/>
        <v>ELY1 GRP1 COOL TEMP2 ANALOG1</v>
      </c>
      <c r="E64" s="31">
        <f t="shared" si="2"/>
        <v>28</v>
      </c>
      <c r="F64" s="32" t="str">
        <f t="shared" si="3"/>
        <v>ELECTROLYSIS SYSTEM ELECTROLYSIS ARRAY 1 ELECTROLYZER SYSTEM MODULE GROUP 1 HEAT EXCHANGING SYSTEMS HEAT EXCHANGING SYSTEM 1 TEMPERATURE WP H2 ANALOG PROCESS SIGNAL</v>
      </c>
      <c r="G64" s="29" t="s">
        <v>1614</v>
      </c>
      <c r="H64" s="29" t="s">
        <v>1615</v>
      </c>
      <c r="I64" s="29" t="str">
        <f t="shared" si="4"/>
        <v>01</v>
      </c>
      <c r="J64" s="29" t="s">
        <v>1616</v>
      </c>
      <c r="K64" s="29" t="s">
        <v>1976</v>
      </c>
      <c r="L64" s="29" t="s">
        <v>1977</v>
      </c>
      <c r="M64" s="29" t="s">
        <v>1619</v>
      </c>
      <c r="N64" s="29" t="s">
        <v>1978</v>
      </c>
      <c r="O64" s="29" t="s">
        <v>1894</v>
      </c>
      <c r="P64" s="29" t="s">
        <v>1979</v>
      </c>
      <c r="Q64" s="29" t="s">
        <v>1623</v>
      </c>
      <c r="R64" s="29" t="s">
        <v>1980</v>
      </c>
      <c r="S64" s="29" t="s">
        <v>1791</v>
      </c>
      <c r="T64" s="29" t="s">
        <v>1999</v>
      </c>
      <c r="U64" s="29" t="s">
        <v>193</v>
      </c>
      <c r="V64" s="29" t="s">
        <v>1083</v>
      </c>
      <c r="W64" s="35" t="s">
        <v>1628</v>
      </c>
      <c r="X64" s="35" t="s">
        <v>1982</v>
      </c>
      <c r="Y64" s="35" t="s">
        <v>1898</v>
      </c>
      <c r="Z64" s="35" t="s">
        <v>1793</v>
      </c>
      <c r="AA64" s="35" t="s">
        <v>1666</v>
      </c>
      <c r="AB64" s="29" t="s">
        <v>1791</v>
      </c>
      <c r="AC64" s="35" t="s">
        <v>1633</v>
      </c>
      <c r="AD64" s="35" t="s">
        <v>1668</v>
      </c>
      <c r="AE64" s="35" t="s">
        <v>1668</v>
      </c>
      <c r="AF64" s="35" t="s">
        <v>1635</v>
      </c>
      <c r="AG64" s="35" t="s">
        <v>1670</v>
      </c>
      <c r="AI64" s="35"/>
      <c r="AJ64" s="35" t="s">
        <v>1671</v>
      </c>
      <c r="AK64" s="35" t="s">
        <v>1638</v>
      </c>
      <c r="AL64" s="29" t="s">
        <v>1706</v>
      </c>
      <c r="AM64" s="35" t="s">
        <v>1721</v>
      </c>
      <c r="AN64" s="35" t="s">
        <v>1967</v>
      </c>
      <c r="AO64" s="35"/>
      <c r="AP64" s="35"/>
      <c r="AQ64" s="35"/>
      <c r="AS64" s="35"/>
      <c r="AT64" s="29" t="s">
        <v>2000</v>
      </c>
      <c r="AU64" s="35"/>
      <c r="AV64" s="29" t="s">
        <v>2001</v>
      </c>
      <c r="AW64" s="35"/>
      <c r="AY64" s="35"/>
      <c r="AZ64" s="35" t="s">
        <v>1642</v>
      </c>
      <c r="BA64" s="35" t="s">
        <v>2002</v>
      </c>
      <c r="BB64" s="29" t="s">
        <v>2003</v>
      </c>
      <c r="BC64" s="29" t="s">
        <v>2004</v>
      </c>
      <c r="BD64" s="29" t="s">
        <v>2005</v>
      </c>
      <c r="BE64" s="29" t="s">
        <v>2006</v>
      </c>
      <c r="BF64" s="29" t="s">
        <v>1619</v>
      </c>
      <c r="BG64" s="29" t="s">
        <v>2007</v>
      </c>
      <c r="BH64" s="29" t="s">
        <v>1986</v>
      </c>
      <c r="BI64" s="35"/>
      <c r="BJ64" s="35"/>
      <c r="BK64" s="29" t="str" cm="1">
        <f t="array" ref="BK64">_xlfn.UNIQUE(MID(BB64,16,14))</f>
        <v>U012UNA01UH100</v>
      </c>
    </row>
    <row r="65" spans="1:63" x14ac:dyDescent="0.3">
      <c r="A65" s="29" t="s">
        <v>1974</v>
      </c>
      <c r="B65" s="36" t="str">
        <f t="shared" si="0"/>
        <v>G01NHB01EQ001-BT03</v>
      </c>
      <c r="C65" s="33" t="s">
        <v>2008</v>
      </c>
      <c r="D65" s="34" t="str">
        <f t="shared" si="1"/>
        <v>ELY1 GRP1 COOL TEMP3 ANALOG1</v>
      </c>
      <c r="E65" s="31">
        <f t="shared" si="2"/>
        <v>28</v>
      </c>
      <c r="F65" s="32" t="str">
        <f t="shared" si="3"/>
        <v>ELECTROLYSIS SYSTEM ELECTROLYSIS ARRAY 1 ELECTROLYZER SYSTEM MODULE GROUP 1 HEAT EXCHANGING SYSTEMS HEAT EXCHANGING SYSTEM 1 TEMPERATURE WP O2 ANALOG PROCESS SIGNAL</v>
      </c>
      <c r="G65" s="29" t="s">
        <v>1614</v>
      </c>
      <c r="H65" s="29" t="s">
        <v>1615</v>
      </c>
      <c r="I65" s="29" t="str">
        <f t="shared" si="4"/>
        <v>01</v>
      </c>
      <c r="J65" s="29" t="s">
        <v>1616</v>
      </c>
      <c r="K65" s="29" t="s">
        <v>1976</v>
      </c>
      <c r="L65" s="29" t="s">
        <v>1977</v>
      </c>
      <c r="M65" s="29" t="s">
        <v>1619</v>
      </c>
      <c r="N65" s="29" t="s">
        <v>1978</v>
      </c>
      <c r="O65" s="29" t="s">
        <v>1894</v>
      </c>
      <c r="P65" s="29" t="s">
        <v>1979</v>
      </c>
      <c r="Q65" s="29" t="s">
        <v>1623</v>
      </c>
      <c r="R65" s="29" t="s">
        <v>1980</v>
      </c>
      <c r="S65" s="29" t="s">
        <v>1796</v>
      </c>
      <c r="T65" s="29" t="s">
        <v>2009</v>
      </c>
      <c r="U65" s="29" t="s">
        <v>193</v>
      </c>
      <c r="V65" s="29" t="s">
        <v>1083</v>
      </c>
      <c r="W65" s="35" t="s">
        <v>1628</v>
      </c>
      <c r="X65" s="35" t="s">
        <v>1982</v>
      </c>
      <c r="Y65" s="35" t="s">
        <v>1898</v>
      </c>
      <c r="Z65" s="35" t="s">
        <v>1798</v>
      </c>
      <c r="AA65" s="35" t="s">
        <v>1666</v>
      </c>
      <c r="AB65" s="29" t="s">
        <v>1796</v>
      </c>
      <c r="AC65" s="35" t="s">
        <v>1633</v>
      </c>
      <c r="AD65" s="35" t="s">
        <v>1668</v>
      </c>
      <c r="AE65" s="35" t="s">
        <v>1668</v>
      </c>
      <c r="AF65" s="35" t="s">
        <v>1635</v>
      </c>
      <c r="AG65" s="35" t="s">
        <v>1670</v>
      </c>
      <c r="AI65" s="35"/>
      <c r="AJ65" s="35" t="s">
        <v>1671</v>
      </c>
      <c r="AK65" s="35" t="s">
        <v>1638</v>
      </c>
      <c r="AL65" s="29" t="s">
        <v>1706</v>
      </c>
      <c r="AM65" s="35" t="s">
        <v>1721</v>
      </c>
      <c r="AN65" s="35" t="s">
        <v>1967</v>
      </c>
      <c r="AO65" s="35"/>
      <c r="AP65" s="35"/>
      <c r="AQ65" s="35"/>
      <c r="AS65" s="35"/>
      <c r="AT65" s="29" t="s">
        <v>2000</v>
      </c>
      <c r="AU65" s="35"/>
      <c r="AV65" s="29" t="s">
        <v>2001</v>
      </c>
      <c r="AW65" s="35"/>
      <c r="AY65" s="35"/>
      <c r="AZ65" s="35" t="s">
        <v>1642</v>
      </c>
      <c r="BA65" s="35" t="s">
        <v>2002</v>
      </c>
      <c r="BB65" s="29" t="s">
        <v>2003</v>
      </c>
      <c r="BC65" s="29" t="s">
        <v>2004</v>
      </c>
      <c r="BD65" s="29" t="s">
        <v>2010</v>
      </c>
      <c r="BE65" s="29" t="s">
        <v>2011</v>
      </c>
      <c r="BF65" s="29" t="s">
        <v>1905</v>
      </c>
      <c r="BG65" s="29" t="s">
        <v>2012</v>
      </c>
      <c r="BH65" s="29" t="s">
        <v>1986</v>
      </c>
      <c r="BI65" s="35"/>
      <c r="BJ65" s="35"/>
      <c r="BK65" s="29" t="str" cm="1">
        <f t="array" ref="BK65">_xlfn.UNIQUE(MID(BB65,16,14))</f>
        <v>U012UNA01UH100</v>
      </c>
    </row>
    <row r="66" spans="1:63" x14ac:dyDescent="0.3">
      <c r="A66" s="29" t="s">
        <v>1974</v>
      </c>
      <c r="B66" s="36" t="str">
        <f t="shared" ref="B66:B129" si="5">RIGHT(A66,LEN(A66)-1)&amp;S66</f>
        <v>G01NHB01EQ001-QN01</v>
      </c>
      <c r="C66" s="33" t="s">
        <v>2013</v>
      </c>
      <c r="D66" s="34" t="str">
        <f t="shared" ref="D66:D129" si="6">UPPER(W66&amp;" "&amp;X66&amp;" "&amp;Y66&amp;" "&amp;Z66&amp;" "&amp;AA66)</f>
        <v>ELY1 GRP1 COOL CV1 ANALOG1</v>
      </c>
      <c r="E66" s="31">
        <f t="shared" ref="E66:E129" si="7">LEN(D66)</f>
        <v>26</v>
      </c>
      <c r="F66" s="32" t="str">
        <f t="shared" ref="F66:F129" si="8">UPPER(H66&amp;" "&amp;J66&amp;" "&amp;L66&amp;" "&amp;N66&amp;" "&amp;P66&amp;" "&amp;R66&amp;" "&amp;T66&amp;" "&amp;V66)</f>
        <v>ELECTROLYSIS SYSTEM ELECTROLYSIS ARRAY 1 ELECTROLYZER SYSTEM MODULE GROUP 1 HEAT EXCHANGING SYSTEMS HEAT EXCHANGING SYSTEM 1 COOLING WATER - CONTROL VALVE ANALOG PROCESS SIGNAL</v>
      </c>
      <c r="G66" s="29" t="s">
        <v>1614</v>
      </c>
      <c r="H66" s="29" t="s">
        <v>1615</v>
      </c>
      <c r="I66" s="29" t="str">
        <f t="shared" ref="I66:I129" si="9">RIGHT(LEFT(A66,4),2)</f>
        <v>01</v>
      </c>
      <c r="J66" s="29" t="s">
        <v>1616</v>
      </c>
      <c r="K66" s="29" t="s">
        <v>1976</v>
      </c>
      <c r="L66" s="29" t="s">
        <v>1977</v>
      </c>
      <c r="M66" s="29" t="s">
        <v>1619</v>
      </c>
      <c r="N66" s="29" t="s">
        <v>1978</v>
      </c>
      <c r="O66" s="29" t="s">
        <v>1894</v>
      </c>
      <c r="P66" s="29" t="s">
        <v>1979</v>
      </c>
      <c r="Q66" s="29" t="s">
        <v>1623</v>
      </c>
      <c r="R66" s="29" t="s">
        <v>1980</v>
      </c>
      <c r="S66" s="29" t="s">
        <v>1800</v>
      </c>
      <c r="T66" s="29" t="s">
        <v>2014</v>
      </c>
      <c r="U66" s="29" t="s">
        <v>193</v>
      </c>
      <c r="V66" s="29" t="s">
        <v>1083</v>
      </c>
      <c r="W66" s="35" t="s">
        <v>1628</v>
      </c>
      <c r="X66" s="35" t="s">
        <v>1982</v>
      </c>
      <c r="Y66" s="35" t="s">
        <v>1898</v>
      </c>
      <c r="Z66" s="35" t="s">
        <v>1802</v>
      </c>
      <c r="AA66" s="35" t="s">
        <v>1666</v>
      </c>
      <c r="AB66" s="29" t="s">
        <v>2015</v>
      </c>
      <c r="AC66" s="35" t="s">
        <v>1633</v>
      </c>
      <c r="AD66" s="35" t="s">
        <v>1668</v>
      </c>
      <c r="AE66" s="35" t="s">
        <v>1668</v>
      </c>
      <c r="AF66" s="35" t="s">
        <v>1635</v>
      </c>
      <c r="AG66" s="35" t="s">
        <v>1670</v>
      </c>
      <c r="AI66" s="35"/>
      <c r="AJ66" s="35" t="s">
        <v>1671</v>
      </c>
      <c r="AK66" s="35" t="s">
        <v>1672</v>
      </c>
      <c r="AL66" s="29" t="s">
        <v>1803</v>
      </c>
      <c r="AM66" s="35"/>
      <c r="AN66" s="35"/>
      <c r="AO66" s="35"/>
      <c r="AP66" s="35"/>
      <c r="AQ66" s="35"/>
      <c r="AS66" s="35"/>
      <c r="AU66" s="35"/>
      <c r="AW66" s="35"/>
      <c r="AY66" s="35"/>
      <c r="AZ66" s="35"/>
      <c r="BA66" s="35"/>
      <c r="BB66" s="29" t="s">
        <v>1983</v>
      </c>
      <c r="BC66" s="29" t="s">
        <v>1900</v>
      </c>
      <c r="BF66" s="29" t="s">
        <v>2016</v>
      </c>
      <c r="BG66" s="29" t="s">
        <v>2017</v>
      </c>
      <c r="BH66" s="29" t="s">
        <v>1986</v>
      </c>
      <c r="BI66" s="35"/>
      <c r="BJ66" s="35"/>
      <c r="BK66" s="29" t="str" cm="1">
        <f t="array" ref="BK66">_xlfn.UNIQUE(MID(BB66,16,14))</f>
        <v>U012UNA01UH111</v>
      </c>
    </row>
    <row r="67" spans="1:63" x14ac:dyDescent="0.3">
      <c r="A67" s="29" t="s">
        <v>2018</v>
      </c>
      <c r="B67" s="36" t="str">
        <f t="shared" si="5"/>
        <v>G01NHB01HT001-BT01</v>
      </c>
      <c r="C67" s="33" t="s">
        <v>2019</v>
      </c>
      <c r="D67" s="34" t="str">
        <f t="shared" si="6"/>
        <v>ELY1 GRP1 MOD1 TEMP1 ANALOG1</v>
      </c>
      <c r="E67" s="31">
        <f t="shared" si="7"/>
        <v>28</v>
      </c>
      <c r="F67" s="32" t="str">
        <f t="shared" si="8"/>
        <v>ELECTROLYSIS SYSTEM ELECTROLYSIS ARRAY 1 ELECTROLYZER SYSTEM MODULE GROUP 1 ELECTROLYSIS MODULES MODULE 1 TEMPERATURE MODULE OUTLET O2 ANALOG PROCESS SIGNAL</v>
      </c>
      <c r="G67" s="29" t="s">
        <v>1614</v>
      </c>
      <c r="H67" s="29" t="s">
        <v>1615</v>
      </c>
      <c r="I67" s="29" t="str">
        <f t="shared" si="9"/>
        <v>01</v>
      </c>
      <c r="J67" s="29" t="s">
        <v>1616</v>
      </c>
      <c r="K67" s="29" t="s">
        <v>1976</v>
      </c>
      <c r="L67" s="29" t="s">
        <v>1977</v>
      </c>
      <c r="M67" s="29" t="s">
        <v>1619</v>
      </c>
      <c r="N67" s="29" t="s">
        <v>1978</v>
      </c>
      <c r="O67" s="29" t="s">
        <v>2020</v>
      </c>
      <c r="P67" s="29" t="s">
        <v>2021</v>
      </c>
      <c r="Q67" s="29" t="s">
        <v>1623</v>
      </c>
      <c r="R67" s="29" t="s">
        <v>2022</v>
      </c>
      <c r="S67" s="29" t="s">
        <v>1715</v>
      </c>
      <c r="T67" s="29" t="s">
        <v>2023</v>
      </c>
      <c r="U67" s="29" t="s">
        <v>193</v>
      </c>
      <c r="V67" s="29" t="s">
        <v>1083</v>
      </c>
      <c r="W67" s="35" t="s">
        <v>1628</v>
      </c>
      <c r="X67" s="35" t="s">
        <v>1982</v>
      </c>
      <c r="Y67" s="35" t="s">
        <v>2024</v>
      </c>
      <c r="Z67" s="35" t="s">
        <v>1719</v>
      </c>
      <c r="AA67" s="35" t="s">
        <v>1666</v>
      </c>
      <c r="AB67" s="29" t="s">
        <v>1715</v>
      </c>
      <c r="AC67" s="35" t="s">
        <v>1633</v>
      </c>
      <c r="AD67" s="35" t="s">
        <v>1668</v>
      </c>
      <c r="AE67" s="35" t="s">
        <v>1668</v>
      </c>
      <c r="AF67" s="35" t="s">
        <v>1635</v>
      </c>
      <c r="AG67" s="35" t="s">
        <v>1670</v>
      </c>
      <c r="AI67" s="35"/>
      <c r="AJ67" s="35" t="s">
        <v>1671</v>
      </c>
      <c r="AK67" s="35" t="s">
        <v>1672</v>
      </c>
      <c r="AL67" s="29" t="s">
        <v>1720</v>
      </c>
      <c r="AM67" s="35" t="s">
        <v>1721</v>
      </c>
      <c r="AN67" s="35" t="s">
        <v>1967</v>
      </c>
      <c r="AO67" s="35"/>
      <c r="AP67" s="35"/>
      <c r="AQ67" s="35"/>
      <c r="AR67" s="29" t="s">
        <v>1756</v>
      </c>
      <c r="AS67" s="35"/>
      <c r="AT67" s="29" t="s">
        <v>1640</v>
      </c>
      <c r="AU67" s="35"/>
      <c r="AW67" s="35"/>
      <c r="AY67" s="35"/>
      <c r="AZ67" s="35"/>
      <c r="BA67" s="35"/>
      <c r="BB67" s="29" t="s">
        <v>1983</v>
      </c>
      <c r="BC67" s="29" t="s">
        <v>1900</v>
      </c>
      <c r="BD67" s="29" t="s">
        <v>1804</v>
      </c>
      <c r="BE67" s="29" t="s">
        <v>1805</v>
      </c>
      <c r="BF67" s="29" t="s">
        <v>1922</v>
      </c>
      <c r="BG67" s="29" t="s">
        <v>2025</v>
      </c>
      <c r="BH67" s="29" t="s">
        <v>1986</v>
      </c>
      <c r="BI67" s="35"/>
      <c r="BJ67" s="35"/>
      <c r="BK67" s="29" t="str" cm="1">
        <f t="array" ref="BK67">_xlfn.UNIQUE(MID(BB67,16,14))</f>
        <v>U012UNA01UH111</v>
      </c>
    </row>
    <row r="68" spans="1:63" x14ac:dyDescent="0.3">
      <c r="A68" s="29" t="s">
        <v>2018</v>
      </c>
      <c r="B68" s="36" t="str">
        <f t="shared" si="5"/>
        <v>G01NHB01HT001-BT02</v>
      </c>
      <c r="C68" s="33" t="s">
        <v>2026</v>
      </c>
      <c r="D68" s="34" t="str">
        <f t="shared" si="6"/>
        <v>ELY1 GRP1 MOD1 TEMP2 ANALOG1</v>
      </c>
      <c r="E68" s="31">
        <f t="shared" si="7"/>
        <v>28</v>
      </c>
      <c r="F68" s="32" t="str">
        <f t="shared" si="8"/>
        <v>ELECTROLYSIS SYSTEM ELECTROLYSIS ARRAY 1 ELECTROLYZER SYSTEM MODULE GROUP 1 ELECTROLYSIS MODULES MODULE 1 TEMPERATURE MODULE OUTLET H2 ANALOG PROCESS SIGNAL</v>
      </c>
      <c r="G68" s="29" t="s">
        <v>1614</v>
      </c>
      <c r="H68" s="29" t="s">
        <v>1615</v>
      </c>
      <c r="I68" s="29" t="str">
        <f t="shared" si="9"/>
        <v>01</v>
      </c>
      <c r="J68" s="29" t="s">
        <v>1616</v>
      </c>
      <c r="K68" s="29" t="s">
        <v>1976</v>
      </c>
      <c r="L68" s="29" t="s">
        <v>1977</v>
      </c>
      <c r="M68" s="29" t="s">
        <v>1619</v>
      </c>
      <c r="N68" s="29" t="s">
        <v>1978</v>
      </c>
      <c r="O68" s="29" t="s">
        <v>2020</v>
      </c>
      <c r="P68" s="29" t="s">
        <v>2021</v>
      </c>
      <c r="Q68" s="29" t="s">
        <v>1623</v>
      </c>
      <c r="R68" s="29" t="s">
        <v>2022</v>
      </c>
      <c r="S68" s="29" t="s">
        <v>1791</v>
      </c>
      <c r="T68" s="29" t="s">
        <v>2027</v>
      </c>
      <c r="U68" s="29" t="s">
        <v>193</v>
      </c>
      <c r="V68" s="29" t="s">
        <v>1083</v>
      </c>
      <c r="W68" s="35" t="s">
        <v>1628</v>
      </c>
      <c r="X68" s="35" t="s">
        <v>1982</v>
      </c>
      <c r="Y68" s="35" t="s">
        <v>2024</v>
      </c>
      <c r="Z68" s="35" t="s">
        <v>1793</v>
      </c>
      <c r="AA68" s="35" t="s">
        <v>1666</v>
      </c>
      <c r="AB68" s="29" t="s">
        <v>1791</v>
      </c>
      <c r="AC68" s="35" t="s">
        <v>1633</v>
      </c>
      <c r="AD68" s="35" t="s">
        <v>1668</v>
      </c>
      <c r="AE68" s="35" t="s">
        <v>1668</v>
      </c>
      <c r="AF68" s="35" t="s">
        <v>1635</v>
      </c>
      <c r="AG68" s="35" t="s">
        <v>1670</v>
      </c>
      <c r="AI68" s="35"/>
      <c r="AJ68" s="35" t="s">
        <v>1671</v>
      </c>
      <c r="AK68" s="35" t="s">
        <v>1672</v>
      </c>
      <c r="AL68" s="29" t="s">
        <v>1720</v>
      </c>
      <c r="AM68" s="35" t="s">
        <v>1721</v>
      </c>
      <c r="AN68" s="35" t="s">
        <v>1967</v>
      </c>
      <c r="AO68" s="35"/>
      <c r="AP68" s="35"/>
      <c r="AQ68" s="35"/>
      <c r="AR68" s="29" t="s">
        <v>1756</v>
      </c>
      <c r="AS68" s="35"/>
      <c r="AT68" s="29" t="s">
        <v>1640</v>
      </c>
      <c r="AU68" s="35"/>
      <c r="AW68" s="35"/>
      <c r="AY68" s="35"/>
      <c r="AZ68" s="35"/>
      <c r="BA68" s="35"/>
      <c r="BB68" s="29" t="s">
        <v>1983</v>
      </c>
      <c r="BC68" s="29" t="s">
        <v>1900</v>
      </c>
      <c r="BD68" s="29" t="s">
        <v>1804</v>
      </c>
      <c r="BE68" s="29" t="s">
        <v>1638</v>
      </c>
      <c r="BF68" s="29" t="s">
        <v>1931</v>
      </c>
      <c r="BG68" s="29" t="s">
        <v>2028</v>
      </c>
      <c r="BH68" s="29" t="s">
        <v>1986</v>
      </c>
      <c r="BI68" s="35"/>
      <c r="BJ68" s="35"/>
      <c r="BK68" s="29" t="str" cm="1">
        <f t="array" ref="BK68">_xlfn.UNIQUE(MID(BB68,16,14))</f>
        <v>U012UNA01UH111</v>
      </c>
    </row>
    <row r="69" spans="1:63" x14ac:dyDescent="0.3">
      <c r="A69" s="29" t="s">
        <v>2029</v>
      </c>
      <c r="B69" s="36" t="str">
        <f t="shared" si="5"/>
        <v>G01NHB01HT002-BT01</v>
      </c>
      <c r="C69" s="33" t="s">
        <v>2030</v>
      </c>
      <c r="D69" s="34" t="str">
        <f t="shared" si="6"/>
        <v>ELY1 GRP1 MOD2 TEMP1 ANALOG1</v>
      </c>
      <c r="E69" s="31">
        <f t="shared" si="7"/>
        <v>28</v>
      </c>
      <c r="F69" s="32" t="str">
        <f t="shared" si="8"/>
        <v>ELECTROLYSIS SYSTEM ELECTROLYSIS ARRAY 1 ELECTROLYZER SYSTEM MODULE GROUP 1 ELECTROLYSIS MODULES MODULE 2 TEMPERATURE MODULE OUTLET O2 ANALOG PROCESS SIGNAL</v>
      </c>
      <c r="G69" s="29" t="s">
        <v>1614</v>
      </c>
      <c r="H69" s="29" t="s">
        <v>1615</v>
      </c>
      <c r="I69" s="29" t="str">
        <f t="shared" si="9"/>
        <v>01</v>
      </c>
      <c r="J69" s="29" t="s">
        <v>1616</v>
      </c>
      <c r="K69" s="29" t="s">
        <v>1976</v>
      </c>
      <c r="L69" s="29" t="s">
        <v>1977</v>
      </c>
      <c r="M69" s="29" t="s">
        <v>1619</v>
      </c>
      <c r="N69" s="29" t="s">
        <v>1978</v>
      </c>
      <c r="O69" s="29" t="s">
        <v>2020</v>
      </c>
      <c r="P69" s="29" t="s">
        <v>2021</v>
      </c>
      <c r="Q69" s="29" t="s">
        <v>1872</v>
      </c>
      <c r="R69" s="29" t="s">
        <v>2031</v>
      </c>
      <c r="S69" s="29" t="s">
        <v>1715</v>
      </c>
      <c r="T69" s="29" t="s">
        <v>2023</v>
      </c>
      <c r="U69" s="29" t="s">
        <v>193</v>
      </c>
      <c r="V69" s="29" t="s">
        <v>1083</v>
      </c>
      <c r="W69" s="35" t="s">
        <v>1628</v>
      </c>
      <c r="X69" s="35" t="s">
        <v>1982</v>
      </c>
      <c r="Y69" s="35" t="s">
        <v>2032</v>
      </c>
      <c r="Z69" s="35" t="s">
        <v>1719</v>
      </c>
      <c r="AA69" s="35" t="s">
        <v>1666</v>
      </c>
      <c r="AB69" s="29" t="s">
        <v>1715</v>
      </c>
      <c r="AC69" s="35" t="s">
        <v>1633</v>
      </c>
      <c r="AD69" s="35" t="s">
        <v>1668</v>
      </c>
      <c r="AE69" s="35" t="s">
        <v>1668</v>
      </c>
      <c r="AF69" s="35" t="s">
        <v>1635</v>
      </c>
      <c r="AG69" s="35" t="s">
        <v>1670</v>
      </c>
      <c r="AI69" s="35"/>
      <c r="AJ69" s="35" t="s">
        <v>1671</v>
      </c>
      <c r="AK69" s="35" t="s">
        <v>1672</v>
      </c>
      <c r="AL69" s="29" t="s">
        <v>1720</v>
      </c>
      <c r="AM69" s="35" t="s">
        <v>1721</v>
      </c>
      <c r="AN69" s="35" t="s">
        <v>1967</v>
      </c>
      <c r="AO69" s="35"/>
      <c r="AP69" s="35"/>
      <c r="AQ69" s="35"/>
      <c r="AR69" s="29" t="s">
        <v>1756</v>
      </c>
      <c r="AS69" s="35"/>
      <c r="AT69" s="29" t="s">
        <v>1640</v>
      </c>
      <c r="AU69" s="35"/>
      <c r="AW69" s="35"/>
      <c r="AY69" s="35"/>
      <c r="AZ69" s="35"/>
      <c r="BA69" s="35"/>
      <c r="BB69" s="29" t="s">
        <v>1983</v>
      </c>
      <c r="BC69" s="29" t="s">
        <v>1900</v>
      </c>
      <c r="BD69" s="29" t="s">
        <v>1804</v>
      </c>
      <c r="BE69" s="29" t="s">
        <v>1805</v>
      </c>
      <c r="BF69" s="29" t="s">
        <v>1936</v>
      </c>
      <c r="BG69" s="29" t="s">
        <v>2033</v>
      </c>
      <c r="BH69" s="29" t="s">
        <v>1986</v>
      </c>
      <c r="BI69" s="35"/>
      <c r="BJ69" s="35"/>
      <c r="BK69" s="29" t="str" cm="1">
        <f t="array" ref="BK69">_xlfn.UNIQUE(MID(BB69,16,14))</f>
        <v>U012UNA01UH111</v>
      </c>
    </row>
    <row r="70" spans="1:63" x14ac:dyDescent="0.3">
      <c r="A70" s="29" t="s">
        <v>2029</v>
      </c>
      <c r="B70" s="36" t="str">
        <f t="shared" si="5"/>
        <v>G01NHB01HT002-BT02</v>
      </c>
      <c r="C70" s="33" t="s">
        <v>2034</v>
      </c>
      <c r="D70" s="34" t="str">
        <f t="shared" si="6"/>
        <v>ELY1 GRP1 MOD2 TEMP2 ANALOG1</v>
      </c>
      <c r="E70" s="31">
        <f t="shared" si="7"/>
        <v>28</v>
      </c>
      <c r="F70" s="32" t="str">
        <f t="shared" si="8"/>
        <v>ELECTROLYSIS SYSTEM ELECTROLYSIS ARRAY 1 ELECTROLYZER SYSTEM MODULE GROUP 1 ELECTROLYSIS MODULES MODULE 2 TEMPERATURE MODULE OUTLET H2 ANALOG PROCESS SIGNAL</v>
      </c>
      <c r="G70" s="29" t="s">
        <v>1614</v>
      </c>
      <c r="H70" s="29" t="s">
        <v>1615</v>
      </c>
      <c r="I70" s="29" t="str">
        <f t="shared" si="9"/>
        <v>01</v>
      </c>
      <c r="J70" s="29" t="s">
        <v>1616</v>
      </c>
      <c r="K70" s="29" t="s">
        <v>1976</v>
      </c>
      <c r="L70" s="29" t="s">
        <v>1977</v>
      </c>
      <c r="M70" s="29" t="s">
        <v>1619</v>
      </c>
      <c r="N70" s="29" t="s">
        <v>1978</v>
      </c>
      <c r="O70" s="29" t="s">
        <v>2020</v>
      </c>
      <c r="P70" s="29" t="s">
        <v>2021</v>
      </c>
      <c r="Q70" s="29" t="s">
        <v>1872</v>
      </c>
      <c r="R70" s="29" t="s">
        <v>2031</v>
      </c>
      <c r="S70" s="29" t="s">
        <v>1791</v>
      </c>
      <c r="T70" s="29" t="s">
        <v>2027</v>
      </c>
      <c r="U70" s="29" t="s">
        <v>193</v>
      </c>
      <c r="V70" s="29" t="s">
        <v>1083</v>
      </c>
      <c r="W70" s="35" t="s">
        <v>1628</v>
      </c>
      <c r="X70" s="35" t="s">
        <v>1982</v>
      </c>
      <c r="Y70" s="35" t="s">
        <v>2032</v>
      </c>
      <c r="Z70" s="35" t="s">
        <v>1793</v>
      </c>
      <c r="AA70" s="35" t="s">
        <v>1666</v>
      </c>
      <c r="AB70" s="29" t="s">
        <v>1791</v>
      </c>
      <c r="AC70" s="35" t="s">
        <v>1633</v>
      </c>
      <c r="AD70" s="35" t="s">
        <v>1668</v>
      </c>
      <c r="AE70" s="35" t="s">
        <v>1668</v>
      </c>
      <c r="AF70" s="35" t="s">
        <v>1635</v>
      </c>
      <c r="AG70" s="35" t="s">
        <v>1670</v>
      </c>
      <c r="AI70" s="35"/>
      <c r="AJ70" s="35" t="s">
        <v>1671</v>
      </c>
      <c r="AK70" s="35" t="s">
        <v>1672</v>
      </c>
      <c r="AL70" s="29" t="s">
        <v>1720</v>
      </c>
      <c r="AM70" s="35" t="s">
        <v>1721</v>
      </c>
      <c r="AN70" s="35" t="s">
        <v>1967</v>
      </c>
      <c r="AO70" s="35"/>
      <c r="AP70" s="35"/>
      <c r="AQ70" s="35"/>
      <c r="AR70" s="29" t="s">
        <v>1756</v>
      </c>
      <c r="AS70" s="35"/>
      <c r="AT70" s="29" t="s">
        <v>1640</v>
      </c>
      <c r="AU70" s="35"/>
      <c r="AW70" s="35"/>
      <c r="AY70" s="35"/>
      <c r="AZ70" s="35"/>
      <c r="BA70" s="35"/>
      <c r="BB70" s="29" t="s">
        <v>1983</v>
      </c>
      <c r="BC70" s="29" t="s">
        <v>1900</v>
      </c>
      <c r="BD70" s="29" t="s">
        <v>1804</v>
      </c>
      <c r="BE70" s="29" t="s">
        <v>1805</v>
      </c>
      <c r="BF70" s="29" t="s">
        <v>2035</v>
      </c>
      <c r="BG70" s="29" t="s">
        <v>2036</v>
      </c>
      <c r="BH70" s="29" t="s">
        <v>1986</v>
      </c>
      <c r="BI70" s="35"/>
      <c r="BJ70" s="35"/>
      <c r="BK70" s="29" t="str" cm="1">
        <f t="array" ref="BK70">_xlfn.UNIQUE(MID(BB70,16,14))</f>
        <v>U012UNA01UH111</v>
      </c>
    </row>
    <row r="71" spans="1:63" x14ac:dyDescent="0.3">
      <c r="A71" s="29" t="s">
        <v>2037</v>
      </c>
      <c r="B71" s="36" t="str">
        <f t="shared" si="5"/>
        <v>G01NHB01HT003-BT01</v>
      </c>
      <c r="C71" s="33" t="s">
        <v>2038</v>
      </c>
      <c r="D71" s="34" t="str">
        <f t="shared" si="6"/>
        <v>ELY1 GRP1 MOD3 TEMP1 ANALOG1</v>
      </c>
      <c r="E71" s="31">
        <f t="shared" si="7"/>
        <v>28</v>
      </c>
      <c r="F71" s="32" t="str">
        <f t="shared" si="8"/>
        <v>ELECTROLYSIS SYSTEM ELECTROLYSIS ARRAY 1 ELECTROLYZER SYSTEM MODULE GROUP 1 ELECTROLYSIS MODULES MODULE 3 TEMPERATURE MODULE OUTLET O2 ANALOG PROCESS SIGNAL</v>
      </c>
      <c r="G71" s="29" t="s">
        <v>1614</v>
      </c>
      <c r="H71" s="29" t="s">
        <v>1615</v>
      </c>
      <c r="I71" s="29" t="str">
        <f t="shared" si="9"/>
        <v>01</v>
      </c>
      <c r="J71" s="29" t="s">
        <v>1616</v>
      </c>
      <c r="K71" s="29" t="s">
        <v>1976</v>
      </c>
      <c r="L71" s="29" t="s">
        <v>1977</v>
      </c>
      <c r="M71" s="29" t="s">
        <v>1619</v>
      </c>
      <c r="N71" s="29" t="s">
        <v>1978</v>
      </c>
      <c r="O71" s="29" t="s">
        <v>2020</v>
      </c>
      <c r="P71" s="29" t="s">
        <v>2021</v>
      </c>
      <c r="Q71" s="29" t="s">
        <v>1830</v>
      </c>
      <c r="R71" s="29" t="s">
        <v>2039</v>
      </c>
      <c r="S71" s="29" t="s">
        <v>1715</v>
      </c>
      <c r="T71" s="29" t="s">
        <v>2023</v>
      </c>
      <c r="U71" s="29" t="s">
        <v>193</v>
      </c>
      <c r="V71" s="29" t="s">
        <v>1083</v>
      </c>
      <c r="W71" s="35" t="s">
        <v>1628</v>
      </c>
      <c r="X71" s="35" t="s">
        <v>1982</v>
      </c>
      <c r="Y71" s="35" t="s">
        <v>2040</v>
      </c>
      <c r="Z71" s="35" t="s">
        <v>1719</v>
      </c>
      <c r="AA71" s="35" t="s">
        <v>1666</v>
      </c>
      <c r="AB71" s="29" t="s">
        <v>1715</v>
      </c>
      <c r="AC71" s="35" t="s">
        <v>1633</v>
      </c>
      <c r="AD71" s="35" t="s">
        <v>1668</v>
      </c>
      <c r="AE71" s="35" t="s">
        <v>1668</v>
      </c>
      <c r="AF71" s="35" t="s">
        <v>1635</v>
      </c>
      <c r="AG71" s="35" t="s">
        <v>1670</v>
      </c>
      <c r="AI71" s="35"/>
      <c r="AJ71" s="35" t="s">
        <v>1671</v>
      </c>
      <c r="AK71" s="35" t="s">
        <v>1672</v>
      </c>
      <c r="AL71" s="29" t="s">
        <v>1720</v>
      </c>
      <c r="AM71" s="35" t="s">
        <v>1721</v>
      </c>
      <c r="AN71" s="35" t="s">
        <v>1967</v>
      </c>
      <c r="AO71" s="35"/>
      <c r="AP71" s="35"/>
      <c r="AQ71" s="35"/>
      <c r="AR71" s="29" t="s">
        <v>1756</v>
      </c>
      <c r="AS71" s="35"/>
      <c r="AT71" s="29" t="s">
        <v>1640</v>
      </c>
      <c r="AU71" s="35"/>
      <c r="AW71" s="35"/>
      <c r="AY71" s="35"/>
      <c r="AZ71" s="35"/>
      <c r="BA71" s="35"/>
      <c r="BB71" s="29" t="s">
        <v>1983</v>
      </c>
      <c r="BC71" s="29" t="s">
        <v>1900</v>
      </c>
      <c r="BD71" s="29" t="s">
        <v>1804</v>
      </c>
      <c r="BE71" s="29" t="s">
        <v>1805</v>
      </c>
      <c r="BF71" s="29" t="s">
        <v>1969</v>
      </c>
      <c r="BG71" s="29" t="s">
        <v>2041</v>
      </c>
      <c r="BH71" s="29" t="s">
        <v>1986</v>
      </c>
      <c r="BI71" s="35"/>
      <c r="BJ71" s="35"/>
      <c r="BK71" s="29" t="str" cm="1">
        <f t="array" ref="BK71">_xlfn.UNIQUE(MID(BB71,16,14))</f>
        <v>U012UNA01UH111</v>
      </c>
    </row>
    <row r="72" spans="1:63" x14ac:dyDescent="0.3">
      <c r="A72" s="29" t="s">
        <v>2037</v>
      </c>
      <c r="B72" s="36" t="str">
        <f t="shared" si="5"/>
        <v>G01NHB01HT003-BT02</v>
      </c>
      <c r="C72" s="33" t="s">
        <v>2042</v>
      </c>
      <c r="D72" s="34" t="str">
        <f t="shared" si="6"/>
        <v>ELY1 GRP1 MOD3 TEMP2 ANALOG1</v>
      </c>
      <c r="E72" s="31">
        <f t="shared" si="7"/>
        <v>28</v>
      </c>
      <c r="F72" s="32" t="str">
        <f t="shared" si="8"/>
        <v>ELECTROLYSIS SYSTEM ELECTROLYSIS ARRAY 1 ELECTROLYZER SYSTEM MODULE GROUP 1 ELECTROLYSIS MODULES MODULE 3 TEMPERATURE MODULE OUTLET H2 ANALOG PROCESS SIGNAL</v>
      </c>
      <c r="G72" s="29" t="s">
        <v>1614</v>
      </c>
      <c r="H72" s="29" t="s">
        <v>1615</v>
      </c>
      <c r="I72" s="29" t="str">
        <f t="shared" si="9"/>
        <v>01</v>
      </c>
      <c r="J72" s="29" t="s">
        <v>1616</v>
      </c>
      <c r="K72" s="29" t="s">
        <v>1976</v>
      </c>
      <c r="L72" s="29" t="s">
        <v>1977</v>
      </c>
      <c r="M72" s="29" t="s">
        <v>1619</v>
      </c>
      <c r="N72" s="29" t="s">
        <v>1978</v>
      </c>
      <c r="O72" s="29" t="s">
        <v>2020</v>
      </c>
      <c r="P72" s="29" t="s">
        <v>2021</v>
      </c>
      <c r="Q72" s="29" t="s">
        <v>1830</v>
      </c>
      <c r="R72" s="29" t="s">
        <v>2039</v>
      </c>
      <c r="S72" s="29" t="s">
        <v>1791</v>
      </c>
      <c r="T72" s="29" t="s">
        <v>2027</v>
      </c>
      <c r="U72" s="29" t="s">
        <v>193</v>
      </c>
      <c r="V72" s="29" t="s">
        <v>1083</v>
      </c>
      <c r="W72" s="35" t="s">
        <v>1628</v>
      </c>
      <c r="X72" s="35" t="s">
        <v>1982</v>
      </c>
      <c r="Y72" s="35" t="s">
        <v>2040</v>
      </c>
      <c r="Z72" s="35" t="s">
        <v>1793</v>
      </c>
      <c r="AA72" s="35" t="s">
        <v>1666</v>
      </c>
      <c r="AB72" s="29" t="s">
        <v>1791</v>
      </c>
      <c r="AC72" s="35" t="s">
        <v>1633</v>
      </c>
      <c r="AD72" s="35" t="s">
        <v>1668</v>
      </c>
      <c r="AE72" s="35" t="s">
        <v>1668</v>
      </c>
      <c r="AF72" s="35" t="s">
        <v>1635</v>
      </c>
      <c r="AG72" s="35" t="s">
        <v>1670</v>
      </c>
      <c r="AI72" s="35"/>
      <c r="AJ72" s="35" t="s">
        <v>1671</v>
      </c>
      <c r="AK72" s="35" t="s">
        <v>1672</v>
      </c>
      <c r="AL72" s="29" t="s">
        <v>1720</v>
      </c>
      <c r="AM72" s="35" t="s">
        <v>1721</v>
      </c>
      <c r="AN72" s="35" t="s">
        <v>1967</v>
      </c>
      <c r="AO72" s="35"/>
      <c r="AP72" s="35"/>
      <c r="AQ72" s="35"/>
      <c r="AR72" s="29" t="s">
        <v>1756</v>
      </c>
      <c r="AS72" s="35"/>
      <c r="AT72" s="29" t="s">
        <v>1640</v>
      </c>
      <c r="AU72" s="35"/>
      <c r="AW72" s="35"/>
      <c r="AY72" s="35"/>
      <c r="AZ72" s="35"/>
      <c r="BA72" s="35"/>
      <c r="BB72" s="29" t="s">
        <v>1983</v>
      </c>
      <c r="BC72" s="29" t="s">
        <v>1900</v>
      </c>
      <c r="BD72" s="29" t="s">
        <v>1804</v>
      </c>
      <c r="BE72" s="29" t="s">
        <v>1805</v>
      </c>
      <c r="BF72" s="29" t="s">
        <v>1973</v>
      </c>
      <c r="BG72" s="29" t="s">
        <v>2043</v>
      </c>
      <c r="BH72" s="29" t="s">
        <v>1986</v>
      </c>
      <c r="BI72" s="35"/>
      <c r="BJ72" s="35"/>
      <c r="BK72" s="29" t="str" cm="1">
        <f t="array" ref="BK72">_xlfn.UNIQUE(MID(BB72,16,14))</f>
        <v>U012UNA01UH111</v>
      </c>
    </row>
    <row r="73" spans="1:63" x14ac:dyDescent="0.3">
      <c r="A73" s="29" t="s">
        <v>2044</v>
      </c>
      <c r="B73" s="36" t="str">
        <f t="shared" si="5"/>
        <v>G01NHB01HT004-BT01</v>
      </c>
      <c r="C73" s="33" t="s">
        <v>2045</v>
      </c>
      <c r="D73" s="34" t="str">
        <f t="shared" si="6"/>
        <v>ELY1 GRP1 MOD4 TEMP1 ANALOG1</v>
      </c>
      <c r="E73" s="31">
        <f t="shared" si="7"/>
        <v>28</v>
      </c>
      <c r="F73" s="32" t="str">
        <f t="shared" si="8"/>
        <v>ELECTROLYSIS SYSTEM ELECTROLYSIS ARRAY 1 ELECTROLYZER SYSTEM MODULE GROUP 1 ELECTROLYSIS MODULES MODULE 4 TEMPERATURE MODULE OUTLET O2 ANALOG PROCESS SIGNAL</v>
      </c>
      <c r="G73" s="29" t="s">
        <v>1614</v>
      </c>
      <c r="H73" s="29" t="s">
        <v>1615</v>
      </c>
      <c r="I73" s="29" t="str">
        <f t="shared" si="9"/>
        <v>01</v>
      </c>
      <c r="J73" s="29" t="s">
        <v>1616</v>
      </c>
      <c r="K73" s="29" t="s">
        <v>1976</v>
      </c>
      <c r="L73" s="29" t="s">
        <v>1977</v>
      </c>
      <c r="M73" s="29" t="s">
        <v>1619</v>
      </c>
      <c r="N73" s="29" t="s">
        <v>1978</v>
      </c>
      <c r="O73" s="29" t="s">
        <v>2020</v>
      </c>
      <c r="P73" s="29" t="s">
        <v>2021</v>
      </c>
      <c r="Q73" s="29" t="s">
        <v>1838</v>
      </c>
      <c r="R73" s="29" t="s">
        <v>2046</v>
      </c>
      <c r="S73" s="29" t="s">
        <v>1715</v>
      </c>
      <c r="T73" s="29" t="s">
        <v>2023</v>
      </c>
      <c r="U73" s="29" t="s">
        <v>193</v>
      </c>
      <c r="V73" s="29" t="s">
        <v>1083</v>
      </c>
      <c r="W73" s="35" t="s">
        <v>1628</v>
      </c>
      <c r="X73" s="35" t="s">
        <v>1982</v>
      </c>
      <c r="Y73" s="35" t="s">
        <v>2047</v>
      </c>
      <c r="Z73" s="35" t="s">
        <v>1719</v>
      </c>
      <c r="AA73" s="35" t="s">
        <v>1666</v>
      </c>
      <c r="AB73" s="29" t="s">
        <v>1715</v>
      </c>
      <c r="AC73" s="35" t="s">
        <v>1633</v>
      </c>
      <c r="AD73" s="35" t="s">
        <v>1668</v>
      </c>
      <c r="AE73" s="35" t="s">
        <v>1668</v>
      </c>
      <c r="AF73" s="35" t="s">
        <v>1635</v>
      </c>
      <c r="AG73" s="35" t="s">
        <v>1670</v>
      </c>
      <c r="AI73" s="35"/>
      <c r="AJ73" s="35" t="s">
        <v>1671</v>
      </c>
      <c r="AK73" s="35" t="s">
        <v>1672</v>
      </c>
      <c r="AL73" s="29" t="s">
        <v>1720</v>
      </c>
      <c r="AM73" s="35" t="s">
        <v>1721</v>
      </c>
      <c r="AN73" s="35" t="s">
        <v>1967</v>
      </c>
      <c r="AO73" s="35"/>
      <c r="AP73" s="35"/>
      <c r="AQ73" s="35"/>
      <c r="AR73" s="29" t="s">
        <v>1756</v>
      </c>
      <c r="AS73" s="35"/>
      <c r="AT73" s="29" t="s">
        <v>1640</v>
      </c>
      <c r="AU73" s="35"/>
      <c r="AW73" s="35"/>
      <c r="AY73" s="35"/>
      <c r="AZ73" s="35"/>
      <c r="BA73" s="35"/>
      <c r="BB73" s="29" t="s">
        <v>1983</v>
      </c>
      <c r="BC73" s="29" t="s">
        <v>1900</v>
      </c>
      <c r="BD73" s="29" t="s">
        <v>1804</v>
      </c>
      <c r="BE73" s="29" t="s">
        <v>1805</v>
      </c>
      <c r="BF73" s="29" t="s">
        <v>2048</v>
      </c>
      <c r="BG73" s="29" t="s">
        <v>2049</v>
      </c>
      <c r="BH73" s="29" t="s">
        <v>1986</v>
      </c>
      <c r="BI73" s="35"/>
      <c r="BJ73" s="35"/>
      <c r="BK73" s="29" t="str" cm="1">
        <f t="array" ref="BK73">_xlfn.UNIQUE(MID(BB73,16,14))</f>
        <v>U012UNA01UH111</v>
      </c>
    </row>
    <row r="74" spans="1:63" x14ac:dyDescent="0.3">
      <c r="A74" s="29" t="s">
        <v>2044</v>
      </c>
      <c r="B74" s="36" t="str">
        <f t="shared" si="5"/>
        <v>G01NHB01HT004-BT02</v>
      </c>
      <c r="C74" s="33" t="s">
        <v>2050</v>
      </c>
      <c r="D74" s="34" t="str">
        <f t="shared" si="6"/>
        <v>ELY1 GRP1 MOD4 TEMP2 ANALOG1</v>
      </c>
      <c r="E74" s="31">
        <f t="shared" si="7"/>
        <v>28</v>
      </c>
      <c r="F74" s="32" t="str">
        <f t="shared" si="8"/>
        <v>ELECTROLYSIS SYSTEM ELECTROLYSIS ARRAY 1 ELECTROLYZER SYSTEM MODULE GROUP 1 ELECTROLYSIS MODULES MODULE 4 TEMPERATURE MODULE OUTLET H2 ANALOG PROCESS SIGNAL</v>
      </c>
      <c r="G74" s="29" t="s">
        <v>1614</v>
      </c>
      <c r="H74" s="29" t="s">
        <v>1615</v>
      </c>
      <c r="I74" s="29" t="str">
        <f t="shared" si="9"/>
        <v>01</v>
      </c>
      <c r="J74" s="29" t="s">
        <v>1616</v>
      </c>
      <c r="K74" s="29" t="s">
        <v>1976</v>
      </c>
      <c r="L74" s="29" t="s">
        <v>1977</v>
      </c>
      <c r="M74" s="29" t="s">
        <v>1619</v>
      </c>
      <c r="N74" s="29" t="s">
        <v>1978</v>
      </c>
      <c r="O74" s="29" t="s">
        <v>2020</v>
      </c>
      <c r="P74" s="29" t="s">
        <v>2021</v>
      </c>
      <c r="Q74" s="29" t="s">
        <v>1838</v>
      </c>
      <c r="R74" s="29" t="s">
        <v>2046</v>
      </c>
      <c r="S74" s="29" t="s">
        <v>1791</v>
      </c>
      <c r="T74" s="29" t="s">
        <v>2027</v>
      </c>
      <c r="U74" s="29" t="s">
        <v>193</v>
      </c>
      <c r="V74" s="29" t="s">
        <v>1083</v>
      </c>
      <c r="W74" s="35" t="s">
        <v>1628</v>
      </c>
      <c r="X74" s="35" t="s">
        <v>1982</v>
      </c>
      <c r="Y74" s="35" t="s">
        <v>2047</v>
      </c>
      <c r="Z74" s="35" t="s">
        <v>1793</v>
      </c>
      <c r="AA74" s="35" t="s">
        <v>1666</v>
      </c>
      <c r="AB74" s="29" t="s">
        <v>1791</v>
      </c>
      <c r="AC74" s="35" t="s">
        <v>1633</v>
      </c>
      <c r="AD74" s="35" t="s">
        <v>1668</v>
      </c>
      <c r="AE74" s="35" t="s">
        <v>1668</v>
      </c>
      <c r="AF74" s="35" t="s">
        <v>1635</v>
      </c>
      <c r="AG74" s="35" t="s">
        <v>1670</v>
      </c>
      <c r="AI74" s="35"/>
      <c r="AJ74" s="35" t="s">
        <v>1671</v>
      </c>
      <c r="AK74" s="35" t="s">
        <v>1672</v>
      </c>
      <c r="AL74" s="29" t="s">
        <v>1720</v>
      </c>
      <c r="AM74" s="35" t="s">
        <v>1721</v>
      </c>
      <c r="AN74" s="35" t="s">
        <v>1967</v>
      </c>
      <c r="AO74" s="35"/>
      <c r="AP74" s="35"/>
      <c r="AQ74" s="35"/>
      <c r="AR74" s="29" t="s">
        <v>1756</v>
      </c>
      <c r="AS74" s="35"/>
      <c r="AT74" s="29" t="s">
        <v>1640</v>
      </c>
      <c r="AU74" s="35"/>
      <c r="AW74" s="35"/>
      <c r="AY74" s="35"/>
      <c r="AZ74" s="35"/>
      <c r="BA74" s="35"/>
      <c r="BB74" s="29" t="s">
        <v>1983</v>
      </c>
      <c r="BC74" s="29" t="s">
        <v>1900</v>
      </c>
      <c r="BF74" s="29" t="s">
        <v>2051</v>
      </c>
      <c r="BG74" s="29" t="s">
        <v>2052</v>
      </c>
      <c r="BH74" s="29" t="s">
        <v>1986</v>
      </c>
      <c r="BI74" s="35"/>
      <c r="BJ74" s="35"/>
      <c r="BK74" s="29" t="str" cm="1">
        <f t="array" ref="BK74">_xlfn.UNIQUE(MID(BB74,16,14))</f>
        <v>U012UNA01UH111</v>
      </c>
    </row>
    <row r="75" spans="1:63" x14ac:dyDescent="0.3">
      <c r="A75" s="29" t="s">
        <v>2053</v>
      </c>
      <c r="B75" s="36" t="str">
        <f t="shared" si="5"/>
        <v>G01NHB01KF001-BA01</v>
      </c>
      <c r="C75" s="33" t="s">
        <v>2054</v>
      </c>
      <c r="D75" s="34" t="str">
        <f t="shared" si="6"/>
        <v>ELY1 GRP1 CTRL U1 CELL VOLT1 ANALOG1</v>
      </c>
      <c r="E75" s="31">
        <f t="shared" si="7"/>
        <v>36</v>
      </c>
      <c r="F75" s="32" t="str">
        <f t="shared" si="8"/>
        <v>ELECTROLYSIS SYSTEM ELECTROLYSIS ARRAY 1 ELECTROLYZER SYSTEM MODULE GROUP 1 CONTROL UNITS CELL VOLTAGE MEASUREMENT CELL-VOLTAGE-MEASUREMENT - MODULE 1 CELL -VOLTAGE MODULE 1</v>
      </c>
      <c r="G75" s="29" t="s">
        <v>1614</v>
      </c>
      <c r="H75" s="29" t="s">
        <v>1615</v>
      </c>
      <c r="I75" s="29" t="str">
        <f t="shared" si="9"/>
        <v>01</v>
      </c>
      <c r="J75" s="29" t="s">
        <v>1616</v>
      </c>
      <c r="K75" s="29" t="s">
        <v>1976</v>
      </c>
      <c r="L75" s="29" t="s">
        <v>1977</v>
      </c>
      <c r="M75" s="29" t="s">
        <v>1619</v>
      </c>
      <c r="N75" s="29" t="s">
        <v>1978</v>
      </c>
      <c r="O75" s="29" t="s">
        <v>1771</v>
      </c>
      <c r="P75" s="29" t="s">
        <v>2055</v>
      </c>
      <c r="Q75" s="29" t="s">
        <v>1623</v>
      </c>
      <c r="R75" s="29" t="s">
        <v>2056</v>
      </c>
      <c r="S75" s="29" t="s">
        <v>2057</v>
      </c>
      <c r="T75" s="29" t="s">
        <v>2058</v>
      </c>
      <c r="U75" s="29" t="s">
        <v>193</v>
      </c>
      <c r="V75" s="29" t="s">
        <v>2059</v>
      </c>
      <c r="W75" s="35" t="s">
        <v>1628</v>
      </c>
      <c r="X75" s="35" t="s">
        <v>1982</v>
      </c>
      <c r="Y75" s="35" t="s">
        <v>1775</v>
      </c>
      <c r="Z75" s="35" t="s">
        <v>2060</v>
      </c>
      <c r="AA75" s="35" t="s">
        <v>1666</v>
      </c>
      <c r="AB75" s="29" t="s">
        <v>2061</v>
      </c>
      <c r="AC75" s="35" t="s">
        <v>1633</v>
      </c>
      <c r="AD75" s="35" t="s">
        <v>2062</v>
      </c>
      <c r="AE75" s="35" t="s">
        <v>2062</v>
      </c>
      <c r="AF75" s="35" t="s">
        <v>1669</v>
      </c>
      <c r="AG75" s="35" t="s">
        <v>1728</v>
      </c>
      <c r="AI75" s="35"/>
      <c r="AJ75" s="35" t="s">
        <v>1671</v>
      </c>
      <c r="AK75" s="35" t="s">
        <v>1672</v>
      </c>
      <c r="AL75" s="29" t="s">
        <v>2063</v>
      </c>
      <c r="AM75" s="35" t="s">
        <v>1867</v>
      </c>
      <c r="AN75" s="35" t="s">
        <v>2064</v>
      </c>
      <c r="AO75" s="35"/>
      <c r="AP75" s="35"/>
      <c r="AQ75" s="35"/>
      <c r="AR75" s="29" t="s">
        <v>1756</v>
      </c>
      <c r="AS75" s="35"/>
      <c r="AT75" s="29" t="s">
        <v>1640</v>
      </c>
      <c r="AU75" s="35"/>
      <c r="AV75" s="29" t="s">
        <v>1641</v>
      </c>
      <c r="AW75" s="35"/>
      <c r="AX75" s="29" t="s">
        <v>1674</v>
      </c>
      <c r="AY75" s="35"/>
      <c r="AZ75" s="35"/>
      <c r="BA75" s="35"/>
      <c r="BB75" s="29" t="s">
        <v>2065</v>
      </c>
      <c r="BC75" s="29" t="s">
        <v>2066</v>
      </c>
      <c r="BF75" s="29" t="s">
        <v>1619</v>
      </c>
      <c r="BG75" s="29" t="s">
        <v>2067</v>
      </c>
      <c r="BH75" s="29" t="s">
        <v>1986</v>
      </c>
      <c r="BI75" s="35"/>
      <c r="BJ75" s="35"/>
      <c r="BK75" s="29" t="str" cm="1">
        <f t="array" ref="BK75">_xlfn.UNIQUE(MID(BB75,16,14))</f>
        <v>U012UNA01UH112</v>
      </c>
    </row>
    <row r="76" spans="1:63" x14ac:dyDescent="0.3">
      <c r="A76" s="29" t="s">
        <v>2053</v>
      </c>
      <c r="B76" s="36" t="str">
        <f t="shared" si="5"/>
        <v>G01NHB01KF001-BA02</v>
      </c>
      <c r="C76" s="33" t="s">
        <v>2068</v>
      </c>
      <c r="D76" s="34" t="str">
        <f t="shared" si="6"/>
        <v>ELY1 GRP1 CTRL U1 CELL VOLT2 ANALOG1</v>
      </c>
      <c r="E76" s="31">
        <f t="shared" si="7"/>
        <v>36</v>
      </c>
      <c r="F76" s="32" t="str">
        <f t="shared" si="8"/>
        <v>ELECTROLYSIS SYSTEM ELECTROLYSIS ARRAY 1 ELECTROLYZER SYSTEM MODULE GROUP 1 CONTROL UNITS CELL VOLTAGE MEASUREMENT CELL-VOLTAGE-MEASUREMENT - MODULE 2 CELL -VOLTAGE MODULE 2</v>
      </c>
      <c r="G76" s="29" t="s">
        <v>1614</v>
      </c>
      <c r="H76" s="29" t="s">
        <v>1615</v>
      </c>
      <c r="I76" s="29" t="str">
        <f t="shared" si="9"/>
        <v>01</v>
      </c>
      <c r="J76" s="29" t="s">
        <v>1616</v>
      </c>
      <c r="K76" s="29" t="s">
        <v>1976</v>
      </c>
      <c r="L76" s="29" t="s">
        <v>1977</v>
      </c>
      <c r="M76" s="29" t="s">
        <v>1619</v>
      </c>
      <c r="N76" s="29" t="s">
        <v>1978</v>
      </c>
      <c r="O76" s="29" t="s">
        <v>1771</v>
      </c>
      <c r="P76" s="29" t="s">
        <v>2055</v>
      </c>
      <c r="Q76" s="29" t="s">
        <v>1623</v>
      </c>
      <c r="R76" s="29" t="s">
        <v>2056</v>
      </c>
      <c r="S76" s="29" t="s">
        <v>2069</v>
      </c>
      <c r="T76" s="29" t="s">
        <v>2070</v>
      </c>
      <c r="U76" s="29" t="s">
        <v>193</v>
      </c>
      <c r="V76" s="29" t="s">
        <v>2071</v>
      </c>
      <c r="W76" s="35" t="s">
        <v>1628</v>
      </c>
      <c r="X76" s="35" t="s">
        <v>1982</v>
      </c>
      <c r="Y76" s="35" t="s">
        <v>1775</v>
      </c>
      <c r="Z76" s="35" t="s">
        <v>2072</v>
      </c>
      <c r="AA76" s="35" t="s">
        <v>1666</v>
      </c>
      <c r="AB76" s="29" t="s">
        <v>2073</v>
      </c>
      <c r="AC76" s="35" t="s">
        <v>1633</v>
      </c>
      <c r="AD76" s="35" t="s">
        <v>2062</v>
      </c>
      <c r="AE76" s="35" t="s">
        <v>2062</v>
      </c>
      <c r="AF76" s="35" t="s">
        <v>1669</v>
      </c>
      <c r="AG76" s="35" t="s">
        <v>1728</v>
      </c>
      <c r="AI76" s="35"/>
      <c r="AJ76" s="35" t="s">
        <v>1671</v>
      </c>
      <c r="AK76" s="35" t="s">
        <v>1672</v>
      </c>
      <c r="AL76" s="29" t="s">
        <v>2063</v>
      </c>
      <c r="AM76" s="35" t="s">
        <v>1867</v>
      </c>
      <c r="AN76" s="35" t="s">
        <v>2064</v>
      </c>
      <c r="AO76" s="35"/>
      <c r="AP76" s="35"/>
      <c r="AQ76" s="35"/>
      <c r="AR76" s="29" t="s">
        <v>1756</v>
      </c>
      <c r="AS76" s="35"/>
      <c r="AT76" s="29" t="s">
        <v>1640</v>
      </c>
      <c r="AU76" s="35"/>
      <c r="AV76" s="29" t="s">
        <v>1641</v>
      </c>
      <c r="AW76" s="35"/>
      <c r="AX76" s="29" t="s">
        <v>1674</v>
      </c>
      <c r="AY76" s="35"/>
      <c r="AZ76" s="35"/>
      <c r="BA76" s="35"/>
      <c r="BB76" s="29" t="s">
        <v>2065</v>
      </c>
      <c r="BC76" s="29" t="s">
        <v>2066</v>
      </c>
      <c r="BF76" s="29" t="s">
        <v>1905</v>
      </c>
      <c r="BG76" s="29" t="s">
        <v>2067</v>
      </c>
      <c r="BH76" s="29" t="s">
        <v>1986</v>
      </c>
      <c r="BI76" s="35"/>
      <c r="BJ76" s="35"/>
      <c r="BK76" s="29" t="str" cm="1">
        <f t="array" ref="BK76">_xlfn.UNIQUE(MID(BB76,16,14))</f>
        <v>U012UNA01UH112</v>
      </c>
    </row>
    <row r="77" spans="1:63" x14ac:dyDescent="0.3">
      <c r="A77" s="29" t="s">
        <v>2053</v>
      </c>
      <c r="B77" s="36" t="str">
        <f t="shared" si="5"/>
        <v>G01NHB01KF001-BA03</v>
      </c>
      <c r="C77" s="33" t="s">
        <v>2074</v>
      </c>
      <c r="D77" s="34" t="str">
        <f t="shared" si="6"/>
        <v>ELY1 GRP1 CTRL U1 CELL VOLT3 ANALOG1</v>
      </c>
      <c r="E77" s="31">
        <f t="shared" si="7"/>
        <v>36</v>
      </c>
      <c r="F77" s="32" t="str">
        <f t="shared" si="8"/>
        <v>ELECTROLYSIS SYSTEM ELECTROLYSIS ARRAY 1 ELECTROLYZER SYSTEM MODULE GROUP 1 CONTROL UNITS CELL VOLTAGE MEASUREMENT CELL-VOLTAGE-MEASUREMENT - MODULE 3 CELL -VOLTAGE MODULE 3</v>
      </c>
      <c r="G77" s="29" t="s">
        <v>1614</v>
      </c>
      <c r="H77" s="29" t="s">
        <v>1615</v>
      </c>
      <c r="I77" s="29" t="str">
        <f t="shared" si="9"/>
        <v>01</v>
      </c>
      <c r="J77" s="29" t="s">
        <v>1616</v>
      </c>
      <c r="K77" s="29" t="s">
        <v>1976</v>
      </c>
      <c r="L77" s="29" t="s">
        <v>1977</v>
      </c>
      <c r="M77" s="29" t="s">
        <v>1619</v>
      </c>
      <c r="N77" s="29" t="s">
        <v>1978</v>
      </c>
      <c r="O77" s="29" t="s">
        <v>1771</v>
      </c>
      <c r="P77" s="29" t="s">
        <v>2055</v>
      </c>
      <c r="Q77" s="29" t="s">
        <v>1623</v>
      </c>
      <c r="R77" s="29" t="s">
        <v>2056</v>
      </c>
      <c r="S77" s="29" t="s">
        <v>2075</v>
      </c>
      <c r="T77" s="29" t="s">
        <v>2076</v>
      </c>
      <c r="U77" s="29" t="s">
        <v>193</v>
      </c>
      <c r="V77" s="29" t="s">
        <v>2077</v>
      </c>
      <c r="W77" s="35" t="s">
        <v>1628</v>
      </c>
      <c r="X77" s="35" t="s">
        <v>1982</v>
      </c>
      <c r="Y77" s="35" t="s">
        <v>1775</v>
      </c>
      <c r="Z77" s="35" t="s">
        <v>2078</v>
      </c>
      <c r="AA77" s="35" t="s">
        <v>1666</v>
      </c>
      <c r="AB77" s="29" t="s">
        <v>2079</v>
      </c>
      <c r="AC77" s="35" t="s">
        <v>1633</v>
      </c>
      <c r="AD77" s="35" t="s">
        <v>2062</v>
      </c>
      <c r="AE77" s="35" t="s">
        <v>2062</v>
      </c>
      <c r="AF77" s="35" t="s">
        <v>1669</v>
      </c>
      <c r="AG77" s="35" t="s">
        <v>1728</v>
      </c>
      <c r="AI77" s="35"/>
      <c r="AJ77" s="35" t="s">
        <v>1671</v>
      </c>
      <c r="AK77" s="35" t="s">
        <v>1672</v>
      </c>
      <c r="AL77" s="29" t="s">
        <v>2063</v>
      </c>
      <c r="AM77" s="35" t="s">
        <v>1867</v>
      </c>
      <c r="AN77" s="35" t="s">
        <v>2064</v>
      </c>
      <c r="AO77" s="35"/>
      <c r="AP77" s="35"/>
      <c r="AQ77" s="35"/>
      <c r="AR77" s="29" t="s">
        <v>1756</v>
      </c>
      <c r="AS77" s="35"/>
      <c r="AT77" s="29" t="s">
        <v>1640</v>
      </c>
      <c r="AU77" s="35"/>
      <c r="AV77" s="29" t="s">
        <v>1641</v>
      </c>
      <c r="AW77" s="35"/>
      <c r="AX77" s="29" t="s">
        <v>1674</v>
      </c>
      <c r="AY77" s="35"/>
      <c r="AZ77" s="35"/>
      <c r="BA77" s="35"/>
      <c r="BB77" s="29" t="s">
        <v>2080</v>
      </c>
      <c r="BC77" s="29" t="s">
        <v>2066</v>
      </c>
      <c r="BF77" s="29" t="s">
        <v>1619</v>
      </c>
      <c r="BG77" s="29" t="s">
        <v>2067</v>
      </c>
      <c r="BH77" s="29" t="s">
        <v>1986</v>
      </c>
      <c r="BI77" s="35"/>
      <c r="BJ77" s="35"/>
      <c r="BK77" s="29" t="str" cm="1">
        <f t="array" ref="BK77">_xlfn.UNIQUE(MID(BB77,16,14))</f>
        <v>U012UNA01UH112</v>
      </c>
    </row>
    <row r="78" spans="1:63" x14ac:dyDescent="0.3">
      <c r="A78" s="29" t="s">
        <v>2053</v>
      </c>
      <c r="B78" s="36" t="str">
        <f t="shared" si="5"/>
        <v>G01NHB01KF001-BA04</v>
      </c>
      <c r="C78" s="33" t="s">
        <v>2081</v>
      </c>
      <c r="D78" s="34" t="str">
        <f t="shared" si="6"/>
        <v>ELY1 GRP1 CTRL U1 CELL VOLT4 ANALOG1</v>
      </c>
      <c r="E78" s="31">
        <f t="shared" si="7"/>
        <v>36</v>
      </c>
      <c r="F78" s="32" t="str">
        <f t="shared" si="8"/>
        <v>ELECTROLYSIS SYSTEM ELECTROLYSIS ARRAY 1 ELECTROLYZER SYSTEM MODULE GROUP 1 CONTROL UNITS CELL VOLTAGE MEASUREMENT CELL-VOLTAGE-MEASUREMENT - MODULE 4 CELL -VOLTAGE MODULE 4</v>
      </c>
      <c r="G78" s="29" t="s">
        <v>1614</v>
      </c>
      <c r="H78" s="29" t="s">
        <v>1615</v>
      </c>
      <c r="I78" s="29" t="str">
        <f t="shared" si="9"/>
        <v>01</v>
      </c>
      <c r="J78" s="29" t="s">
        <v>1616</v>
      </c>
      <c r="K78" s="29" t="s">
        <v>1976</v>
      </c>
      <c r="L78" s="29" t="s">
        <v>1977</v>
      </c>
      <c r="M78" s="29" t="s">
        <v>1619</v>
      </c>
      <c r="N78" s="29" t="s">
        <v>1978</v>
      </c>
      <c r="O78" s="29" t="s">
        <v>1771</v>
      </c>
      <c r="P78" s="29" t="s">
        <v>2055</v>
      </c>
      <c r="Q78" s="29" t="s">
        <v>1623</v>
      </c>
      <c r="R78" s="29" t="s">
        <v>2056</v>
      </c>
      <c r="S78" s="29" t="s">
        <v>2082</v>
      </c>
      <c r="T78" s="29" t="s">
        <v>2083</v>
      </c>
      <c r="U78" s="29" t="s">
        <v>193</v>
      </c>
      <c r="V78" s="29" t="s">
        <v>2084</v>
      </c>
      <c r="W78" s="35" t="s">
        <v>1628</v>
      </c>
      <c r="X78" s="35" t="s">
        <v>1982</v>
      </c>
      <c r="Y78" s="35" t="s">
        <v>1775</v>
      </c>
      <c r="Z78" s="35" t="s">
        <v>2085</v>
      </c>
      <c r="AA78" s="35" t="s">
        <v>1666</v>
      </c>
      <c r="AB78" s="29" t="s">
        <v>2086</v>
      </c>
      <c r="AC78" s="35" t="s">
        <v>1633</v>
      </c>
      <c r="AD78" s="35" t="s">
        <v>2062</v>
      </c>
      <c r="AE78" s="35" t="s">
        <v>2062</v>
      </c>
      <c r="AF78" s="35" t="s">
        <v>1669</v>
      </c>
      <c r="AG78" s="35" t="s">
        <v>1728</v>
      </c>
      <c r="AI78" s="35"/>
      <c r="AJ78" s="35" t="s">
        <v>1671</v>
      </c>
      <c r="AK78" s="35" t="s">
        <v>1672</v>
      </c>
      <c r="AL78" s="29" t="s">
        <v>2063</v>
      </c>
      <c r="AM78" s="35" t="s">
        <v>1867</v>
      </c>
      <c r="AN78" s="35" t="s">
        <v>2064</v>
      </c>
      <c r="AO78" s="35"/>
      <c r="AP78" s="35"/>
      <c r="AQ78" s="35"/>
      <c r="AR78" s="29" t="s">
        <v>1756</v>
      </c>
      <c r="AS78" s="35"/>
      <c r="AT78" s="29" t="s">
        <v>1640</v>
      </c>
      <c r="AU78" s="35"/>
      <c r="AV78" s="29" t="s">
        <v>1641</v>
      </c>
      <c r="AW78" s="35"/>
      <c r="AX78" s="29" t="s">
        <v>1674</v>
      </c>
      <c r="AY78" s="35"/>
      <c r="AZ78" s="35"/>
      <c r="BA78" s="35"/>
      <c r="BB78" s="29" t="s">
        <v>2080</v>
      </c>
      <c r="BC78" s="29" t="s">
        <v>2066</v>
      </c>
      <c r="BF78" s="29" t="s">
        <v>1905</v>
      </c>
      <c r="BG78" s="29" t="s">
        <v>2067</v>
      </c>
      <c r="BH78" s="29" t="s">
        <v>1986</v>
      </c>
      <c r="BI78" s="35"/>
      <c r="BJ78" s="35"/>
      <c r="BK78" s="29" t="str" cm="1">
        <f t="array" ref="BK78">_xlfn.UNIQUE(MID(BB78,16,14))</f>
        <v>U012UNA01UH112</v>
      </c>
    </row>
    <row r="79" spans="1:63" x14ac:dyDescent="0.3">
      <c r="A79" s="29" t="s">
        <v>2087</v>
      </c>
      <c r="B79" s="36" t="str">
        <f t="shared" si="5"/>
        <v>G01NHB02EQ001-BQ01</v>
      </c>
      <c r="C79" s="33" t="s">
        <v>2088</v>
      </c>
      <c r="D79" s="34" t="str">
        <f t="shared" si="6"/>
        <v>ELY1 GRP2 COOL QUAL1 ANALOG1</v>
      </c>
      <c r="E79" s="31">
        <f t="shared" si="7"/>
        <v>28</v>
      </c>
      <c r="F79" s="32" t="str">
        <f t="shared" si="8"/>
        <v>ELECTROLYSIS SYSTEM ELECTROLYSIS ARRAY 1 ELECTROLYZER SYSTEM MODULE GROUP 2 HEAT EXCHANGING SYSTEMS HEAT EXCHANGING SYSTEM 1 CONDUCTIVITY WP H2 ANALOG PROCESS SIGNAL</v>
      </c>
      <c r="G79" s="29" t="s">
        <v>1614</v>
      </c>
      <c r="H79" s="29" t="s">
        <v>1615</v>
      </c>
      <c r="I79" s="29" t="str">
        <f t="shared" si="9"/>
        <v>01</v>
      </c>
      <c r="J79" s="29" t="s">
        <v>1616</v>
      </c>
      <c r="K79" s="29" t="s">
        <v>1976</v>
      </c>
      <c r="L79" s="29" t="s">
        <v>1977</v>
      </c>
      <c r="M79" s="29" t="s">
        <v>1905</v>
      </c>
      <c r="N79" s="29" t="s">
        <v>2089</v>
      </c>
      <c r="O79" s="29" t="s">
        <v>1894</v>
      </c>
      <c r="P79" s="29" t="s">
        <v>1979</v>
      </c>
      <c r="Q79" s="29" t="s">
        <v>1623</v>
      </c>
      <c r="R79" s="29" t="s">
        <v>1980</v>
      </c>
      <c r="S79" s="29" t="s">
        <v>1687</v>
      </c>
      <c r="T79" s="29" t="s">
        <v>1981</v>
      </c>
      <c r="U79" s="29" t="s">
        <v>193</v>
      </c>
      <c r="V79" s="29" t="s">
        <v>1083</v>
      </c>
      <c r="W79" s="35" t="s">
        <v>1628</v>
      </c>
      <c r="X79" s="35" t="s">
        <v>2090</v>
      </c>
      <c r="Y79" s="35" t="s">
        <v>1898</v>
      </c>
      <c r="Z79" s="35" t="s">
        <v>1689</v>
      </c>
      <c r="AA79" s="35" t="s">
        <v>1666</v>
      </c>
      <c r="AB79" s="29" t="s">
        <v>1687</v>
      </c>
      <c r="AC79" s="35" t="s">
        <v>1633</v>
      </c>
      <c r="AD79" s="35" t="s">
        <v>1668</v>
      </c>
      <c r="AE79" s="35" t="s">
        <v>1668</v>
      </c>
      <c r="AF79" s="35" t="s">
        <v>1635</v>
      </c>
      <c r="AG79" s="35" t="s">
        <v>1670</v>
      </c>
      <c r="AI79" s="35"/>
      <c r="AJ79" s="35" t="s">
        <v>1671</v>
      </c>
      <c r="AK79" s="35" t="s">
        <v>1672</v>
      </c>
      <c r="AL79" s="29" t="s">
        <v>1671</v>
      </c>
      <c r="AM79" s="35" t="s">
        <v>1702</v>
      </c>
      <c r="AN79" s="35" t="s">
        <v>1703</v>
      </c>
      <c r="AO79" s="35"/>
      <c r="AP79" s="35"/>
      <c r="AQ79" s="35"/>
      <c r="AR79" s="29" t="s">
        <v>1756</v>
      </c>
      <c r="AS79" s="35"/>
      <c r="AT79" s="29" t="s">
        <v>1640</v>
      </c>
      <c r="AU79" s="35"/>
      <c r="AW79" s="35"/>
      <c r="AY79" s="35"/>
      <c r="AZ79" s="35"/>
      <c r="BA79" s="35"/>
      <c r="BB79" s="29" t="s">
        <v>2091</v>
      </c>
      <c r="BC79" s="29" t="s">
        <v>1900</v>
      </c>
      <c r="BD79" s="29" t="s">
        <v>1804</v>
      </c>
      <c r="BE79" s="29" t="s">
        <v>1984</v>
      </c>
      <c r="BF79" s="29" t="s">
        <v>1619</v>
      </c>
      <c r="BG79" s="29" t="s">
        <v>2092</v>
      </c>
      <c r="BH79" s="29" t="s">
        <v>2093</v>
      </c>
      <c r="BI79" s="35"/>
      <c r="BJ79" s="35"/>
      <c r="BK79" s="29" t="str" cm="1">
        <f t="array" ref="BK79">_xlfn.UNIQUE(MID(BB79,16,14))</f>
        <v>U012UNA01UH121</v>
      </c>
    </row>
    <row r="80" spans="1:63" x14ac:dyDescent="0.3">
      <c r="A80" s="29" t="s">
        <v>2087</v>
      </c>
      <c r="B80" s="36" t="str">
        <f t="shared" si="5"/>
        <v>G01NHB02EQ001-BQ01</v>
      </c>
      <c r="C80" s="33" t="s">
        <v>2094</v>
      </c>
      <c r="D80" s="34" t="str">
        <f t="shared" si="6"/>
        <v>ELY1 GRP2 COOL QUAL1 ANALOG2</v>
      </c>
      <c r="E80" s="31">
        <f t="shared" si="7"/>
        <v>28</v>
      </c>
      <c r="F80" s="32" t="str">
        <f t="shared" si="8"/>
        <v>ELECTROLYSIS SYSTEM ELECTROLYSIS ARRAY 1 ELECTROLYZER SYSTEM MODULE GROUP 2 HEAT EXCHANGING SYSTEMS HEAT EXCHANGING SYSTEM 1 CONDUCTIVITY WP H2 ANALOG PROCESS SIGNAL</v>
      </c>
      <c r="G80" s="29" t="s">
        <v>1614</v>
      </c>
      <c r="H80" s="29" t="s">
        <v>1615</v>
      </c>
      <c r="I80" s="29" t="str">
        <f t="shared" si="9"/>
        <v>01</v>
      </c>
      <c r="J80" s="29" t="s">
        <v>1616</v>
      </c>
      <c r="K80" s="29" t="s">
        <v>1976</v>
      </c>
      <c r="L80" s="29" t="s">
        <v>1977</v>
      </c>
      <c r="M80" s="29" t="s">
        <v>1905</v>
      </c>
      <c r="N80" s="29" t="s">
        <v>2089</v>
      </c>
      <c r="O80" s="29" t="s">
        <v>1894</v>
      </c>
      <c r="P80" s="29" t="s">
        <v>1979</v>
      </c>
      <c r="Q80" s="29" t="s">
        <v>1623</v>
      </c>
      <c r="R80" s="29" t="s">
        <v>1980</v>
      </c>
      <c r="S80" s="29" t="s">
        <v>1687</v>
      </c>
      <c r="T80" s="29" t="s">
        <v>1981</v>
      </c>
      <c r="U80" s="29" t="s">
        <v>905</v>
      </c>
      <c r="V80" s="29" t="s">
        <v>1083</v>
      </c>
      <c r="W80" s="35" t="s">
        <v>1628</v>
      </c>
      <c r="X80" s="35" t="s">
        <v>2090</v>
      </c>
      <c r="Y80" s="35" t="s">
        <v>1898</v>
      </c>
      <c r="Z80" s="35" t="s">
        <v>1689</v>
      </c>
      <c r="AA80" s="35" t="s">
        <v>1705</v>
      </c>
      <c r="AB80" s="29" t="s">
        <v>1687</v>
      </c>
      <c r="AC80" s="35" t="s">
        <v>1633</v>
      </c>
      <c r="AD80" s="35" t="s">
        <v>1668</v>
      </c>
      <c r="AE80" s="35" t="s">
        <v>1668</v>
      </c>
      <c r="AF80" s="35" t="s">
        <v>1635</v>
      </c>
      <c r="AG80" s="35" t="s">
        <v>1670</v>
      </c>
      <c r="AI80" s="35"/>
      <c r="AJ80" s="35" t="s">
        <v>1671</v>
      </c>
      <c r="AK80" s="35" t="s">
        <v>1672</v>
      </c>
      <c r="AL80" s="29" t="s">
        <v>1706</v>
      </c>
      <c r="AM80" s="35" t="s">
        <v>1702</v>
      </c>
      <c r="AN80" s="35" t="s">
        <v>1703</v>
      </c>
      <c r="AO80" s="35"/>
      <c r="AP80" s="35"/>
      <c r="AQ80" s="35"/>
      <c r="AS80" s="35"/>
      <c r="AU80" s="35"/>
      <c r="AV80" s="29" t="s">
        <v>1641</v>
      </c>
      <c r="AW80" s="35"/>
      <c r="AX80" s="29" t="s">
        <v>1674</v>
      </c>
      <c r="AY80" s="35"/>
      <c r="AZ80" s="35"/>
      <c r="BA80" s="35"/>
      <c r="BB80" s="29" t="s">
        <v>2091</v>
      </c>
      <c r="BC80" s="29" t="s">
        <v>1900</v>
      </c>
      <c r="BD80" s="29" t="s">
        <v>1918</v>
      </c>
      <c r="BE80" s="29" t="s">
        <v>1988</v>
      </c>
      <c r="BF80" s="29" t="s">
        <v>1905</v>
      </c>
      <c r="BG80" s="29" t="s">
        <v>2092</v>
      </c>
      <c r="BH80" s="29" t="s">
        <v>2093</v>
      </c>
      <c r="BI80" s="35"/>
      <c r="BJ80" s="35"/>
      <c r="BK80" s="29" t="str" cm="1">
        <f t="array" ref="BK80">_xlfn.UNIQUE(MID(BB80,16,14))</f>
        <v>U012UNA01UH121</v>
      </c>
    </row>
    <row r="81" spans="1:63" x14ac:dyDescent="0.3">
      <c r="A81" s="29" t="s">
        <v>2087</v>
      </c>
      <c r="B81" s="36" t="str">
        <f t="shared" si="5"/>
        <v>G01NHB02EQ001-BQ02</v>
      </c>
      <c r="C81" s="33" t="s">
        <v>2095</v>
      </c>
      <c r="D81" s="34" t="str">
        <f t="shared" si="6"/>
        <v>ELY1 GRP2 COOL QUAL2 ANALOG1</v>
      </c>
      <c r="E81" s="31">
        <f t="shared" si="7"/>
        <v>28</v>
      </c>
      <c r="F81" s="32" t="str">
        <f t="shared" si="8"/>
        <v>ELECTROLYSIS SYSTEM ELECTROLYSIS ARRAY 1 ELECTROLYZER SYSTEM MODULE GROUP 2 HEAT EXCHANGING SYSTEMS HEAT EXCHANGING SYSTEM 1 CONDUCTIVITY WP O2 ANALOG PROCESS SIGNAL</v>
      </c>
      <c r="G81" s="29" t="s">
        <v>1614</v>
      </c>
      <c r="H81" s="29" t="s">
        <v>1615</v>
      </c>
      <c r="I81" s="29" t="str">
        <f t="shared" si="9"/>
        <v>01</v>
      </c>
      <c r="J81" s="29" t="s">
        <v>1616</v>
      </c>
      <c r="K81" s="29" t="s">
        <v>1976</v>
      </c>
      <c r="L81" s="29" t="s">
        <v>1977</v>
      </c>
      <c r="M81" s="29" t="s">
        <v>1905</v>
      </c>
      <c r="N81" s="29" t="s">
        <v>2089</v>
      </c>
      <c r="O81" s="29" t="s">
        <v>1894</v>
      </c>
      <c r="P81" s="29" t="s">
        <v>1979</v>
      </c>
      <c r="Q81" s="29" t="s">
        <v>1623</v>
      </c>
      <c r="R81" s="29" t="s">
        <v>1980</v>
      </c>
      <c r="S81" s="29" t="s">
        <v>1990</v>
      </c>
      <c r="T81" s="29" t="s">
        <v>1991</v>
      </c>
      <c r="U81" s="29" t="s">
        <v>193</v>
      </c>
      <c r="V81" s="29" t="s">
        <v>1083</v>
      </c>
      <c r="W81" s="35" t="s">
        <v>1628</v>
      </c>
      <c r="X81" s="35" t="s">
        <v>2090</v>
      </c>
      <c r="Y81" s="35" t="s">
        <v>1898</v>
      </c>
      <c r="Z81" s="35" t="s">
        <v>1992</v>
      </c>
      <c r="AA81" s="35" t="s">
        <v>1666</v>
      </c>
      <c r="AB81" s="29" t="s">
        <v>1990</v>
      </c>
      <c r="AC81" s="35" t="s">
        <v>1633</v>
      </c>
      <c r="AD81" s="35" t="s">
        <v>1668</v>
      </c>
      <c r="AE81" s="35" t="s">
        <v>1668</v>
      </c>
      <c r="AF81" s="35" t="s">
        <v>1635</v>
      </c>
      <c r="AG81" s="35" t="s">
        <v>1670</v>
      </c>
      <c r="AI81" s="35"/>
      <c r="AJ81" s="35" t="s">
        <v>1671</v>
      </c>
      <c r="AK81" s="35" t="s">
        <v>1672</v>
      </c>
      <c r="AL81" s="29" t="s">
        <v>1671</v>
      </c>
      <c r="AM81" s="35" t="s">
        <v>1702</v>
      </c>
      <c r="AN81" s="35" t="s">
        <v>1703</v>
      </c>
      <c r="AO81" s="35"/>
      <c r="AP81" s="35"/>
      <c r="AQ81" s="35"/>
      <c r="AR81" s="29" t="s">
        <v>1756</v>
      </c>
      <c r="AS81" s="35"/>
      <c r="AT81" s="29" t="s">
        <v>1640</v>
      </c>
      <c r="AU81" s="35"/>
      <c r="AW81" s="35"/>
      <c r="AY81" s="35"/>
      <c r="AZ81" s="35"/>
      <c r="BA81" s="35"/>
      <c r="BB81" s="29" t="s">
        <v>2091</v>
      </c>
      <c r="BC81" s="29" t="s">
        <v>1900</v>
      </c>
      <c r="BD81" s="29" t="s">
        <v>1804</v>
      </c>
      <c r="BE81" s="29" t="s">
        <v>1984</v>
      </c>
      <c r="BF81" s="29" t="s">
        <v>1909</v>
      </c>
      <c r="BG81" s="29" t="s">
        <v>2096</v>
      </c>
      <c r="BH81" s="29" t="s">
        <v>2093</v>
      </c>
      <c r="BI81" s="35"/>
      <c r="BJ81" s="35"/>
      <c r="BK81" s="29" t="str" cm="1">
        <f t="array" ref="BK81">_xlfn.UNIQUE(MID(BB81,16,14))</f>
        <v>U012UNA01UH121</v>
      </c>
    </row>
    <row r="82" spans="1:63" x14ac:dyDescent="0.3">
      <c r="A82" s="29" t="s">
        <v>2087</v>
      </c>
      <c r="B82" s="36" t="str">
        <f t="shared" si="5"/>
        <v>G01NHB02EQ001-BQ02</v>
      </c>
      <c r="C82" s="33" t="s">
        <v>2097</v>
      </c>
      <c r="D82" s="34" t="str">
        <f t="shared" si="6"/>
        <v>ELY1 GRP2 COOL QUAL2 ANALOG2</v>
      </c>
      <c r="E82" s="31">
        <f t="shared" si="7"/>
        <v>28</v>
      </c>
      <c r="F82" s="32" t="str">
        <f t="shared" si="8"/>
        <v>ELECTROLYSIS SYSTEM ELECTROLYSIS ARRAY 1 ELECTROLYZER SYSTEM MODULE GROUP 2 HEAT EXCHANGING SYSTEMS HEAT EXCHANGING SYSTEM 1 CONDUCTIVITY WP O2 ANALOG PROCESS SIGNAL</v>
      </c>
      <c r="G82" s="29" t="s">
        <v>1614</v>
      </c>
      <c r="H82" s="29" t="s">
        <v>1615</v>
      </c>
      <c r="I82" s="29" t="str">
        <f t="shared" si="9"/>
        <v>01</v>
      </c>
      <c r="J82" s="29" t="s">
        <v>1616</v>
      </c>
      <c r="K82" s="29" t="s">
        <v>1976</v>
      </c>
      <c r="L82" s="29" t="s">
        <v>1977</v>
      </c>
      <c r="M82" s="29" t="s">
        <v>1905</v>
      </c>
      <c r="N82" s="29" t="s">
        <v>2089</v>
      </c>
      <c r="O82" s="29" t="s">
        <v>1894</v>
      </c>
      <c r="P82" s="29" t="s">
        <v>1979</v>
      </c>
      <c r="Q82" s="29" t="s">
        <v>1623</v>
      </c>
      <c r="R82" s="29" t="s">
        <v>1980</v>
      </c>
      <c r="S82" s="29" t="s">
        <v>1990</v>
      </c>
      <c r="T82" s="29" t="s">
        <v>1991</v>
      </c>
      <c r="U82" s="29" t="s">
        <v>905</v>
      </c>
      <c r="V82" s="29" t="s">
        <v>1083</v>
      </c>
      <c r="W82" s="35" t="s">
        <v>1628</v>
      </c>
      <c r="X82" s="35" t="s">
        <v>2090</v>
      </c>
      <c r="Y82" s="35" t="s">
        <v>1898</v>
      </c>
      <c r="Z82" s="35" t="s">
        <v>1992</v>
      </c>
      <c r="AA82" s="35" t="s">
        <v>1705</v>
      </c>
      <c r="AB82" s="29" t="s">
        <v>1990</v>
      </c>
      <c r="AC82" s="35" t="s">
        <v>1633</v>
      </c>
      <c r="AD82" s="35" t="s">
        <v>1668</v>
      </c>
      <c r="AE82" s="35" t="s">
        <v>1668</v>
      </c>
      <c r="AF82" s="35" t="s">
        <v>1635</v>
      </c>
      <c r="AG82" s="35" t="s">
        <v>1670</v>
      </c>
      <c r="AI82" s="35"/>
      <c r="AJ82" s="35" t="s">
        <v>1671</v>
      </c>
      <c r="AK82" s="35" t="s">
        <v>1672</v>
      </c>
      <c r="AL82" s="29" t="s">
        <v>1706</v>
      </c>
      <c r="AM82" s="35" t="s">
        <v>1702</v>
      </c>
      <c r="AN82" s="35" t="s">
        <v>1703</v>
      </c>
      <c r="AO82" s="35"/>
      <c r="AP82" s="35"/>
      <c r="AQ82" s="35"/>
      <c r="AS82" s="35"/>
      <c r="AU82" s="35"/>
      <c r="AV82" s="29" t="s">
        <v>1641</v>
      </c>
      <c r="AW82" s="35"/>
      <c r="AX82" s="29" t="s">
        <v>1674</v>
      </c>
      <c r="AY82" s="35"/>
      <c r="AZ82" s="35"/>
      <c r="BA82" s="35"/>
      <c r="BB82" s="29" t="s">
        <v>2091</v>
      </c>
      <c r="BC82" s="29" t="s">
        <v>1900</v>
      </c>
      <c r="BD82" s="29" t="s">
        <v>1918</v>
      </c>
      <c r="BE82" s="29" t="s">
        <v>1988</v>
      </c>
      <c r="BF82" s="29" t="s">
        <v>1915</v>
      </c>
      <c r="BG82" s="29" t="s">
        <v>2096</v>
      </c>
      <c r="BH82" s="29" t="s">
        <v>2093</v>
      </c>
      <c r="BI82" s="35"/>
      <c r="BJ82" s="35"/>
      <c r="BK82" s="29" t="str" cm="1">
        <f t="array" ref="BK82">_xlfn.UNIQUE(MID(BB82,16,14))</f>
        <v>U012UNA01UH121</v>
      </c>
    </row>
    <row r="83" spans="1:63" x14ac:dyDescent="0.3">
      <c r="A83" s="29" t="s">
        <v>2087</v>
      </c>
      <c r="B83" s="36" t="str">
        <f t="shared" si="5"/>
        <v>G01NHB02EQ001-BT01</v>
      </c>
      <c r="C83" s="33" t="s">
        <v>2098</v>
      </c>
      <c r="D83" s="34" t="str">
        <f t="shared" si="6"/>
        <v>ELY1 GRP2 COOL TEMP1 ANALOG1</v>
      </c>
      <c r="E83" s="31">
        <f t="shared" si="7"/>
        <v>28</v>
      </c>
      <c r="F83" s="32" t="str">
        <f t="shared" si="8"/>
        <v>ELECTROLYSIS SYSTEM ELECTROLYSIS ARRAY 1 ELECTROLYZER SYSTEM MODULE GROUP 2 HEAT EXCHANGING SYSTEMS HEAT EXCHANGING SYSTEM 1 TEMPERATURE WCR ANALOG PROCESS SIGNAL</v>
      </c>
      <c r="G83" s="29" t="s">
        <v>1614</v>
      </c>
      <c r="H83" s="29" t="s">
        <v>1615</v>
      </c>
      <c r="I83" s="29" t="str">
        <f t="shared" si="9"/>
        <v>01</v>
      </c>
      <c r="J83" s="29" t="s">
        <v>1616</v>
      </c>
      <c r="K83" s="29" t="s">
        <v>1976</v>
      </c>
      <c r="L83" s="29" t="s">
        <v>1977</v>
      </c>
      <c r="M83" s="29" t="s">
        <v>1905</v>
      </c>
      <c r="N83" s="29" t="s">
        <v>2089</v>
      </c>
      <c r="O83" s="29" t="s">
        <v>1894</v>
      </c>
      <c r="P83" s="29" t="s">
        <v>1979</v>
      </c>
      <c r="Q83" s="29" t="s">
        <v>1623</v>
      </c>
      <c r="R83" s="29" t="s">
        <v>1980</v>
      </c>
      <c r="S83" s="29" t="s">
        <v>1715</v>
      </c>
      <c r="T83" s="29" t="s">
        <v>1996</v>
      </c>
      <c r="U83" s="29" t="s">
        <v>193</v>
      </c>
      <c r="V83" s="29" t="s">
        <v>1083</v>
      </c>
      <c r="W83" s="35" t="s">
        <v>1628</v>
      </c>
      <c r="X83" s="35" t="s">
        <v>2090</v>
      </c>
      <c r="Y83" s="35" t="s">
        <v>1898</v>
      </c>
      <c r="Z83" s="35" t="s">
        <v>1719</v>
      </c>
      <c r="AA83" s="35" t="s">
        <v>1666</v>
      </c>
      <c r="AB83" s="29" t="s">
        <v>1715</v>
      </c>
      <c r="AC83" s="35" t="s">
        <v>1633</v>
      </c>
      <c r="AD83" s="35" t="s">
        <v>1668</v>
      </c>
      <c r="AE83" s="35" t="s">
        <v>1668</v>
      </c>
      <c r="AF83" s="35" t="s">
        <v>1635</v>
      </c>
      <c r="AG83" s="35" t="s">
        <v>1670</v>
      </c>
      <c r="AI83" s="35"/>
      <c r="AJ83" s="35" t="s">
        <v>1671</v>
      </c>
      <c r="AK83" s="35" t="s">
        <v>1672</v>
      </c>
      <c r="AL83" s="29" t="s">
        <v>1706</v>
      </c>
      <c r="AM83" s="35" t="s">
        <v>1721</v>
      </c>
      <c r="AN83" s="35" t="s">
        <v>1967</v>
      </c>
      <c r="AO83" s="35"/>
      <c r="AP83" s="35"/>
      <c r="AQ83" s="35"/>
      <c r="AS83" s="35"/>
      <c r="AU83" s="35"/>
      <c r="AW83" s="35"/>
      <c r="AY83" s="35"/>
      <c r="AZ83" s="35"/>
      <c r="BA83" s="35"/>
      <c r="BB83" s="29" t="s">
        <v>2091</v>
      </c>
      <c r="BC83" s="29" t="s">
        <v>1900</v>
      </c>
      <c r="BD83" s="29" t="s">
        <v>1804</v>
      </c>
      <c r="BE83" s="29" t="s">
        <v>1805</v>
      </c>
      <c r="BF83" s="29" t="s">
        <v>1919</v>
      </c>
      <c r="BG83" s="29" t="s">
        <v>2099</v>
      </c>
      <c r="BH83" s="29" t="s">
        <v>2093</v>
      </c>
      <c r="BI83" s="35"/>
      <c r="BJ83" s="35"/>
      <c r="BK83" s="29" t="str" cm="1">
        <f t="array" ref="BK83">_xlfn.UNIQUE(MID(BB83,16,14))</f>
        <v>U012UNA01UH121</v>
      </c>
    </row>
    <row r="84" spans="1:63" x14ac:dyDescent="0.3">
      <c r="A84" s="29" t="s">
        <v>2087</v>
      </c>
      <c r="B84" s="36" t="str">
        <f t="shared" si="5"/>
        <v>G01NHB02EQ001-BT02</v>
      </c>
      <c r="C84" s="33" t="s">
        <v>2100</v>
      </c>
      <c r="D84" s="34" t="str">
        <f t="shared" si="6"/>
        <v>ELY1 GRP2 COOL TEMP2 ANALOG1</v>
      </c>
      <c r="E84" s="31">
        <f t="shared" si="7"/>
        <v>28</v>
      </c>
      <c r="F84" s="32" t="str">
        <f t="shared" si="8"/>
        <v>ELECTROLYSIS SYSTEM ELECTROLYSIS ARRAY 1 ELECTROLYZER SYSTEM MODULE GROUP 2 HEAT EXCHANGING SYSTEMS HEAT EXCHANGING SYSTEM 1 TEMPERATURE WP H2 ANALOG PROCESS SIGNAL</v>
      </c>
      <c r="G84" s="29" t="s">
        <v>1614</v>
      </c>
      <c r="H84" s="29" t="s">
        <v>1615</v>
      </c>
      <c r="I84" s="29" t="str">
        <f t="shared" si="9"/>
        <v>01</v>
      </c>
      <c r="J84" s="29" t="s">
        <v>1616</v>
      </c>
      <c r="K84" s="29" t="s">
        <v>1976</v>
      </c>
      <c r="L84" s="29" t="s">
        <v>1977</v>
      </c>
      <c r="M84" s="29" t="s">
        <v>1905</v>
      </c>
      <c r="N84" s="29" t="s">
        <v>2089</v>
      </c>
      <c r="O84" s="29" t="s">
        <v>1894</v>
      </c>
      <c r="P84" s="29" t="s">
        <v>1979</v>
      </c>
      <c r="Q84" s="29" t="s">
        <v>1623</v>
      </c>
      <c r="R84" s="29" t="s">
        <v>1980</v>
      </c>
      <c r="S84" s="29" t="s">
        <v>1791</v>
      </c>
      <c r="T84" s="29" t="s">
        <v>1999</v>
      </c>
      <c r="U84" s="29" t="s">
        <v>193</v>
      </c>
      <c r="V84" s="29" t="s">
        <v>1083</v>
      </c>
      <c r="W84" s="35" t="s">
        <v>1628</v>
      </c>
      <c r="X84" s="35" t="s">
        <v>2090</v>
      </c>
      <c r="Y84" s="35" t="s">
        <v>1898</v>
      </c>
      <c r="Z84" s="35" t="s">
        <v>1793</v>
      </c>
      <c r="AA84" s="35" t="s">
        <v>1666</v>
      </c>
      <c r="AB84" s="29" t="s">
        <v>1791</v>
      </c>
      <c r="AC84" s="35" t="s">
        <v>1633</v>
      </c>
      <c r="AD84" s="35" t="s">
        <v>1668</v>
      </c>
      <c r="AE84" s="35" t="s">
        <v>1668</v>
      </c>
      <c r="AF84" s="35" t="s">
        <v>1635</v>
      </c>
      <c r="AG84" s="35" t="s">
        <v>1670</v>
      </c>
      <c r="AI84" s="35"/>
      <c r="AJ84" s="35" t="s">
        <v>1671</v>
      </c>
      <c r="AK84" s="35" t="s">
        <v>1638</v>
      </c>
      <c r="AL84" s="29" t="s">
        <v>1706</v>
      </c>
      <c r="AM84" s="35" t="s">
        <v>1721</v>
      </c>
      <c r="AN84" s="35" t="s">
        <v>1967</v>
      </c>
      <c r="AO84" s="35"/>
      <c r="AP84" s="35"/>
      <c r="AQ84" s="35"/>
      <c r="AS84" s="35"/>
      <c r="AT84" s="29" t="s">
        <v>2000</v>
      </c>
      <c r="AU84" s="35"/>
      <c r="AV84" s="29" t="s">
        <v>2001</v>
      </c>
      <c r="AW84" s="35"/>
      <c r="AY84" s="35"/>
      <c r="AZ84" s="35" t="s">
        <v>1642</v>
      </c>
      <c r="BA84" s="35" t="s">
        <v>2002</v>
      </c>
      <c r="BB84" s="29" t="s">
        <v>2003</v>
      </c>
      <c r="BC84" s="29" t="s">
        <v>2004</v>
      </c>
      <c r="BD84" s="29" t="s">
        <v>2005</v>
      </c>
      <c r="BE84" s="29" t="s">
        <v>2006</v>
      </c>
      <c r="BF84" s="29" t="s">
        <v>1909</v>
      </c>
      <c r="BG84" s="29" t="s">
        <v>2101</v>
      </c>
      <c r="BH84" s="29" t="s">
        <v>2093</v>
      </c>
      <c r="BI84" s="35"/>
      <c r="BJ84" s="35"/>
      <c r="BK84" s="29" t="str" cm="1">
        <f t="array" ref="BK84">_xlfn.UNIQUE(MID(BB84,16,14))</f>
        <v>U012UNA01UH100</v>
      </c>
    </row>
    <row r="85" spans="1:63" x14ac:dyDescent="0.3">
      <c r="A85" s="29" t="s">
        <v>2087</v>
      </c>
      <c r="B85" s="36" t="str">
        <f t="shared" si="5"/>
        <v>G01NHB02EQ001-BT03</v>
      </c>
      <c r="C85" s="33" t="s">
        <v>2102</v>
      </c>
      <c r="D85" s="34" t="str">
        <f t="shared" si="6"/>
        <v>ELY1 GRP2 COOL TEMP3 ANALOG1</v>
      </c>
      <c r="E85" s="31">
        <f t="shared" si="7"/>
        <v>28</v>
      </c>
      <c r="F85" s="32" t="str">
        <f t="shared" si="8"/>
        <v>ELECTROLYSIS SYSTEM ELECTROLYSIS ARRAY 1 ELECTROLYZER SYSTEM MODULE GROUP 2 HEAT EXCHANGING SYSTEMS HEAT EXCHANGING SYSTEM 1 TEMPERATURE WP O2 ANALOG PROCESS SIGNAL</v>
      </c>
      <c r="G85" s="29" t="s">
        <v>1614</v>
      </c>
      <c r="H85" s="29" t="s">
        <v>1615</v>
      </c>
      <c r="I85" s="29" t="str">
        <f t="shared" si="9"/>
        <v>01</v>
      </c>
      <c r="J85" s="29" t="s">
        <v>1616</v>
      </c>
      <c r="K85" s="29" t="s">
        <v>1976</v>
      </c>
      <c r="L85" s="29" t="s">
        <v>1977</v>
      </c>
      <c r="M85" s="29" t="s">
        <v>1905</v>
      </c>
      <c r="N85" s="29" t="s">
        <v>2089</v>
      </c>
      <c r="O85" s="29" t="s">
        <v>1894</v>
      </c>
      <c r="P85" s="29" t="s">
        <v>1979</v>
      </c>
      <c r="Q85" s="29" t="s">
        <v>1623</v>
      </c>
      <c r="R85" s="29" t="s">
        <v>1980</v>
      </c>
      <c r="S85" s="29" t="s">
        <v>1796</v>
      </c>
      <c r="T85" s="29" t="s">
        <v>2009</v>
      </c>
      <c r="U85" s="29" t="s">
        <v>193</v>
      </c>
      <c r="V85" s="29" t="s">
        <v>1083</v>
      </c>
      <c r="W85" s="35" t="s">
        <v>1628</v>
      </c>
      <c r="X85" s="35" t="s">
        <v>2090</v>
      </c>
      <c r="Y85" s="35" t="s">
        <v>1898</v>
      </c>
      <c r="Z85" s="35" t="s">
        <v>1798</v>
      </c>
      <c r="AA85" s="35" t="s">
        <v>1666</v>
      </c>
      <c r="AB85" s="29" t="s">
        <v>1796</v>
      </c>
      <c r="AC85" s="35" t="s">
        <v>1633</v>
      </c>
      <c r="AD85" s="35" t="s">
        <v>1668</v>
      </c>
      <c r="AE85" s="35" t="s">
        <v>1668</v>
      </c>
      <c r="AF85" s="35" t="s">
        <v>1635</v>
      </c>
      <c r="AG85" s="35" t="s">
        <v>1670</v>
      </c>
      <c r="AI85" s="35"/>
      <c r="AJ85" s="35" t="s">
        <v>1671</v>
      </c>
      <c r="AK85" s="35" t="s">
        <v>1638</v>
      </c>
      <c r="AL85" s="29" t="s">
        <v>1706</v>
      </c>
      <c r="AM85" s="35" t="s">
        <v>1721</v>
      </c>
      <c r="AN85" s="35" t="s">
        <v>1967</v>
      </c>
      <c r="AO85" s="35"/>
      <c r="AP85" s="35"/>
      <c r="AQ85" s="35"/>
      <c r="AS85" s="35"/>
      <c r="AT85" s="29" t="s">
        <v>2000</v>
      </c>
      <c r="AU85" s="35"/>
      <c r="AV85" s="29" t="s">
        <v>2001</v>
      </c>
      <c r="AW85" s="35"/>
      <c r="AY85" s="35"/>
      <c r="AZ85" s="35" t="s">
        <v>1642</v>
      </c>
      <c r="BA85" s="35" t="s">
        <v>2002</v>
      </c>
      <c r="BB85" s="29" t="s">
        <v>2003</v>
      </c>
      <c r="BC85" s="29" t="s">
        <v>2004</v>
      </c>
      <c r="BD85" s="29" t="s">
        <v>2010</v>
      </c>
      <c r="BE85" s="29" t="s">
        <v>2011</v>
      </c>
      <c r="BF85" s="29" t="s">
        <v>1915</v>
      </c>
      <c r="BG85" s="29" t="s">
        <v>2103</v>
      </c>
      <c r="BH85" s="29" t="s">
        <v>2093</v>
      </c>
      <c r="BI85" s="35"/>
      <c r="BJ85" s="35"/>
      <c r="BK85" s="29" t="str" cm="1">
        <f t="array" ref="BK85">_xlfn.UNIQUE(MID(BB85,16,14))</f>
        <v>U012UNA01UH100</v>
      </c>
    </row>
    <row r="86" spans="1:63" x14ac:dyDescent="0.3">
      <c r="A86" s="29" t="s">
        <v>2087</v>
      </c>
      <c r="B86" s="36" t="str">
        <f t="shared" si="5"/>
        <v>G01NHB02EQ001-QN01</v>
      </c>
      <c r="C86" s="33" t="s">
        <v>2104</v>
      </c>
      <c r="D86" s="34" t="str">
        <f t="shared" si="6"/>
        <v>ELY1 GRP2 COOL CV1 ANALOG1</v>
      </c>
      <c r="E86" s="31">
        <f t="shared" si="7"/>
        <v>26</v>
      </c>
      <c r="F86" s="32" t="str">
        <f t="shared" si="8"/>
        <v>ELECTROLYSIS SYSTEM ELECTROLYSIS ARRAY 1 ELECTROLYZER SYSTEM MODULE GROUP 2 HEAT EXCHANGING SYSTEMS HEAT EXCHANGING SYSTEM 1 COOLING WATER - CONTROL VALVE ANALOG PROCESS SIGNAL</v>
      </c>
      <c r="G86" s="29" t="s">
        <v>1614</v>
      </c>
      <c r="H86" s="29" t="s">
        <v>1615</v>
      </c>
      <c r="I86" s="29" t="str">
        <f t="shared" si="9"/>
        <v>01</v>
      </c>
      <c r="J86" s="29" t="s">
        <v>1616</v>
      </c>
      <c r="K86" s="29" t="s">
        <v>1976</v>
      </c>
      <c r="L86" s="29" t="s">
        <v>1977</v>
      </c>
      <c r="M86" s="29" t="s">
        <v>1905</v>
      </c>
      <c r="N86" s="29" t="s">
        <v>2089</v>
      </c>
      <c r="O86" s="29" t="s">
        <v>1894</v>
      </c>
      <c r="P86" s="29" t="s">
        <v>1979</v>
      </c>
      <c r="Q86" s="29" t="s">
        <v>1623</v>
      </c>
      <c r="R86" s="29" t="s">
        <v>1980</v>
      </c>
      <c r="S86" s="29" t="s">
        <v>1800</v>
      </c>
      <c r="T86" s="29" t="s">
        <v>2014</v>
      </c>
      <c r="U86" s="29" t="s">
        <v>193</v>
      </c>
      <c r="V86" s="29" t="s">
        <v>1083</v>
      </c>
      <c r="W86" s="35" t="s">
        <v>1628</v>
      </c>
      <c r="X86" s="35" t="s">
        <v>2090</v>
      </c>
      <c r="Y86" s="35" t="s">
        <v>1898</v>
      </c>
      <c r="Z86" s="35" t="s">
        <v>1802</v>
      </c>
      <c r="AA86" s="35" t="s">
        <v>1666</v>
      </c>
      <c r="AB86" s="29" t="s">
        <v>2015</v>
      </c>
      <c r="AC86" s="35" t="s">
        <v>1633</v>
      </c>
      <c r="AD86" s="35" t="s">
        <v>1668</v>
      </c>
      <c r="AE86" s="35" t="s">
        <v>1668</v>
      </c>
      <c r="AF86" s="35" t="s">
        <v>1635</v>
      </c>
      <c r="AG86" s="35" t="s">
        <v>1670</v>
      </c>
      <c r="AI86" s="35"/>
      <c r="AJ86" s="35" t="s">
        <v>1671</v>
      </c>
      <c r="AK86" s="35" t="s">
        <v>1672</v>
      </c>
      <c r="AL86" s="29" t="s">
        <v>1803</v>
      </c>
      <c r="AM86" s="35"/>
      <c r="AN86" s="35"/>
      <c r="AO86" s="35"/>
      <c r="AP86" s="35"/>
      <c r="AQ86" s="35"/>
      <c r="AS86" s="35"/>
      <c r="AU86" s="35"/>
      <c r="AW86" s="35"/>
      <c r="AY86" s="35"/>
      <c r="AZ86" s="35"/>
      <c r="BA86" s="35"/>
      <c r="BB86" s="29" t="s">
        <v>2091</v>
      </c>
      <c r="BC86" s="29" t="s">
        <v>1900</v>
      </c>
      <c r="BD86" s="29" t="s">
        <v>1804</v>
      </c>
      <c r="BE86" s="29" t="s">
        <v>1805</v>
      </c>
      <c r="BF86" s="29" t="s">
        <v>2016</v>
      </c>
      <c r="BG86" s="29" t="s">
        <v>2105</v>
      </c>
      <c r="BH86" s="29" t="s">
        <v>2093</v>
      </c>
      <c r="BI86" s="35"/>
      <c r="BJ86" s="35"/>
      <c r="BK86" s="29" t="str" cm="1">
        <f t="array" ref="BK86">_xlfn.UNIQUE(MID(BB86,16,14))</f>
        <v>U012UNA01UH121</v>
      </c>
    </row>
    <row r="87" spans="1:63" x14ac:dyDescent="0.3">
      <c r="A87" s="29" t="s">
        <v>2106</v>
      </c>
      <c r="B87" s="36" t="str">
        <f t="shared" si="5"/>
        <v>G01NHB02HT001-BT01</v>
      </c>
      <c r="C87" s="33" t="s">
        <v>2107</v>
      </c>
      <c r="D87" s="34" t="str">
        <f t="shared" si="6"/>
        <v>ELY1 GRP2 MOD1 TEMP1 ANALOG1</v>
      </c>
      <c r="E87" s="31">
        <f t="shared" si="7"/>
        <v>28</v>
      </c>
      <c r="F87" s="32" t="str">
        <f t="shared" si="8"/>
        <v>ELECTROLYSIS SYSTEM ELECTROLYSIS ARRAY 1 ELECTROLYZER SYSTEM MODULE GROUP 2 ELECTROLYSIS MODULES MODULE 1 TEMPERATURE MODULE OUTLET O2 ANALOG PROCESS SIGNAL</v>
      </c>
      <c r="G87" s="29" t="s">
        <v>1614</v>
      </c>
      <c r="H87" s="29" t="s">
        <v>1615</v>
      </c>
      <c r="I87" s="29" t="str">
        <f t="shared" si="9"/>
        <v>01</v>
      </c>
      <c r="J87" s="29" t="s">
        <v>1616</v>
      </c>
      <c r="K87" s="29" t="s">
        <v>1976</v>
      </c>
      <c r="L87" s="29" t="s">
        <v>1977</v>
      </c>
      <c r="M87" s="29" t="s">
        <v>1905</v>
      </c>
      <c r="N87" s="29" t="s">
        <v>2089</v>
      </c>
      <c r="O87" s="29" t="s">
        <v>2020</v>
      </c>
      <c r="P87" s="29" t="s">
        <v>2021</v>
      </c>
      <c r="Q87" s="29" t="s">
        <v>1623</v>
      </c>
      <c r="R87" s="29" t="s">
        <v>2022</v>
      </c>
      <c r="S87" s="29" t="s">
        <v>1715</v>
      </c>
      <c r="T87" s="29" t="s">
        <v>2023</v>
      </c>
      <c r="U87" s="29" t="s">
        <v>193</v>
      </c>
      <c r="V87" s="29" t="s">
        <v>1083</v>
      </c>
      <c r="W87" s="35" t="s">
        <v>1628</v>
      </c>
      <c r="X87" s="35" t="s">
        <v>2090</v>
      </c>
      <c r="Y87" s="35" t="s">
        <v>2024</v>
      </c>
      <c r="Z87" s="35" t="s">
        <v>1719</v>
      </c>
      <c r="AA87" s="35" t="s">
        <v>1666</v>
      </c>
      <c r="AB87" s="29" t="s">
        <v>1715</v>
      </c>
      <c r="AC87" s="35" t="s">
        <v>1633</v>
      </c>
      <c r="AD87" s="35" t="s">
        <v>1668</v>
      </c>
      <c r="AE87" s="35" t="s">
        <v>1668</v>
      </c>
      <c r="AF87" s="35" t="s">
        <v>1635</v>
      </c>
      <c r="AG87" s="35" t="s">
        <v>1670</v>
      </c>
      <c r="AI87" s="35"/>
      <c r="AJ87" s="35" t="s">
        <v>1671</v>
      </c>
      <c r="AK87" s="35" t="s">
        <v>1672</v>
      </c>
      <c r="AL87" s="29" t="s">
        <v>1720</v>
      </c>
      <c r="AM87" s="35" t="s">
        <v>1721</v>
      </c>
      <c r="AN87" s="35" t="s">
        <v>1967</v>
      </c>
      <c r="AO87" s="35"/>
      <c r="AP87" s="35"/>
      <c r="AQ87" s="35"/>
      <c r="AR87" s="29" t="s">
        <v>1756</v>
      </c>
      <c r="AS87" s="35"/>
      <c r="AT87" s="29" t="s">
        <v>1640</v>
      </c>
      <c r="AU87" s="35"/>
      <c r="AW87" s="35"/>
      <c r="AY87" s="35"/>
      <c r="AZ87" s="35"/>
      <c r="BA87" s="35"/>
      <c r="BB87" s="29" t="s">
        <v>2091</v>
      </c>
      <c r="BC87" s="29" t="s">
        <v>1900</v>
      </c>
      <c r="BD87" s="29" t="s">
        <v>1804</v>
      </c>
      <c r="BE87" s="29" t="s">
        <v>1805</v>
      </c>
      <c r="BF87" s="29" t="s">
        <v>1922</v>
      </c>
      <c r="BG87" s="29" t="s">
        <v>2108</v>
      </c>
      <c r="BH87" s="29" t="s">
        <v>2093</v>
      </c>
      <c r="BI87" s="35"/>
      <c r="BJ87" s="35"/>
      <c r="BK87" s="29" t="str" cm="1">
        <f t="array" ref="BK87">_xlfn.UNIQUE(MID(BB87,16,14))</f>
        <v>U012UNA01UH121</v>
      </c>
    </row>
    <row r="88" spans="1:63" x14ac:dyDescent="0.3">
      <c r="A88" s="29" t="s">
        <v>2106</v>
      </c>
      <c r="B88" s="36" t="str">
        <f t="shared" si="5"/>
        <v>G01NHB02HT001-BT02</v>
      </c>
      <c r="C88" s="33" t="s">
        <v>2109</v>
      </c>
      <c r="D88" s="34" t="str">
        <f t="shared" si="6"/>
        <v>ELY1 GRP2 MOD1 TEMP2 ANALOG1</v>
      </c>
      <c r="E88" s="31">
        <f t="shared" si="7"/>
        <v>28</v>
      </c>
      <c r="F88" s="32" t="str">
        <f t="shared" si="8"/>
        <v>ELECTROLYSIS SYSTEM ELECTROLYSIS ARRAY 1 ELECTROLYZER SYSTEM MODULE GROUP 2 ELECTROLYSIS MODULES MODULE 1 TEMPERATURE MODULE OUTLET H2 ANALOG PROCESS SIGNAL</v>
      </c>
      <c r="G88" s="29" t="s">
        <v>1614</v>
      </c>
      <c r="H88" s="29" t="s">
        <v>1615</v>
      </c>
      <c r="I88" s="29" t="str">
        <f t="shared" si="9"/>
        <v>01</v>
      </c>
      <c r="J88" s="29" t="s">
        <v>1616</v>
      </c>
      <c r="K88" s="29" t="s">
        <v>1976</v>
      </c>
      <c r="L88" s="29" t="s">
        <v>1977</v>
      </c>
      <c r="M88" s="29" t="s">
        <v>1905</v>
      </c>
      <c r="N88" s="29" t="s">
        <v>2089</v>
      </c>
      <c r="O88" s="29" t="s">
        <v>2020</v>
      </c>
      <c r="P88" s="29" t="s">
        <v>2021</v>
      </c>
      <c r="Q88" s="29" t="s">
        <v>1623</v>
      </c>
      <c r="R88" s="29" t="s">
        <v>2022</v>
      </c>
      <c r="S88" s="29" t="s">
        <v>1791</v>
      </c>
      <c r="T88" s="29" t="s">
        <v>2027</v>
      </c>
      <c r="U88" s="29" t="s">
        <v>193</v>
      </c>
      <c r="V88" s="29" t="s">
        <v>1083</v>
      </c>
      <c r="W88" s="35" t="s">
        <v>1628</v>
      </c>
      <c r="X88" s="35" t="s">
        <v>2090</v>
      </c>
      <c r="Y88" s="35" t="s">
        <v>2024</v>
      </c>
      <c r="Z88" s="35" t="s">
        <v>1793</v>
      </c>
      <c r="AA88" s="35" t="s">
        <v>1666</v>
      </c>
      <c r="AB88" s="29" t="s">
        <v>1791</v>
      </c>
      <c r="AC88" s="35" t="s">
        <v>1633</v>
      </c>
      <c r="AD88" s="35" t="s">
        <v>1668</v>
      </c>
      <c r="AE88" s="35" t="s">
        <v>1668</v>
      </c>
      <c r="AF88" s="35" t="s">
        <v>1635</v>
      </c>
      <c r="AG88" s="35" t="s">
        <v>1670</v>
      </c>
      <c r="AI88" s="35"/>
      <c r="AJ88" s="35" t="s">
        <v>1671</v>
      </c>
      <c r="AK88" s="35" t="s">
        <v>1672</v>
      </c>
      <c r="AL88" s="29" t="s">
        <v>1720</v>
      </c>
      <c r="AM88" s="35" t="s">
        <v>1721</v>
      </c>
      <c r="AN88" s="35" t="s">
        <v>1967</v>
      </c>
      <c r="AO88" s="35"/>
      <c r="AP88" s="35"/>
      <c r="AQ88" s="35"/>
      <c r="AR88" s="29" t="s">
        <v>1756</v>
      </c>
      <c r="AS88" s="35"/>
      <c r="AT88" s="29" t="s">
        <v>1640</v>
      </c>
      <c r="AU88" s="35"/>
      <c r="AW88" s="35"/>
      <c r="AY88" s="35"/>
      <c r="AZ88" s="35"/>
      <c r="BA88" s="35"/>
      <c r="BB88" s="29" t="s">
        <v>2091</v>
      </c>
      <c r="BC88" s="29" t="s">
        <v>1900</v>
      </c>
      <c r="BD88" s="29" t="s">
        <v>1804</v>
      </c>
      <c r="BE88" s="29" t="s">
        <v>1805</v>
      </c>
      <c r="BF88" s="29" t="s">
        <v>1931</v>
      </c>
      <c r="BG88" s="29" t="s">
        <v>2110</v>
      </c>
      <c r="BH88" s="29" t="s">
        <v>2093</v>
      </c>
      <c r="BI88" s="35"/>
      <c r="BJ88" s="35"/>
      <c r="BK88" s="29" t="str" cm="1">
        <f t="array" ref="BK88">_xlfn.UNIQUE(MID(BB88,16,14))</f>
        <v>U012UNA01UH121</v>
      </c>
    </row>
    <row r="89" spans="1:63" x14ac:dyDescent="0.3">
      <c r="A89" s="29" t="s">
        <v>2111</v>
      </c>
      <c r="B89" s="36" t="str">
        <f t="shared" si="5"/>
        <v>G01NHB02HT002-BT01</v>
      </c>
      <c r="C89" s="33" t="s">
        <v>2112</v>
      </c>
      <c r="D89" s="34" t="str">
        <f t="shared" si="6"/>
        <v>ELY1 GRP2 MOD2 TEMP1 ANALOG1</v>
      </c>
      <c r="E89" s="31">
        <f t="shared" si="7"/>
        <v>28</v>
      </c>
      <c r="F89" s="32" t="str">
        <f t="shared" si="8"/>
        <v>ELECTROLYSIS SYSTEM ELECTROLYSIS ARRAY 1 ELECTROLYZER SYSTEM MODULE GROUP 2 ELECTROLYSIS MODULES MODULE 2 TEMPERATURE MODULE OUTLET O2 ANALOG PROCESS SIGNAL</v>
      </c>
      <c r="G89" s="29" t="s">
        <v>1614</v>
      </c>
      <c r="H89" s="29" t="s">
        <v>1615</v>
      </c>
      <c r="I89" s="29" t="str">
        <f t="shared" si="9"/>
        <v>01</v>
      </c>
      <c r="J89" s="29" t="s">
        <v>1616</v>
      </c>
      <c r="K89" s="29" t="s">
        <v>1976</v>
      </c>
      <c r="L89" s="29" t="s">
        <v>1977</v>
      </c>
      <c r="M89" s="29" t="s">
        <v>1905</v>
      </c>
      <c r="N89" s="29" t="s">
        <v>2089</v>
      </c>
      <c r="O89" s="29" t="s">
        <v>2020</v>
      </c>
      <c r="P89" s="29" t="s">
        <v>2021</v>
      </c>
      <c r="Q89" s="29" t="s">
        <v>1872</v>
      </c>
      <c r="R89" s="29" t="s">
        <v>2031</v>
      </c>
      <c r="S89" s="29" t="s">
        <v>1715</v>
      </c>
      <c r="T89" s="29" t="s">
        <v>2023</v>
      </c>
      <c r="U89" s="29" t="s">
        <v>193</v>
      </c>
      <c r="V89" s="29" t="s">
        <v>1083</v>
      </c>
      <c r="W89" s="35" t="s">
        <v>1628</v>
      </c>
      <c r="X89" s="35" t="s">
        <v>2090</v>
      </c>
      <c r="Y89" s="35" t="s">
        <v>2032</v>
      </c>
      <c r="Z89" s="35" t="s">
        <v>1719</v>
      </c>
      <c r="AA89" s="35" t="s">
        <v>1666</v>
      </c>
      <c r="AB89" s="29" t="s">
        <v>1715</v>
      </c>
      <c r="AC89" s="35" t="s">
        <v>1633</v>
      </c>
      <c r="AD89" s="35" t="s">
        <v>1668</v>
      </c>
      <c r="AE89" s="35" t="s">
        <v>1668</v>
      </c>
      <c r="AF89" s="35" t="s">
        <v>1635</v>
      </c>
      <c r="AG89" s="35" t="s">
        <v>1670</v>
      </c>
      <c r="AI89" s="35"/>
      <c r="AJ89" s="35" t="s">
        <v>1671</v>
      </c>
      <c r="AK89" s="35" t="s">
        <v>1672</v>
      </c>
      <c r="AL89" s="29" t="s">
        <v>1720</v>
      </c>
      <c r="AM89" s="35" t="s">
        <v>1721</v>
      </c>
      <c r="AN89" s="35" t="s">
        <v>1967</v>
      </c>
      <c r="AO89" s="35"/>
      <c r="AP89" s="35"/>
      <c r="AQ89" s="35"/>
      <c r="AR89" s="29" t="s">
        <v>1756</v>
      </c>
      <c r="AS89" s="35"/>
      <c r="AT89" s="29" t="s">
        <v>1640</v>
      </c>
      <c r="AU89" s="35"/>
      <c r="AW89" s="35"/>
      <c r="AY89" s="35"/>
      <c r="AZ89" s="35"/>
      <c r="BA89" s="35"/>
      <c r="BB89" s="29" t="s">
        <v>2091</v>
      </c>
      <c r="BC89" s="29" t="s">
        <v>1900</v>
      </c>
      <c r="BD89" s="29" t="s">
        <v>1804</v>
      </c>
      <c r="BE89" s="29" t="s">
        <v>1805</v>
      </c>
      <c r="BF89" s="29" t="s">
        <v>1936</v>
      </c>
      <c r="BG89" s="29" t="s">
        <v>2113</v>
      </c>
      <c r="BH89" s="29" t="s">
        <v>2093</v>
      </c>
      <c r="BI89" s="35"/>
      <c r="BJ89" s="35"/>
      <c r="BK89" s="29" t="str" cm="1">
        <f t="array" ref="BK89">_xlfn.UNIQUE(MID(BB89,16,14))</f>
        <v>U012UNA01UH121</v>
      </c>
    </row>
    <row r="90" spans="1:63" x14ac:dyDescent="0.3">
      <c r="A90" s="29" t="s">
        <v>2111</v>
      </c>
      <c r="B90" s="36" t="str">
        <f t="shared" si="5"/>
        <v>G01NHB02HT002-BT02</v>
      </c>
      <c r="C90" s="33" t="s">
        <v>2114</v>
      </c>
      <c r="D90" s="34" t="str">
        <f t="shared" si="6"/>
        <v>ELY1 GRP2 MOD2 TEMP2 ANALOG1</v>
      </c>
      <c r="E90" s="31">
        <f t="shared" si="7"/>
        <v>28</v>
      </c>
      <c r="F90" s="32" t="str">
        <f t="shared" si="8"/>
        <v>ELECTROLYSIS SYSTEM ELECTROLYSIS ARRAY 1 ELECTROLYZER SYSTEM MODULE GROUP 2 ELECTROLYSIS MODULES MODULE 2 TEMPERATURE MODULE OUTLET H2 ANALOG PROCESS SIGNAL</v>
      </c>
      <c r="G90" s="29" t="s">
        <v>1614</v>
      </c>
      <c r="H90" s="29" t="s">
        <v>1615</v>
      </c>
      <c r="I90" s="29" t="str">
        <f t="shared" si="9"/>
        <v>01</v>
      </c>
      <c r="J90" s="29" t="s">
        <v>1616</v>
      </c>
      <c r="K90" s="29" t="s">
        <v>1976</v>
      </c>
      <c r="L90" s="29" t="s">
        <v>1977</v>
      </c>
      <c r="M90" s="29" t="s">
        <v>1905</v>
      </c>
      <c r="N90" s="29" t="s">
        <v>2089</v>
      </c>
      <c r="O90" s="29" t="s">
        <v>2020</v>
      </c>
      <c r="P90" s="29" t="s">
        <v>2021</v>
      </c>
      <c r="Q90" s="29" t="s">
        <v>1872</v>
      </c>
      <c r="R90" s="29" t="s">
        <v>2031</v>
      </c>
      <c r="S90" s="29" t="s">
        <v>1791</v>
      </c>
      <c r="T90" s="29" t="s">
        <v>2027</v>
      </c>
      <c r="U90" s="29" t="s">
        <v>193</v>
      </c>
      <c r="V90" s="29" t="s">
        <v>1083</v>
      </c>
      <c r="W90" s="35" t="s">
        <v>1628</v>
      </c>
      <c r="X90" s="35" t="s">
        <v>2090</v>
      </c>
      <c r="Y90" s="35" t="s">
        <v>2032</v>
      </c>
      <c r="Z90" s="35" t="s">
        <v>1793</v>
      </c>
      <c r="AA90" s="35" t="s">
        <v>1666</v>
      </c>
      <c r="AB90" s="29" t="s">
        <v>1791</v>
      </c>
      <c r="AC90" s="35" t="s">
        <v>1633</v>
      </c>
      <c r="AD90" s="35" t="s">
        <v>1668</v>
      </c>
      <c r="AE90" s="35" t="s">
        <v>1668</v>
      </c>
      <c r="AF90" s="35" t="s">
        <v>1635</v>
      </c>
      <c r="AG90" s="35" t="s">
        <v>1670</v>
      </c>
      <c r="AI90" s="35"/>
      <c r="AJ90" s="35" t="s">
        <v>1671</v>
      </c>
      <c r="AK90" s="35" t="s">
        <v>1672</v>
      </c>
      <c r="AL90" s="29" t="s">
        <v>1720</v>
      </c>
      <c r="AM90" s="35" t="s">
        <v>1721</v>
      </c>
      <c r="AN90" s="35" t="s">
        <v>1967</v>
      </c>
      <c r="AO90" s="35"/>
      <c r="AP90" s="35"/>
      <c r="AQ90" s="35"/>
      <c r="AR90" s="29" t="s">
        <v>1756</v>
      </c>
      <c r="AS90" s="35"/>
      <c r="AT90" s="29" t="s">
        <v>1640</v>
      </c>
      <c r="AU90" s="35"/>
      <c r="AW90" s="35"/>
      <c r="AY90" s="35"/>
      <c r="AZ90" s="35"/>
      <c r="BA90" s="35"/>
      <c r="BB90" s="29" t="s">
        <v>2091</v>
      </c>
      <c r="BC90" s="29" t="s">
        <v>1900</v>
      </c>
      <c r="BD90" s="29" t="s">
        <v>1804</v>
      </c>
      <c r="BE90" s="29" t="s">
        <v>1805</v>
      </c>
      <c r="BF90" s="29" t="s">
        <v>2035</v>
      </c>
      <c r="BG90" s="29" t="s">
        <v>2115</v>
      </c>
      <c r="BH90" s="29" t="s">
        <v>2093</v>
      </c>
      <c r="BI90" s="35"/>
      <c r="BJ90" s="35"/>
      <c r="BK90" s="29" t="str" cm="1">
        <f t="array" ref="BK90">_xlfn.UNIQUE(MID(BB90,16,14))</f>
        <v>U012UNA01UH121</v>
      </c>
    </row>
    <row r="91" spans="1:63" x14ac:dyDescent="0.3">
      <c r="A91" s="29" t="s">
        <v>2116</v>
      </c>
      <c r="B91" s="36" t="str">
        <f t="shared" si="5"/>
        <v>G01NHB02HT003-BT01</v>
      </c>
      <c r="C91" s="33" t="s">
        <v>2117</v>
      </c>
      <c r="D91" s="34" t="str">
        <f t="shared" si="6"/>
        <v>ELY1 GRP2 MOD3 TEMP1 ANALOG1</v>
      </c>
      <c r="E91" s="31">
        <f t="shared" si="7"/>
        <v>28</v>
      </c>
      <c r="F91" s="32" t="str">
        <f t="shared" si="8"/>
        <v>ELECTROLYSIS SYSTEM ELECTROLYSIS ARRAY 1 ELECTROLYZER SYSTEM MODULE GROUP 2 ELECTROLYSIS MODULES MODULE 3 TEMPERATURE MODULE OUTLET O2 ANALOG PROCESS SIGNAL</v>
      </c>
      <c r="G91" s="29" t="s">
        <v>1614</v>
      </c>
      <c r="H91" s="29" t="s">
        <v>1615</v>
      </c>
      <c r="I91" s="29" t="str">
        <f t="shared" si="9"/>
        <v>01</v>
      </c>
      <c r="J91" s="29" t="s">
        <v>1616</v>
      </c>
      <c r="K91" s="29" t="s">
        <v>1976</v>
      </c>
      <c r="L91" s="29" t="s">
        <v>1977</v>
      </c>
      <c r="M91" s="29" t="s">
        <v>1905</v>
      </c>
      <c r="N91" s="29" t="s">
        <v>2089</v>
      </c>
      <c r="O91" s="29" t="s">
        <v>2020</v>
      </c>
      <c r="P91" s="29" t="s">
        <v>2021</v>
      </c>
      <c r="Q91" s="29" t="s">
        <v>1830</v>
      </c>
      <c r="R91" s="29" t="s">
        <v>2039</v>
      </c>
      <c r="S91" s="29" t="s">
        <v>1715</v>
      </c>
      <c r="T91" s="29" t="s">
        <v>2023</v>
      </c>
      <c r="U91" s="29" t="s">
        <v>193</v>
      </c>
      <c r="V91" s="29" t="s">
        <v>1083</v>
      </c>
      <c r="W91" s="35" t="s">
        <v>1628</v>
      </c>
      <c r="X91" s="35" t="s">
        <v>2090</v>
      </c>
      <c r="Y91" s="35" t="s">
        <v>2040</v>
      </c>
      <c r="Z91" s="35" t="s">
        <v>1719</v>
      </c>
      <c r="AA91" s="35" t="s">
        <v>1666</v>
      </c>
      <c r="AB91" s="29" t="s">
        <v>1715</v>
      </c>
      <c r="AC91" s="35" t="s">
        <v>1633</v>
      </c>
      <c r="AD91" s="35" t="s">
        <v>1668</v>
      </c>
      <c r="AE91" s="35" t="s">
        <v>1668</v>
      </c>
      <c r="AF91" s="35" t="s">
        <v>1635</v>
      </c>
      <c r="AG91" s="35" t="s">
        <v>1670</v>
      </c>
      <c r="AI91" s="35"/>
      <c r="AJ91" s="35" t="s">
        <v>1671</v>
      </c>
      <c r="AK91" s="35" t="s">
        <v>1672</v>
      </c>
      <c r="AL91" s="29" t="s">
        <v>1720</v>
      </c>
      <c r="AM91" s="35" t="s">
        <v>1721</v>
      </c>
      <c r="AN91" s="35" t="s">
        <v>1967</v>
      </c>
      <c r="AO91" s="35"/>
      <c r="AP91" s="35"/>
      <c r="AQ91" s="35"/>
      <c r="AR91" s="29" t="s">
        <v>1756</v>
      </c>
      <c r="AS91" s="35"/>
      <c r="AT91" s="29" t="s">
        <v>1640</v>
      </c>
      <c r="AU91" s="35"/>
      <c r="AW91" s="35"/>
      <c r="AY91" s="35"/>
      <c r="AZ91" s="35"/>
      <c r="BA91" s="35"/>
      <c r="BB91" s="29" t="s">
        <v>2091</v>
      </c>
      <c r="BC91" s="29" t="s">
        <v>1900</v>
      </c>
      <c r="BD91" s="29" t="s">
        <v>1804</v>
      </c>
      <c r="BE91" s="29" t="s">
        <v>1805</v>
      </c>
      <c r="BF91" s="29" t="s">
        <v>1969</v>
      </c>
      <c r="BG91" s="29" t="s">
        <v>2118</v>
      </c>
      <c r="BH91" s="29" t="s">
        <v>2093</v>
      </c>
      <c r="BI91" s="35"/>
      <c r="BJ91" s="35"/>
      <c r="BK91" s="29" t="str" cm="1">
        <f t="array" ref="BK91">_xlfn.UNIQUE(MID(BB91,16,14))</f>
        <v>U012UNA01UH121</v>
      </c>
    </row>
    <row r="92" spans="1:63" x14ac:dyDescent="0.3">
      <c r="A92" s="29" t="s">
        <v>2116</v>
      </c>
      <c r="B92" s="36" t="str">
        <f t="shared" si="5"/>
        <v>G01NHB02HT003-BT02</v>
      </c>
      <c r="C92" s="33" t="s">
        <v>2119</v>
      </c>
      <c r="D92" s="34" t="str">
        <f t="shared" si="6"/>
        <v>ELY1 GRP2 MOD3 TEMP2 ANALOG1</v>
      </c>
      <c r="E92" s="31">
        <f t="shared" si="7"/>
        <v>28</v>
      </c>
      <c r="F92" s="32" t="str">
        <f t="shared" si="8"/>
        <v>ELECTROLYSIS SYSTEM ELECTROLYSIS ARRAY 1 ELECTROLYZER SYSTEM MODULE GROUP 2 ELECTROLYSIS MODULES MODULE 3 TEMPERATURE MODULE OUTLET H2 ANALOG PROCESS SIGNAL</v>
      </c>
      <c r="G92" s="29" t="s">
        <v>1614</v>
      </c>
      <c r="H92" s="29" t="s">
        <v>1615</v>
      </c>
      <c r="I92" s="29" t="str">
        <f t="shared" si="9"/>
        <v>01</v>
      </c>
      <c r="J92" s="29" t="s">
        <v>1616</v>
      </c>
      <c r="K92" s="29" t="s">
        <v>1976</v>
      </c>
      <c r="L92" s="29" t="s">
        <v>1977</v>
      </c>
      <c r="M92" s="29" t="s">
        <v>1905</v>
      </c>
      <c r="N92" s="29" t="s">
        <v>2089</v>
      </c>
      <c r="O92" s="29" t="s">
        <v>2020</v>
      </c>
      <c r="P92" s="29" t="s">
        <v>2021</v>
      </c>
      <c r="Q92" s="29" t="s">
        <v>1830</v>
      </c>
      <c r="R92" s="29" t="s">
        <v>2039</v>
      </c>
      <c r="S92" s="29" t="s">
        <v>1791</v>
      </c>
      <c r="T92" s="29" t="s">
        <v>2027</v>
      </c>
      <c r="U92" s="29" t="s">
        <v>193</v>
      </c>
      <c r="V92" s="29" t="s">
        <v>1083</v>
      </c>
      <c r="W92" s="35" t="s">
        <v>1628</v>
      </c>
      <c r="X92" s="35" t="s">
        <v>2090</v>
      </c>
      <c r="Y92" s="35" t="s">
        <v>2040</v>
      </c>
      <c r="Z92" s="35" t="s">
        <v>1793</v>
      </c>
      <c r="AA92" s="35" t="s">
        <v>1666</v>
      </c>
      <c r="AB92" s="29" t="s">
        <v>1791</v>
      </c>
      <c r="AC92" s="35" t="s">
        <v>1633</v>
      </c>
      <c r="AD92" s="35" t="s">
        <v>1668</v>
      </c>
      <c r="AE92" s="35" t="s">
        <v>1668</v>
      </c>
      <c r="AF92" s="35" t="s">
        <v>1635</v>
      </c>
      <c r="AG92" s="35" t="s">
        <v>1670</v>
      </c>
      <c r="AI92" s="35"/>
      <c r="AJ92" s="35" t="s">
        <v>1671</v>
      </c>
      <c r="AK92" s="35" t="s">
        <v>1672</v>
      </c>
      <c r="AL92" s="29" t="s">
        <v>1720</v>
      </c>
      <c r="AM92" s="35" t="s">
        <v>1721</v>
      </c>
      <c r="AN92" s="35" t="s">
        <v>1967</v>
      </c>
      <c r="AO92" s="35"/>
      <c r="AP92" s="35"/>
      <c r="AQ92" s="35"/>
      <c r="AR92" s="29" t="s">
        <v>1756</v>
      </c>
      <c r="AS92" s="35"/>
      <c r="AT92" s="29" t="s">
        <v>1640</v>
      </c>
      <c r="AU92" s="35"/>
      <c r="AW92" s="35"/>
      <c r="AY92" s="35"/>
      <c r="AZ92" s="35"/>
      <c r="BA92" s="35"/>
      <c r="BB92" s="29" t="s">
        <v>2091</v>
      </c>
      <c r="BC92" s="29" t="s">
        <v>1900</v>
      </c>
      <c r="BD92" s="29" t="s">
        <v>1804</v>
      </c>
      <c r="BE92" s="29" t="s">
        <v>1805</v>
      </c>
      <c r="BF92" s="29" t="s">
        <v>1973</v>
      </c>
      <c r="BG92" s="29" t="s">
        <v>2120</v>
      </c>
      <c r="BH92" s="29" t="s">
        <v>2093</v>
      </c>
      <c r="BI92" s="35"/>
      <c r="BJ92" s="35"/>
      <c r="BK92" s="29" t="str" cm="1">
        <f t="array" ref="BK92">_xlfn.UNIQUE(MID(BB92,16,14))</f>
        <v>U012UNA01UH121</v>
      </c>
    </row>
    <row r="93" spans="1:63" x14ac:dyDescent="0.3">
      <c r="A93" s="29" t="s">
        <v>2121</v>
      </c>
      <c r="B93" s="36" t="str">
        <f t="shared" si="5"/>
        <v>G01NHB02HT004-BT01</v>
      </c>
      <c r="C93" s="33" t="s">
        <v>2122</v>
      </c>
      <c r="D93" s="34" t="str">
        <f t="shared" si="6"/>
        <v>ELY1 GRP2 MOD4 TEMP1 ANALOG1</v>
      </c>
      <c r="E93" s="31">
        <f t="shared" si="7"/>
        <v>28</v>
      </c>
      <c r="F93" s="32" t="str">
        <f t="shared" si="8"/>
        <v>ELECTROLYSIS SYSTEM ELECTROLYSIS ARRAY 1 ELECTROLYZER SYSTEM MODULE GROUP 2 ELECTROLYSIS MODULES MODULE 4 TEMPERATURE MODULE OUTLET O2 ANALOG PROCESS SIGNAL</v>
      </c>
      <c r="G93" s="29" t="s">
        <v>1614</v>
      </c>
      <c r="H93" s="29" t="s">
        <v>1615</v>
      </c>
      <c r="I93" s="29" t="str">
        <f t="shared" si="9"/>
        <v>01</v>
      </c>
      <c r="J93" s="29" t="s">
        <v>1616</v>
      </c>
      <c r="K93" s="29" t="s">
        <v>1976</v>
      </c>
      <c r="L93" s="29" t="s">
        <v>1977</v>
      </c>
      <c r="M93" s="29" t="s">
        <v>1905</v>
      </c>
      <c r="N93" s="29" t="s">
        <v>2089</v>
      </c>
      <c r="O93" s="29" t="s">
        <v>2020</v>
      </c>
      <c r="P93" s="29" t="s">
        <v>2021</v>
      </c>
      <c r="Q93" s="29" t="s">
        <v>1838</v>
      </c>
      <c r="R93" s="29" t="s">
        <v>2046</v>
      </c>
      <c r="S93" s="29" t="s">
        <v>1715</v>
      </c>
      <c r="T93" s="29" t="s">
        <v>2023</v>
      </c>
      <c r="U93" s="29" t="s">
        <v>193</v>
      </c>
      <c r="V93" s="29" t="s">
        <v>1083</v>
      </c>
      <c r="W93" s="35" t="s">
        <v>1628</v>
      </c>
      <c r="X93" s="35" t="s">
        <v>2090</v>
      </c>
      <c r="Y93" s="35" t="s">
        <v>2047</v>
      </c>
      <c r="Z93" s="35" t="s">
        <v>1719</v>
      </c>
      <c r="AA93" s="35" t="s">
        <v>1666</v>
      </c>
      <c r="AB93" s="29" t="s">
        <v>1715</v>
      </c>
      <c r="AC93" s="35" t="s">
        <v>1633</v>
      </c>
      <c r="AD93" s="35" t="s">
        <v>1668</v>
      </c>
      <c r="AE93" s="35" t="s">
        <v>1668</v>
      </c>
      <c r="AF93" s="35" t="s">
        <v>1635</v>
      </c>
      <c r="AG93" s="35" t="s">
        <v>1670</v>
      </c>
      <c r="AI93" s="35"/>
      <c r="AJ93" s="35" t="s">
        <v>1671</v>
      </c>
      <c r="AK93" s="35" t="s">
        <v>1672</v>
      </c>
      <c r="AL93" s="29" t="s">
        <v>1720</v>
      </c>
      <c r="AM93" s="35" t="s">
        <v>1721</v>
      </c>
      <c r="AN93" s="35" t="s">
        <v>1967</v>
      </c>
      <c r="AO93" s="35"/>
      <c r="AP93" s="35"/>
      <c r="AQ93" s="35"/>
      <c r="AR93" s="29" t="s">
        <v>1756</v>
      </c>
      <c r="AS93" s="35"/>
      <c r="AT93" s="29" t="s">
        <v>1640</v>
      </c>
      <c r="AU93" s="35"/>
      <c r="AW93" s="35"/>
      <c r="AY93" s="35"/>
      <c r="AZ93" s="35"/>
      <c r="BA93" s="35"/>
      <c r="BB93" s="29" t="s">
        <v>2091</v>
      </c>
      <c r="BC93" s="29" t="s">
        <v>1900</v>
      </c>
      <c r="BD93" s="29" t="s">
        <v>1804</v>
      </c>
      <c r="BE93" s="29" t="s">
        <v>1805</v>
      </c>
      <c r="BF93" s="29" t="s">
        <v>2048</v>
      </c>
      <c r="BG93" s="29" t="s">
        <v>2123</v>
      </c>
      <c r="BH93" s="29" t="s">
        <v>2093</v>
      </c>
      <c r="BI93" s="35"/>
      <c r="BJ93" s="35"/>
      <c r="BK93" s="29" t="str" cm="1">
        <f t="array" ref="BK93">_xlfn.UNIQUE(MID(BB93,16,14))</f>
        <v>U012UNA01UH121</v>
      </c>
    </row>
    <row r="94" spans="1:63" x14ac:dyDescent="0.3">
      <c r="A94" s="29" t="s">
        <v>2121</v>
      </c>
      <c r="B94" s="36" t="str">
        <f t="shared" si="5"/>
        <v>G01NHB02HT004-BT02</v>
      </c>
      <c r="C94" s="33" t="s">
        <v>2124</v>
      </c>
      <c r="D94" s="34" t="str">
        <f t="shared" si="6"/>
        <v>ELY1 GRP2 MOD4 TEMP2 ANALOG1</v>
      </c>
      <c r="E94" s="31">
        <f t="shared" si="7"/>
        <v>28</v>
      </c>
      <c r="F94" s="32" t="str">
        <f t="shared" si="8"/>
        <v>ELECTROLYSIS SYSTEM ELECTROLYSIS ARRAY 1 ELECTROLYZER SYSTEM MODULE GROUP 2 ELECTROLYSIS MODULES MODULE 4 TEMPERATURE MODULE OUTLET H2 ANALOG PROCESS SIGNAL</v>
      </c>
      <c r="G94" s="29" t="s">
        <v>1614</v>
      </c>
      <c r="H94" s="29" t="s">
        <v>1615</v>
      </c>
      <c r="I94" s="29" t="str">
        <f t="shared" si="9"/>
        <v>01</v>
      </c>
      <c r="J94" s="29" t="s">
        <v>1616</v>
      </c>
      <c r="K94" s="29" t="s">
        <v>1976</v>
      </c>
      <c r="L94" s="29" t="s">
        <v>1977</v>
      </c>
      <c r="M94" s="29" t="s">
        <v>1905</v>
      </c>
      <c r="N94" s="29" t="s">
        <v>2089</v>
      </c>
      <c r="O94" s="29" t="s">
        <v>2020</v>
      </c>
      <c r="P94" s="29" t="s">
        <v>2021</v>
      </c>
      <c r="Q94" s="29" t="s">
        <v>1838</v>
      </c>
      <c r="R94" s="29" t="s">
        <v>2046</v>
      </c>
      <c r="S94" s="29" t="s">
        <v>1791</v>
      </c>
      <c r="T94" s="29" t="s">
        <v>2027</v>
      </c>
      <c r="U94" s="29" t="s">
        <v>193</v>
      </c>
      <c r="V94" s="29" t="s">
        <v>1083</v>
      </c>
      <c r="W94" s="35" t="s">
        <v>1628</v>
      </c>
      <c r="X94" s="35" t="s">
        <v>2090</v>
      </c>
      <c r="Y94" s="35" t="s">
        <v>2047</v>
      </c>
      <c r="Z94" s="35" t="s">
        <v>1793</v>
      </c>
      <c r="AA94" s="35" t="s">
        <v>1666</v>
      </c>
      <c r="AB94" s="29" t="s">
        <v>1791</v>
      </c>
      <c r="AC94" s="35" t="s">
        <v>1633</v>
      </c>
      <c r="AD94" s="35" t="s">
        <v>1668</v>
      </c>
      <c r="AE94" s="35" t="s">
        <v>1668</v>
      </c>
      <c r="AF94" s="35" t="s">
        <v>1635</v>
      </c>
      <c r="AG94" s="35" t="s">
        <v>1670</v>
      </c>
      <c r="AI94" s="35"/>
      <c r="AJ94" s="35" t="s">
        <v>1671</v>
      </c>
      <c r="AK94" s="35" t="s">
        <v>1672</v>
      </c>
      <c r="AL94" s="29" t="s">
        <v>1720</v>
      </c>
      <c r="AM94" s="35" t="s">
        <v>1721</v>
      </c>
      <c r="AN94" s="35" t="s">
        <v>1967</v>
      </c>
      <c r="AO94" s="35"/>
      <c r="AP94" s="35"/>
      <c r="AQ94" s="35"/>
      <c r="AR94" s="29" t="s">
        <v>1756</v>
      </c>
      <c r="AS94" s="35"/>
      <c r="AT94" s="29" t="s">
        <v>1640</v>
      </c>
      <c r="AU94" s="35"/>
      <c r="AW94" s="35"/>
      <c r="AY94" s="35"/>
      <c r="AZ94" s="35"/>
      <c r="BA94" s="35"/>
      <c r="BB94" s="29" t="s">
        <v>2091</v>
      </c>
      <c r="BC94" s="29" t="s">
        <v>1900</v>
      </c>
      <c r="BD94" s="29" t="s">
        <v>1804</v>
      </c>
      <c r="BE94" s="29" t="s">
        <v>1805</v>
      </c>
      <c r="BF94" s="29" t="s">
        <v>2051</v>
      </c>
      <c r="BG94" s="29" t="s">
        <v>2125</v>
      </c>
      <c r="BH94" s="29" t="s">
        <v>2093</v>
      </c>
      <c r="BI94" s="35"/>
      <c r="BJ94" s="35"/>
      <c r="BK94" s="29" t="str" cm="1">
        <f t="array" ref="BK94">_xlfn.UNIQUE(MID(BB94,16,14))</f>
        <v>U012UNA01UH121</v>
      </c>
    </row>
    <row r="95" spans="1:63" x14ac:dyDescent="0.3">
      <c r="A95" s="29" t="s">
        <v>2126</v>
      </c>
      <c r="B95" s="36" t="str">
        <f t="shared" si="5"/>
        <v>G01NHB02KF001-BA01</v>
      </c>
      <c r="C95" s="33" t="s">
        <v>2127</v>
      </c>
      <c r="D95" s="34" t="str">
        <f t="shared" si="6"/>
        <v>ELY1 GRP2 CTRL U1 CELL VOLT1 ANALOG1</v>
      </c>
      <c r="E95" s="31">
        <f t="shared" si="7"/>
        <v>36</v>
      </c>
      <c r="F95" s="32" t="str">
        <f t="shared" si="8"/>
        <v>ELECTROLYSIS SYSTEM ELECTROLYSIS ARRAY 1 ELECTROLYZER SYSTEM MODULE GROUP 2 CONTROL UNITS CELL VOLTAGE MEASUREMENT CELL-VOLTAGE-MEASUREMENT - MODULE 1 CELL -VOLTAGE MODULE 1</v>
      </c>
      <c r="G95" s="29" t="s">
        <v>1614</v>
      </c>
      <c r="H95" s="29" t="s">
        <v>1615</v>
      </c>
      <c r="I95" s="29" t="str">
        <f t="shared" si="9"/>
        <v>01</v>
      </c>
      <c r="J95" s="29" t="s">
        <v>1616</v>
      </c>
      <c r="K95" s="29" t="s">
        <v>1976</v>
      </c>
      <c r="L95" s="29" t="s">
        <v>1977</v>
      </c>
      <c r="M95" s="29" t="s">
        <v>1905</v>
      </c>
      <c r="N95" s="29" t="s">
        <v>2089</v>
      </c>
      <c r="O95" s="29" t="s">
        <v>1771</v>
      </c>
      <c r="P95" s="29" t="s">
        <v>2055</v>
      </c>
      <c r="Q95" s="29" t="s">
        <v>1623</v>
      </c>
      <c r="R95" s="29" t="s">
        <v>2056</v>
      </c>
      <c r="S95" s="29" t="s">
        <v>2057</v>
      </c>
      <c r="T95" s="29" t="s">
        <v>2058</v>
      </c>
      <c r="U95" s="29" t="s">
        <v>193</v>
      </c>
      <c r="V95" s="29" t="s">
        <v>2059</v>
      </c>
      <c r="W95" s="35" t="s">
        <v>1628</v>
      </c>
      <c r="X95" s="35" t="s">
        <v>2090</v>
      </c>
      <c r="Y95" s="35" t="s">
        <v>1775</v>
      </c>
      <c r="Z95" s="35" t="s">
        <v>2060</v>
      </c>
      <c r="AA95" s="35" t="s">
        <v>1666</v>
      </c>
      <c r="AB95" s="29" t="s">
        <v>2061</v>
      </c>
      <c r="AC95" s="35" t="s">
        <v>1633</v>
      </c>
      <c r="AD95" s="35" t="s">
        <v>2062</v>
      </c>
      <c r="AE95" s="35" t="s">
        <v>2062</v>
      </c>
      <c r="AF95" s="35" t="s">
        <v>1669</v>
      </c>
      <c r="AG95" s="35" t="s">
        <v>1728</v>
      </c>
      <c r="AI95" s="35"/>
      <c r="AJ95" s="35" t="s">
        <v>1671</v>
      </c>
      <c r="AK95" s="35" t="s">
        <v>1672</v>
      </c>
      <c r="AL95" s="29" t="s">
        <v>2063</v>
      </c>
      <c r="AM95" s="35" t="s">
        <v>1867</v>
      </c>
      <c r="AN95" s="35" t="s">
        <v>2064</v>
      </c>
      <c r="AO95" s="35"/>
      <c r="AP95" s="35"/>
      <c r="AQ95" s="35"/>
      <c r="AR95" s="29" t="s">
        <v>1756</v>
      </c>
      <c r="AS95" s="35"/>
      <c r="AT95" s="29" t="s">
        <v>1640</v>
      </c>
      <c r="AU95" s="35"/>
      <c r="AV95" s="29" t="s">
        <v>1641</v>
      </c>
      <c r="AW95" s="35"/>
      <c r="AX95" s="29" t="s">
        <v>1674</v>
      </c>
      <c r="AY95" s="35"/>
      <c r="AZ95" s="35"/>
      <c r="BA95" s="35"/>
      <c r="BB95" s="29" t="s">
        <v>2128</v>
      </c>
      <c r="BC95" s="29" t="s">
        <v>2066</v>
      </c>
      <c r="BF95" s="29" t="s">
        <v>1619</v>
      </c>
      <c r="BG95" s="29" t="s">
        <v>2129</v>
      </c>
      <c r="BH95" s="29" t="s">
        <v>2093</v>
      </c>
      <c r="BI95" s="35"/>
      <c r="BJ95" s="35"/>
      <c r="BK95" s="29" t="str" cm="1">
        <f t="array" ref="BK95">_xlfn.UNIQUE(MID(BB95,16,14))</f>
        <v>U012UNA01UH122</v>
      </c>
    </row>
    <row r="96" spans="1:63" x14ac:dyDescent="0.3">
      <c r="A96" s="29" t="s">
        <v>2126</v>
      </c>
      <c r="B96" s="36" t="str">
        <f t="shared" si="5"/>
        <v>G01NHB02KF001-BA02</v>
      </c>
      <c r="C96" s="33" t="s">
        <v>2130</v>
      </c>
      <c r="D96" s="34" t="str">
        <f t="shared" si="6"/>
        <v>ELY1 GRP2 CTRL U1 CELL VOLT2 ANALOG1</v>
      </c>
      <c r="E96" s="31">
        <f t="shared" si="7"/>
        <v>36</v>
      </c>
      <c r="F96" s="32" t="str">
        <f t="shared" si="8"/>
        <v>ELECTROLYSIS SYSTEM ELECTROLYSIS ARRAY 1 ELECTROLYZER SYSTEM MODULE GROUP 2 CONTROL UNITS CELL VOLTAGE MEASUREMENT CELL-VOLTAGE-MEASUREMENT - MODULE 2 CELL -VOLTAGE MODULE 2</v>
      </c>
      <c r="G96" s="29" t="s">
        <v>1614</v>
      </c>
      <c r="H96" s="29" t="s">
        <v>1615</v>
      </c>
      <c r="I96" s="29" t="str">
        <f t="shared" si="9"/>
        <v>01</v>
      </c>
      <c r="J96" s="29" t="s">
        <v>1616</v>
      </c>
      <c r="K96" s="29" t="s">
        <v>1976</v>
      </c>
      <c r="L96" s="29" t="s">
        <v>1977</v>
      </c>
      <c r="M96" s="29" t="s">
        <v>1905</v>
      </c>
      <c r="N96" s="29" t="s">
        <v>2089</v>
      </c>
      <c r="O96" s="29" t="s">
        <v>1771</v>
      </c>
      <c r="P96" s="29" t="s">
        <v>2055</v>
      </c>
      <c r="Q96" s="29" t="s">
        <v>1623</v>
      </c>
      <c r="R96" s="29" t="s">
        <v>2056</v>
      </c>
      <c r="S96" s="29" t="s">
        <v>2069</v>
      </c>
      <c r="T96" s="29" t="s">
        <v>2070</v>
      </c>
      <c r="U96" s="29" t="s">
        <v>193</v>
      </c>
      <c r="V96" s="29" t="s">
        <v>2071</v>
      </c>
      <c r="W96" s="35" t="s">
        <v>1628</v>
      </c>
      <c r="X96" s="35" t="s">
        <v>2090</v>
      </c>
      <c r="Y96" s="35" t="s">
        <v>1775</v>
      </c>
      <c r="Z96" s="35" t="s">
        <v>2072</v>
      </c>
      <c r="AA96" s="35" t="s">
        <v>1666</v>
      </c>
      <c r="AB96" s="29" t="s">
        <v>2073</v>
      </c>
      <c r="AC96" s="35" t="s">
        <v>1633</v>
      </c>
      <c r="AD96" s="35" t="s">
        <v>2062</v>
      </c>
      <c r="AE96" s="35" t="s">
        <v>2062</v>
      </c>
      <c r="AF96" s="35" t="s">
        <v>1669</v>
      </c>
      <c r="AG96" s="35" t="s">
        <v>1728</v>
      </c>
      <c r="AI96" s="35"/>
      <c r="AJ96" s="35" t="s">
        <v>1671</v>
      </c>
      <c r="AK96" s="35" t="s">
        <v>1672</v>
      </c>
      <c r="AL96" s="29" t="s">
        <v>2063</v>
      </c>
      <c r="AM96" s="35" t="s">
        <v>1867</v>
      </c>
      <c r="AN96" s="35" t="s">
        <v>2064</v>
      </c>
      <c r="AO96" s="35"/>
      <c r="AP96" s="35"/>
      <c r="AQ96" s="35"/>
      <c r="AR96" s="29" t="s">
        <v>1756</v>
      </c>
      <c r="AS96" s="35"/>
      <c r="AT96" s="29" t="s">
        <v>1640</v>
      </c>
      <c r="AU96" s="35"/>
      <c r="AV96" s="29" t="s">
        <v>1641</v>
      </c>
      <c r="AW96" s="35"/>
      <c r="AX96" s="29" t="s">
        <v>1674</v>
      </c>
      <c r="AY96" s="35"/>
      <c r="AZ96" s="35"/>
      <c r="BA96" s="35"/>
      <c r="BB96" s="29" t="s">
        <v>2128</v>
      </c>
      <c r="BC96" s="29" t="s">
        <v>2066</v>
      </c>
      <c r="BF96" s="29" t="s">
        <v>1905</v>
      </c>
      <c r="BG96" s="29" t="s">
        <v>2129</v>
      </c>
      <c r="BH96" s="29" t="s">
        <v>2093</v>
      </c>
      <c r="BI96" s="35"/>
      <c r="BJ96" s="35"/>
      <c r="BK96" s="29" t="str" cm="1">
        <f t="array" ref="BK96">_xlfn.UNIQUE(MID(BB96,16,14))</f>
        <v>U012UNA01UH122</v>
      </c>
    </row>
    <row r="97" spans="1:63" x14ac:dyDescent="0.3">
      <c r="A97" s="29" t="s">
        <v>2126</v>
      </c>
      <c r="B97" s="36" t="str">
        <f t="shared" si="5"/>
        <v>G01NHB02KF001-BA03</v>
      </c>
      <c r="C97" s="33" t="s">
        <v>2131</v>
      </c>
      <c r="D97" s="34" t="str">
        <f t="shared" si="6"/>
        <v>ELY1 GRP2 CTRL U1 CELL VOLT3 ANALOG1</v>
      </c>
      <c r="E97" s="31">
        <f t="shared" si="7"/>
        <v>36</v>
      </c>
      <c r="F97" s="32" t="str">
        <f t="shared" si="8"/>
        <v>ELECTROLYSIS SYSTEM ELECTROLYSIS ARRAY 1 ELECTROLYZER SYSTEM MODULE GROUP 2 CONTROL UNITS CELL VOLTAGE MEASUREMENT CELL-VOLTAGE-MEASUREMENT - MODULE 3 CELL -VOLTAGE MODULE 3</v>
      </c>
      <c r="G97" s="29" t="s">
        <v>1614</v>
      </c>
      <c r="H97" s="29" t="s">
        <v>1615</v>
      </c>
      <c r="I97" s="29" t="str">
        <f t="shared" si="9"/>
        <v>01</v>
      </c>
      <c r="J97" s="29" t="s">
        <v>1616</v>
      </c>
      <c r="K97" s="29" t="s">
        <v>1976</v>
      </c>
      <c r="L97" s="29" t="s">
        <v>1977</v>
      </c>
      <c r="M97" s="29" t="s">
        <v>1905</v>
      </c>
      <c r="N97" s="29" t="s">
        <v>2089</v>
      </c>
      <c r="O97" s="29" t="s">
        <v>1771</v>
      </c>
      <c r="P97" s="29" t="s">
        <v>2055</v>
      </c>
      <c r="Q97" s="29" t="s">
        <v>1623</v>
      </c>
      <c r="R97" s="29" t="s">
        <v>2056</v>
      </c>
      <c r="S97" s="29" t="s">
        <v>2075</v>
      </c>
      <c r="T97" s="29" t="s">
        <v>2076</v>
      </c>
      <c r="U97" s="29" t="s">
        <v>193</v>
      </c>
      <c r="V97" s="29" t="s">
        <v>2077</v>
      </c>
      <c r="W97" s="35" t="s">
        <v>1628</v>
      </c>
      <c r="X97" s="35" t="s">
        <v>2090</v>
      </c>
      <c r="Y97" s="35" t="s">
        <v>1775</v>
      </c>
      <c r="Z97" s="35" t="s">
        <v>2078</v>
      </c>
      <c r="AA97" s="35" t="s">
        <v>1666</v>
      </c>
      <c r="AB97" s="29" t="s">
        <v>2079</v>
      </c>
      <c r="AC97" s="35" t="s">
        <v>1633</v>
      </c>
      <c r="AD97" s="35" t="s">
        <v>2062</v>
      </c>
      <c r="AE97" s="35" t="s">
        <v>2062</v>
      </c>
      <c r="AF97" s="35" t="s">
        <v>1669</v>
      </c>
      <c r="AG97" s="35" t="s">
        <v>1728</v>
      </c>
      <c r="AI97" s="35"/>
      <c r="AJ97" s="35" t="s">
        <v>1671</v>
      </c>
      <c r="AK97" s="35" t="s">
        <v>1672</v>
      </c>
      <c r="AL97" s="29" t="s">
        <v>2063</v>
      </c>
      <c r="AM97" s="35" t="s">
        <v>1867</v>
      </c>
      <c r="AN97" s="35" t="s">
        <v>2064</v>
      </c>
      <c r="AO97" s="35"/>
      <c r="AP97" s="35"/>
      <c r="AQ97" s="35"/>
      <c r="AR97" s="29" t="s">
        <v>1756</v>
      </c>
      <c r="AS97" s="35"/>
      <c r="AT97" s="29" t="s">
        <v>1640</v>
      </c>
      <c r="AU97" s="35"/>
      <c r="AV97" s="29" t="s">
        <v>1641</v>
      </c>
      <c r="AW97" s="35"/>
      <c r="AX97" s="29" t="s">
        <v>1674</v>
      </c>
      <c r="AY97" s="35"/>
      <c r="AZ97" s="35"/>
      <c r="BA97" s="35"/>
      <c r="BB97" s="29" t="s">
        <v>2132</v>
      </c>
      <c r="BC97" s="29" t="s">
        <v>2066</v>
      </c>
      <c r="BF97" s="29" t="s">
        <v>1619</v>
      </c>
      <c r="BG97" s="29" t="s">
        <v>2129</v>
      </c>
      <c r="BH97" s="29" t="s">
        <v>2093</v>
      </c>
      <c r="BI97" s="35"/>
      <c r="BJ97" s="35"/>
      <c r="BK97" s="29" t="str" cm="1">
        <f t="array" ref="BK97">_xlfn.UNIQUE(MID(BB97,16,14))</f>
        <v>U012UNA01UH122</v>
      </c>
    </row>
    <row r="98" spans="1:63" x14ac:dyDescent="0.3">
      <c r="A98" s="29" t="s">
        <v>2126</v>
      </c>
      <c r="B98" s="36" t="str">
        <f t="shared" si="5"/>
        <v>G01NHB02KF001-BA04</v>
      </c>
      <c r="C98" s="33" t="s">
        <v>2133</v>
      </c>
      <c r="D98" s="34" t="str">
        <f t="shared" si="6"/>
        <v>ELY1 GRP2 CTRL U1 CELL VOLT4 ANALOG1</v>
      </c>
      <c r="E98" s="31">
        <f t="shared" si="7"/>
        <v>36</v>
      </c>
      <c r="F98" s="32" t="str">
        <f t="shared" si="8"/>
        <v>ELECTROLYSIS SYSTEM ELECTROLYSIS ARRAY 1 ELECTROLYZER SYSTEM MODULE GROUP 2 CONTROL UNITS CELL VOLTAGE MEASUREMENT CELL-VOLTAGE-MEASUREMENT - MODULE 4 CELL -VOLTAGE MODULE 4</v>
      </c>
      <c r="G98" s="29" t="s">
        <v>1614</v>
      </c>
      <c r="H98" s="29" t="s">
        <v>1615</v>
      </c>
      <c r="I98" s="29" t="str">
        <f t="shared" si="9"/>
        <v>01</v>
      </c>
      <c r="J98" s="29" t="s">
        <v>1616</v>
      </c>
      <c r="K98" s="29" t="s">
        <v>1976</v>
      </c>
      <c r="L98" s="29" t="s">
        <v>1977</v>
      </c>
      <c r="M98" s="29" t="s">
        <v>1905</v>
      </c>
      <c r="N98" s="29" t="s">
        <v>2089</v>
      </c>
      <c r="O98" s="29" t="s">
        <v>1771</v>
      </c>
      <c r="P98" s="29" t="s">
        <v>2055</v>
      </c>
      <c r="Q98" s="29" t="s">
        <v>1623</v>
      </c>
      <c r="R98" s="29" t="s">
        <v>2056</v>
      </c>
      <c r="S98" s="29" t="s">
        <v>2082</v>
      </c>
      <c r="T98" s="29" t="s">
        <v>2083</v>
      </c>
      <c r="U98" s="29" t="s">
        <v>193</v>
      </c>
      <c r="V98" s="29" t="s">
        <v>2084</v>
      </c>
      <c r="W98" s="35" t="s">
        <v>1628</v>
      </c>
      <c r="X98" s="35" t="s">
        <v>2090</v>
      </c>
      <c r="Y98" s="35" t="s">
        <v>1775</v>
      </c>
      <c r="Z98" s="35" t="s">
        <v>2085</v>
      </c>
      <c r="AA98" s="35" t="s">
        <v>1666</v>
      </c>
      <c r="AB98" s="29" t="s">
        <v>2086</v>
      </c>
      <c r="AC98" s="35" t="s">
        <v>1633</v>
      </c>
      <c r="AD98" s="35" t="s">
        <v>2062</v>
      </c>
      <c r="AE98" s="35" t="s">
        <v>2062</v>
      </c>
      <c r="AF98" s="35" t="s">
        <v>1669</v>
      </c>
      <c r="AG98" s="35" t="s">
        <v>1728</v>
      </c>
      <c r="AI98" s="35"/>
      <c r="AJ98" s="35" t="s">
        <v>1671</v>
      </c>
      <c r="AK98" s="35" t="s">
        <v>1672</v>
      </c>
      <c r="AL98" s="29" t="s">
        <v>2063</v>
      </c>
      <c r="AM98" s="35" t="s">
        <v>1867</v>
      </c>
      <c r="AN98" s="35" t="s">
        <v>2064</v>
      </c>
      <c r="AO98" s="35"/>
      <c r="AP98" s="35"/>
      <c r="AQ98" s="35"/>
      <c r="AR98" s="29" t="s">
        <v>1756</v>
      </c>
      <c r="AS98" s="35"/>
      <c r="AT98" s="29" t="s">
        <v>1640</v>
      </c>
      <c r="AU98" s="35"/>
      <c r="AV98" s="29" t="s">
        <v>1641</v>
      </c>
      <c r="AW98" s="35"/>
      <c r="AX98" s="29" t="s">
        <v>1674</v>
      </c>
      <c r="AY98" s="35"/>
      <c r="AZ98" s="35"/>
      <c r="BA98" s="35"/>
      <c r="BB98" s="29" t="s">
        <v>2132</v>
      </c>
      <c r="BC98" s="29" t="s">
        <v>2066</v>
      </c>
      <c r="BF98" s="29" t="s">
        <v>1905</v>
      </c>
      <c r="BG98" s="29" t="s">
        <v>2129</v>
      </c>
      <c r="BH98" s="29" t="s">
        <v>2093</v>
      </c>
      <c r="BI98" s="35"/>
      <c r="BJ98" s="35"/>
      <c r="BK98" s="29" t="str" cm="1">
        <f t="array" ref="BK98">_xlfn.UNIQUE(MID(BB98,16,14))</f>
        <v>U012UNA01UH122</v>
      </c>
    </row>
    <row r="99" spans="1:63" x14ac:dyDescent="0.3">
      <c r="A99" s="29" t="s">
        <v>2134</v>
      </c>
      <c r="B99" s="36" t="str">
        <f t="shared" si="5"/>
        <v>G01NHB03EQ001-BQ01</v>
      </c>
      <c r="C99" s="33" t="s">
        <v>2135</v>
      </c>
      <c r="D99" s="34" t="str">
        <f t="shared" si="6"/>
        <v>ELY1 GRP3 COOL QUAL1 ANALOG1</v>
      </c>
      <c r="E99" s="31">
        <f t="shared" si="7"/>
        <v>28</v>
      </c>
      <c r="F99" s="32" t="str">
        <f t="shared" si="8"/>
        <v>ELECTROLYSIS SYSTEM ELECTROLYSIS ARRAY 1 ELECTROLYZER SYSTEM MODULE GROUP 3 HEAT EXCHANGING SYSTEMS HEAT EXCHANGING SYSTEM 1 CONDUCTIVITY WP H2 ANALOG PROCESS SIGNAL</v>
      </c>
      <c r="G99" s="29" t="s">
        <v>1614</v>
      </c>
      <c r="H99" s="29" t="s">
        <v>1615</v>
      </c>
      <c r="I99" s="29" t="str">
        <f t="shared" si="9"/>
        <v>01</v>
      </c>
      <c r="J99" s="29" t="s">
        <v>1616</v>
      </c>
      <c r="K99" s="29" t="s">
        <v>1976</v>
      </c>
      <c r="L99" s="29" t="s">
        <v>1977</v>
      </c>
      <c r="M99" s="29" t="s">
        <v>1909</v>
      </c>
      <c r="N99" s="29" t="s">
        <v>2136</v>
      </c>
      <c r="O99" s="29" t="s">
        <v>1894</v>
      </c>
      <c r="P99" s="29" t="s">
        <v>1979</v>
      </c>
      <c r="Q99" s="29" t="s">
        <v>1623</v>
      </c>
      <c r="R99" s="29" t="s">
        <v>1980</v>
      </c>
      <c r="S99" s="29" t="s">
        <v>1687</v>
      </c>
      <c r="T99" s="29" t="s">
        <v>1981</v>
      </c>
      <c r="U99" s="29" t="s">
        <v>193</v>
      </c>
      <c r="V99" s="29" t="s">
        <v>1083</v>
      </c>
      <c r="W99" s="35" t="s">
        <v>1628</v>
      </c>
      <c r="X99" s="35" t="s">
        <v>2137</v>
      </c>
      <c r="Y99" s="35" t="s">
        <v>1898</v>
      </c>
      <c r="Z99" s="35" t="s">
        <v>1689</v>
      </c>
      <c r="AA99" s="35" t="s">
        <v>1666</v>
      </c>
      <c r="AB99" s="29" t="s">
        <v>1687</v>
      </c>
      <c r="AC99" s="35" t="s">
        <v>1633</v>
      </c>
      <c r="AD99" s="35" t="s">
        <v>1668</v>
      </c>
      <c r="AE99" s="35" t="s">
        <v>1668</v>
      </c>
      <c r="AF99" s="35" t="s">
        <v>1635</v>
      </c>
      <c r="AG99" s="35" t="s">
        <v>1670</v>
      </c>
      <c r="AI99" s="35"/>
      <c r="AJ99" s="35" t="s">
        <v>1671</v>
      </c>
      <c r="AK99" s="35" t="s">
        <v>1672</v>
      </c>
      <c r="AL99" s="29" t="s">
        <v>1671</v>
      </c>
      <c r="AM99" s="35" t="s">
        <v>1702</v>
      </c>
      <c r="AN99" s="35" t="s">
        <v>1703</v>
      </c>
      <c r="AO99" s="35"/>
      <c r="AP99" s="35"/>
      <c r="AQ99" s="35"/>
      <c r="AR99" s="29" t="s">
        <v>1756</v>
      </c>
      <c r="AS99" s="35"/>
      <c r="AT99" s="29" t="s">
        <v>1640</v>
      </c>
      <c r="AU99" s="35"/>
      <c r="AW99" s="35"/>
      <c r="AY99" s="35"/>
      <c r="AZ99" s="35"/>
      <c r="BA99" s="35"/>
      <c r="BB99" s="29" t="s">
        <v>2138</v>
      </c>
      <c r="BC99" s="29" t="s">
        <v>1900</v>
      </c>
      <c r="BD99" s="29" t="s">
        <v>1804</v>
      </c>
      <c r="BE99" s="29" t="s">
        <v>1984</v>
      </c>
      <c r="BF99" s="29" t="s">
        <v>1619</v>
      </c>
      <c r="BG99" s="29" t="s">
        <v>2139</v>
      </c>
      <c r="BH99" s="29" t="s">
        <v>2140</v>
      </c>
      <c r="BI99" s="35"/>
      <c r="BJ99" s="35"/>
      <c r="BK99" s="29" t="str" cm="1">
        <f t="array" ref="BK99">_xlfn.UNIQUE(MID(BB99,16,14))</f>
        <v>U012UNA01UH131</v>
      </c>
    </row>
    <row r="100" spans="1:63" x14ac:dyDescent="0.3">
      <c r="A100" s="29" t="s">
        <v>2134</v>
      </c>
      <c r="B100" s="36" t="str">
        <f t="shared" si="5"/>
        <v>G01NHB03EQ001-BQ01</v>
      </c>
      <c r="C100" s="33" t="s">
        <v>2141</v>
      </c>
      <c r="D100" s="34" t="str">
        <f t="shared" si="6"/>
        <v>ELY1 GRP3 COOL QUAL1 ANALOG2</v>
      </c>
      <c r="E100" s="31">
        <f t="shared" si="7"/>
        <v>28</v>
      </c>
      <c r="F100" s="32" t="str">
        <f t="shared" si="8"/>
        <v>ELECTROLYSIS SYSTEM ELECTROLYSIS ARRAY 1 ELECTROLYZER SYSTEM MODULE GROUP 3 HEAT EXCHANGING SYSTEMS HEAT EXCHANGING SYSTEM 1 CONDUCTIVITY WP H2 ANALOG PROCESS SIGNAL</v>
      </c>
      <c r="G100" s="29" t="s">
        <v>1614</v>
      </c>
      <c r="H100" s="29" t="s">
        <v>1615</v>
      </c>
      <c r="I100" s="29" t="str">
        <f t="shared" si="9"/>
        <v>01</v>
      </c>
      <c r="J100" s="29" t="s">
        <v>1616</v>
      </c>
      <c r="K100" s="29" t="s">
        <v>1976</v>
      </c>
      <c r="L100" s="29" t="s">
        <v>1977</v>
      </c>
      <c r="M100" s="29" t="s">
        <v>1909</v>
      </c>
      <c r="N100" s="29" t="s">
        <v>2136</v>
      </c>
      <c r="O100" s="29" t="s">
        <v>1894</v>
      </c>
      <c r="P100" s="29" t="s">
        <v>1979</v>
      </c>
      <c r="Q100" s="29" t="s">
        <v>1623</v>
      </c>
      <c r="R100" s="29" t="s">
        <v>1980</v>
      </c>
      <c r="S100" s="29" t="s">
        <v>1687</v>
      </c>
      <c r="T100" s="29" t="s">
        <v>1981</v>
      </c>
      <c r="U100" s="29" t="s">
        <v>905</v>
      </c>
      <c r="V100" s="29" t="s">
        <v>1083</v>
      </c>
      <c r="W100" s="35" t="s">
        <v>1628</v>
      </c>
      <c r="X100" s="35" t="s">
        <v>2137</v>
      </c>
      <c r="Y100" s="35" t="s">
        <v>1898</v>
      </c>
      <c r="Z100" s="35" t="s">
        <v>1689</v>
      </c>
      <c r="AA100" s="35" t="s">
        <v>1705</v>
      </c>
      <c r="AB100" s="29" t="s">
        <v>1687</v>
      </c>
      <c r="AC100" s="35" t="s">
        <v>1633</v>
      </c>
      <c r="AD100" s="35" t="s">
        <v>1668</v>
      </c>
      <c r="AE100" s="35" t="s">
        <v>1668</v>
      </c>
      <c r="AF100" s="35" t="s">
        <v>1635</v>
      </c>
      <c r="AG100" s="35" t="s">
        <v>1670</v>
      </c>
      <c r="AI100" s="35"/>
      <c r="AJ100" s="35" t="s">
        <v>1671</v>
      </c>
      <c r="AK100" s="35" t="s">
        <v>1672</v>
      </c>
      <c r="AL100" s="29" t="s">
        <v>1706</v>
      </c>
      <c r="AM100" s="35" t="s">
        <v>1702</v>
      </c>
      <c r="AN100" s="35" t="s">
        <v>1703</v>
      </c>
      <c r="AO100" s="35"/>
      <c r="AP100" s="35"/>
      <c r="AQ100" s="35"/>
      <c r="AS100" s="35"/>
      <c r="AU100" s="35"/>
      <c r="AV100" s="29" t="s">
        <v>1641</v>
      </c>
      <c r="AW100" s="35"/>
      <c r="AX100" s="29" t="s">
        <v>1674</v>
      </c>
      <c r="AY100" s="35"/>
      <c r="AZ100" s="35"/>
      <c r="BA100" s="35"/>
      <c r="BB100" s="29" t="s">
        <v>2138</v>
      </c>
      <c r="BC100" s="29" t="s">
        <v>1900</v>
      </c>
      <c r="BD100" s="29" t="s">
        <v>1918</v>
      </c>
      <c r="BE100" s="29" t="s">
        <v>1988</v>
      </c>
      <c r="BF100" s="29" t="s">
        <v>1905</v>
      </c>
      <c r="BG100" s="29" t="s">
        <v>2139</v>
      </c>
      <c r="BH100" s="29" t="s">
        <v>2140</v>
      </c>
      <c r="BI100" s="35"/>
      <c r="BJ100" s="35"/>
      <c r="BK100" s="29" t="str" cm="1">
        <f t="array" ref="BK100">_xlfn.UNIQUE(MID(BB100,16,14))</f>
        <v>U012UNA01UH131</v>
      </c>
    </row>
    <row r="101" spans="1:63" x14ac:dyDescent="0.3">
      <c r="A101" s="29" t="s">
        <v>2134</v>
      </c>
      <c r="B101" s="36" t="str">
        <f t="shared" si="5"/>
        <v>G01NHB03EQ001-BQ02</v>
      </c>
      <c r="C101" s="33" t="s">
        <v>2142</v>
      </c>
      <c r="D101" s="34" t="str">
        <f t="shared" si="6"/>
        <v>ELY1 GRP3 COOL QUAL2 ANALOG1</v>
      </c>
      <c r="E101" s="31">
        <f t="shared" si="7"/>
        <v>28</v>
      </c>
      <c r="F101" s="32" t="str">
        <f t="shared" si="8"/>
        <v>ELECTROLYSIS SYSTEM ELECTROLYSIS ARRAY 1 ELECTROLYZER SYSTEM MODULE GROUP 3 HEAT EXCHANGING SYSTEMS HEAT EXCHANGING SYSTEM 1 CONDUCTIVITY WP O2 ANALOG PROCESS SIGNAL</v>
      </c>
      <c r="G101" s="29" t="s">
        <v>1614</v>
      </c>
      <c r="H101" s="29" t="s">
        <v>1615</v>
      </c>
      <c r="I101" s="29" t="str">
        <f t="shared" si="9"/>
        <v>01</v>
      </c>
      <c r="J101" s="29" t="s">
        <v>1616</v>
      </c>
      <c r="K101" s="29" t="s">
        <v>1976</v>
      </c>
      <c r="L101" s="29" t="s">
        <v>1977</v>
      </c>
      <c r="M101" s="29" t="s">
        <v>1909</v>
      </c>
      <c r="N101" s="29" t="s">
        <v>2136</v>
      </c>
      <c r="O101" s="29" t="s">
        <v>1894</v>
      </c>
      <c r="P101" s="29" t="s">
        <v>1979</v>
      </c>
      <c r="Q101" s="29" t="s">
        <v>1623</v>
      </c>
      <c r="R101" s="29" t="s">
        <v>1980</v>
      </c>
      <c r="S101" s="29" t="s">
        <v>1990</v>
      </c>
      <c r="T101" s="29" t="s">
        <v>1991</v>
      </c>
      <c r="U101" s="29" t="s">
        <v>193</v>
      </c>
      <c r="V101" s="29" t="s">
        <v>1083</v>
      </c>
      <c r="W101" s="35" t="s">
        <v>1628</v>
      </c>
      <c r="X101" s="35" t="s">
        <v>2137</v>
      </c>
      <c r="Y101" s="35" t="s">
        <v>1898</v>
      </c>
      <c r="Z101" s="35" t="s">
        <v>1992</v>
      </c>
      <c r="AA101" s="35" t="s">
        <v>1666</v>
      </c>
      <c r="AB101" s="29" t="s">
        <v>1990</v>
      </c>
      <c r="AC101" s="35" t="s">
        <v>1633</v>
      </c>
      <c r="AD101" s="35" t="s">
        <v>1668</v>
      </c>
      <c r="AE101" s="35" t="s">
        <v>1668</v>
      </c>
      <c r="AF101" s="35" t="s">
        <v>1635</v>
      </c>
      <c r="AG101" s="35" t="s">
        <v>1670</v>
      </c>
      <c r="AI101" s="35"/>
      <c r="AJ101" s="35" t="s">
        <v>1671</v>
      </c>
      <c r="AK101" s="35" t="s">
        <v>1672</v>
      </c>
      <c r="AL101" s="29" t="s">
        <v>1671</v>
      </c>
      <c r="AM101" s="35" t="s">
        <v>1702</v>
      </c>
      <c r="AN101" s="35" t="s">
        <v>1703</v>
      </c>
      <c r="AO101" s="35"/>
      <c r="AP101" s="35"/>
      <c r="AQ101" s="35"/>
      <c r="AR101" s="29" t="s">
        <v>1756</v>
      </c>
      <c r="AS101" s="35"/>
      <c r="AT101" s="29" t="s">
        <v>1640</v>
      </c>
      <c r="AU101" s="35"/>
      <c r="AW101" s="35"/>
      <c r="AY101" s="35"/>
      <c r="AZ101" s="35"/>
      <c r="BA101" s="35"/>
      <c r="BB101" s="29" t="s">
        <v>2138</v>
      </c>
      <c r="BC101" s="29" t="s">
        <v>1900</v>
      </c>
      <c r="BD101" s="29" t="s">
        <v>1804</v>
      </c>
      <c r="BE101" s="29" t="s">
        <v>1984</v>
      </c>
      <c r="BF101" s="29" t="s">
        <v>1909</v>
      </c>
      <c r="BG101" s="29" t="s">
        <v>2143</v>
      </c>
      <c r="BH101" s="29" t="s">
        <v>2140</v>
      </c>
      <c r="BI101" s="35"/>
      <c r="BJ101" s="35"/>
      <c r="BK101" s="29" t="str" cm="1">
        <f t="array" ref="BK101">_xlfn.UNIQUE(MID(BB101,16,14))</f>
        <v>U012UNA01UH131</v>
      </c>
    </row>
    <row r="102" spans="1:63" x14ac:dyDescent="0.3">
      <c r="A102" s="29" t="s">
        <v>2134</v>
      </c>
      <c r="B102" s="36" t="str">
        <f t="shared" si="5"/>
        <v>G01NHB03EQ001-BQ02</v>
      </c>
      <c r="C102" s="33" t="s">
        <v>2144</v>
      </c>
      <c r="D102" s="34" t="str">
        <f t="shared" si="6"/>
        <v>ELY1 GRP3 COOL QUAL2 ANALOG2</v>
      </c>
      <c r="E102" s="31">
        <f t="shared" si="7"/>
        <v>28</v>
      </c>
      <c r="F102" s="32" t="str">
        <f t="shared" si="8"/>
        <v>ELECTROLYSIS SYSTEM ELECTROLYSIS ARRAY 1 ELECTROLYZER SYSTEM MODULE GROUP 3 HEAT EXCHANGING SYSTEMS HEAT EXCHANGING SYSTEM 1 CONDUCTIVITY WP O2 ANALOG PROCESS SIGNAL</v>
      </c>
      <c r="G102" s="29" t="s">
        <v>1614</v>
      </c>
      <c r="H102" s="29" t="s">
        <v>1615</v>
      </c>
      <c r="I102" s="29" t="str">
        <f t="shared" si="9"/>
        <v>01</v>
      </c>
      <c r="J102" s="29" t="s">
        <v>1616</v>
      </c>
      <c r="K102" s="29" t="s">
        <v>1976</v>
      </c>
      <c r="L102" s="29" t="s">
        <v>1977</v>
      </c>
      <c r="M102" s="29" t="s">
        <v>1909</v>
      </c>
      <c r="N102" s="29" t="s">
        <v>2136</v>
      </c>
      <c r="O102" s="29" t="s">
        <v>1894</v>
      </c>
      <c r="P102" s="29" t="s">
        <v>1979</v>
      </c>
      <c r="Q102" s="29" t="s">
        <v>1623</v>
      </c>
      <c r="R102" s="29" t="s">
        <v>1980</v>
      </c>
      <c r="S102" s="29" t="s">
        <v>1990</v>
      </c>
      <c r="T102" s="29" t="s">
        <v>1991</v>
      </c>
      <c r="U102" s="29" t="s">
        <v>905</v>
      </c>
      <c r="V102" s="29" t="s">
        <v>1083</v>
      </c>
      <c r="W102" s="35" t="s">
        <v>1628</v>
      </c>
      <c r="X102" s="35" t="s">
        <v>2137</v>
      </c>
      <c r="Y102" s="35" t="s">
        <v>1898</v>
      </c>
      <c r="Z102" s="35" t="s">
        <v>1992</v>
      </c>
      <c r="AA102" s="35" t="s">
        <v>1705</v>
      </c>
      <c r="AB102" s="29" t="s">
        <v>1990</v>
      </c>
      <c r="AC102" s="35" t="s">
        <v>1633</v>
      </c>
      <c r="AD102" s="35" t="s">
        <v>1668</v>
      </c>
      <c r="AE102" s="35" t="s">
        <v>1668</v>
      </c>
      <c r="AF102" s="35" t="s">
        <v>1635</v>
      </c>
      <c r="AG102" s="35" t="s">
        <v>1670</v>
      </c>
      <c r="AI102" s="35"/>
      <c r="AJ102" s="35" t="s">
        <v>1671</v>
      </c>
      <c r="AK102" s="35" t="s">
        <v>1672</v>
      </c>
      <c r="AL102" s="29" t="s">
        <v>1706</v>
      </c>
      <c r="AM102" s="35" t="s">
        <v>1702</v>
      </c>
      <c r="AN102" s="35" t="s">
        <v>1703</v>
      </c>
      <c r="AO102" s="35"/>
      <c r="AP102" s="35"/>
      <c r="AQ102" s="35"/>
      <c r="AS102" s="35"/>
      <c r="AU102" s="35"/>
      <c r="AV102" s="29" t="s">
        <v>1641</v>
      </c>
      <c r="AW102" s="35"/>
      <c r="AX102" s="29" t="s">
        <v>1674</v>
      </c>
      <c r="AY102" s="35"/>
      <c r="AZ102" s="35"/>
      <c r="BA102" s="35"/>
      <c r="BB102" s="29" t="s">
        <v>2138</v>
      </c>
      <c r="BC102" s="29" t="s">
        <v>1900</v>
      </c>
      <c r="BD102" s="29" t="s">
        <v>1918</v>
      </c>
      <c r="BE102" s="29" t="s">
        <v>1988</v>
      </c>
      <c r="BF102" s="29" t="s">
        <v>1915</v>
      </c>
      <c r="BG102" s="29" t="s">
        <v>2143</v>
      </c>
      <c r="BH102" s="29" t="s">
        <v>2140</v>
      </c>
      <c r="BI102" s="35"/>
      <c r="BJ102" s="35"/>
      <c r="BK102" s="29" t="str" cm="1">
        <f t="array" ref="BK102">_xlfn.UNIQUE(MID(BB102,16,14))</f>
        <v>U012UNA01UH131</v>
      </c>
    </row>
    <row r="103" spans="1:63" x14ac:dyDescent="0.3">
      <c r="A103" s="29" t="s">
        <v>2134</v>
      </c>
      <c r="B103" s="36" t="str">
        <f t="shared" si="5"/>
        <v>G01NHB03EQ001-BT01</v>
      </c>
      <c r="C103" s="33" t="s">
        <v>2145</v>
      </c>
      <c r="D103" s="34" t="str">
        <f t="shared" si="6"/>
        <v>ELY1 GRP3 COOL TEMP1 ANALOG1</v>
      </c>
      <c r="E103" s="31">
        <f t="shared" si="7"/>
        <v>28</v>
      </c>
      <c r="F103" s="32" t="str">
        <f t="shared" si="8"/>
        <v>ELECTROLYSIS SYSTEM ELECTROLYSIS ARRAY 1 ELECTROLYZER SYSTEM MODULE GROUP 3 HEAT EXCHANGING SYSTEMS HEAT EXCHANGING SYSTEM 1 TEMPERATURE WCR ANALOG PROCESS SIGNAL</v>
      </c>
      <c r="G103" s="29" t="s">
        <v>1614</v>
      </c>
      <c r="H103" s="29" t="s">
        <v>1615</v>
      </c>
      <c r="I103" s="29" t="str">
        <f t="shared" si="9"/>
        <v>01</v>
      </c>
      <c r="J103" s="29" t="s">
        <v>1616</v>
      </c>
      <c r="K103" s="29" t="s">
        <v>1976</v>
      </c>
      <c r="L103" s="29" t="s">
        <v>1977</v>
      </c>
      <c r="M103" s="29" t="s">
        <v>1909</v>
      </c>
      <c r="N103" s="29" t="s">
        <v>2136</v>
      </c>
      <c r="O103" s="29" t="s">
        <v>1894</v>
      </c>
      <c r="P103" s="29" t="s">
        <v>1979</v>
      </c>
      <c r="Q103" s="29" t="s">
        <v>1623</v>
      </c>
      <c r="R103" s="29" t="s">
        <v>1980</v>
      </c>
      <c r="S103" s="29" t="s">
        <v>1715</v>
      </c>
      <c r="T103" s="29" t="s">
        <v>1996</v>
      </c>
      <c r="U103" s="29" t="s">
        <v>193</v>
      </c>
      <c r="V103" s="29" t="s">
        <v>1083</v>
      </c>
      <c r="W103" s="35" t="s">
        <v>1628</v>
      </c>
      <c r="X103" s="35" t="s">
        <v>2137</v>
      </c>
      <c r="Y103" s="35" t="s">
        <v>1898</v>
      </c>
      <c r="Z103" s="35" t="s">
        <v>1719</v>
      </c>
      <c r="AA103" s="35" t="s">
        <v>1666</v>
      </c>
      <c r="AB103" s="29" t="s">
        <v>1715</v>
      </c>
      <c r="AC103" s="35" t="s">
        <v>1633</v>
      </c>
      <c r="AD103" s="35" t="s">
        <v>1668</v>
      </c>
      <c r="AE103" s="35" t="s">
        <v>1668</v>
      </c>
      <c r="AF103" s="35" t="s">
        <v>1635</v>
      </c>
      <c r="AG103" s="35" t="s">
        <v>1670</v>
      </c>
      <c r="AI103" s="35"/>
      <c r="AJ103" s="35" t="s">
        <v>1671</v>
      </c>
      <c r="AK103" s="35" t="s">
        <v>1672</v>
      </c>
      <c r="AL103" s="29" t="s">
        <v>1706</v>
      </c>
      <c r="AM103" s="35" t="s">
        <v>1721</v>
      </c>
      <c r="AN103" s="35" t="s">
        <v>1967</v>
      </c>
      <c r="AO103" s="35"/>
      <c r="AP103" s="35"/>
      <c r="AQ103" s="35"/>
      <c r="AS103" s="35"/>
      <c r="AU103" s="35"/>
      <c r="AW103" s="35"/>
      <c r="AY103" s="35"/>
      <c r="AZ103" s="35"/>
      <c r="BA103" s="35"/>
      <c r="BB103" s="29" t="s">
        <v>2138</v>
      </c>
      <c r="BC103" s="29" t="s">
        <v>1900</v>
      </c>
      <c r="BD103" s="29" t="s">
        <v>1804</v>
      </c>
      <c r="BE103" s="29" t="s">
        <v>1805</v>
      </c>
      <c r="BF103" s="29" t="s">
        <v>1919</v>
      </c>
      <c r="BG103" s="29" t="s">
        <v>2146</v>
      </c>
      <c r="BH103" s="29" t="s">
        <v>2140</v>
      </c>
      <c r="BI103" s="35"/>
      <c r="BJ103" s="35"/>
      <c r="BK103" s="29" t="str" cm="1">
        <f t="array" ref="BK103">_xlfn.UNIQUE(MID(BB103,16,14))</f>
        <v>U012UNA01UH131</v>
      </c>
    </row>
    <row r="104" spans="1:63" x14ac:dyDescent="0.3">
      <c r="A104" s="29" t="s">
        <v>2134</v>
      </c>
      <c r="B104" s="36" t="str">
        <f t="shared" si="5"/>
        <v>G01NHB03EQ001-BT02</v>
      </c>
      <c r="C104" s="33" t="s">
        <v>2147</v>
      </c>
      <c r="D104" s="34" t="str">
        <f t="shared" si="6"/>
        <v>ELY1 GRP3 COOL TEMP2 ANALOG1</v>
      </c>
      <c r="E104" s="31">
        <f t="shared" si="7"/>
        <v>28</v>
      </c>
      <c r="F104" s="32" t="str">
        <f t="shared" si="8"/>
        <v>ELECTROLYSIS SYSTEM ELECTROLYSIS ARRAY 1 ELECTROLYZER SYSTEM MODULE GROUP 3 HEAT EXCHANGING SYSTEMS HEAT EXCHANGING SYSTEM 1 TEMPERATURE WP H2 ANALOG PROCESS SIGNAL</v>
      </c>
      <c r="G104" s="29" t="s">
        <v>1614</v>
      </c>
      <c r="H104" s="29" t="s">
        <v>1615</v>
      </c>
      <c r="I104" s="29" t="str">
        <f t="shared" si="9"/>
        <v>01</v>
      </c>
      <c r="J104" s="29" t="s">
        <v>1616</v>
      </c>
      <c r="K104" s="29" t="s">
        <v>1976</v>
      </c>
      <c r="L104" s="29" t="s">
        <v>1977</v>
      </c>
      <c r="M104" s="29" t="s">
        <v>1909</v>
      </c>
      <c r="N104" s="29" t="s">
        <v>2136</v>
      </c>
      <c r="O104" s="29" t="s">
        <v>1894</v>
      </c>
      <c r="P104" s="29" t="s">
        <v>1979</v>
      </c>
      <c r="Q104" s="29" t="s">
        <v>1623</v>
      </c>
      <c r="R104" s="29" t="s">
        <v>1980</v>
      </c>
      <c r="S104" s="29" t="s">
        <v>1791</v>
      </c>
      <c r="T104" s="29" t="s">
        <v>1999</v>
      </c>
      <c r="U104" s="29" t="s">
        <v>193</v>
      </c>
      <c r="V104" s="29" t="s">
        <v>1083</v>
      </c>
      <c r="W104" s="35" t="s">
        <v>1628</v>
      </c>
      <c r="X104" s="35" t="s">
        <v>2137</v>
      </c>
      <c r="Y104" s="35" t="s">
        <v>1898</v>
      </c>
      <c r="Z104" s="35" t="s">
        <v>1793</v>
      </c>
      <c r="AA104" s="35" t="s">
        <v>1666</v>
      </c>
      <c r="AB104" s="29" t="s">
        <v>1791</v>
      </c>
      <c r="AC104" s="35" t="s">
        <v>1633</v>
      </c>
      <c r="AD104" s="35" t="s">
        <v>1668</v>
      </c>
      <c r="AE104" s="35" t="s">
        <v>1668</v>
      </c>
      <c r="AF104" s="35" t="s">
        <v>1635</v>
      </c>
      <c r="AG104" s="35" t="s">
        <v>1670</v>
      </c>
      <c r="AI104" s="35"/>
      <c r="AJ104" s="35" t="s">
        <v>1671</v>
      </c>
      <c r="AK104" s="35" t="s">
        <v>1638</v>
      </c>
      <c r="AL104" s="29" t="s">
        <v>1706</v>
      </c>
      <c r="AM104" s="35" t="s">
        <v>1721</v>
      </c>
      <c r="AN104" s="35" t="s">
        <v>1967</v>
      </c>
      <c r="AO104" s="35"/>
      <c r="AP104" s="35"/>
      <c r="AQ104" s="35"/>
      <c r="AS104" s="35"/>
      <c r="AT104" s="29" t="s">
        <v>2000</v>
      </c>
      <c r="AU104" s="35"/>
      <c r="AV104" s="29" t="s">
        <v>2001</v>
      </c>
      <c r="AW104" s="35"/>
      <c r="AY104" s="35"/>
      <c r="AZ104" s="35" t="s">
        <v>1642</v>
      </c>
      <c r="BA104" s="35" t="s">
        <v>2002</v>
      </c>
      <c r="BB104" s="29" t="s">
        <v>2003</v>
      </c>
      <c r="BC104" s="29" t="s">
        <v>2004</v>
      </c>
      <c r="BD104" s="29" t="s">
        <v>2005</v>
      </c>
      <c r="BE104" s="29" t="s">
        <v>2006</v>
      </c>
      <c r="BF104" s="29" t="s">
        <v>1919</v>
      </c>
      <c r="BG104" s="29" t="s">
        <v>2148</v>
      </c>
      <c r="BH104" s="29" t="s">
        <v>2140</v>
      </c>
      <c r="BI104" s="35"/>
      <c r="BJ104" s="35"/>
      <c r="BK104" s="29" t="str" cm="1">
        <f t="array" ref="BK104">_xlfn.UNIQUE(MID(BB104,16,14))</f>
        <v>U012UNA01UH100</v>
      </c>
    </row>
    <row r="105" spans="1:63" x14ac:dyDescent="0.3">
      <c r="A105" s="29" t="s">
        <v>2134</v>
      </c>
      <c r="B105" s="36" t="str">
        <f t="shared" si="5"/>
        <v>G01NHB03EQ001-BT03</v>
      </c>
      <c r="C105" s="33" t="s">
        <v>2149</v>
      </c>
      <c r="D105" s="34" t="str">
        <f t="shared" si="6"/>
        <v>ELY1 GRP3 COOL TEMP3 ANALOG1</v>
      </c>
      <c r="E105" s="31">
        <f t="shared" si="7"/>
        <v>28</v>
      </c>
      <c r="F105" s="32" t="str">
        <f t="shared" si="8"/>
        <v>ELECTROLYSIS SYSTEM ELECTROLYSIS ARRAY 1 ELECTROLYZER SYSTEM MODULE GROUP 3 HEAT EXCHANGING SYSTEMS HEAT EXCHANGING SYSTEM 1 TEMPERATURE WP O2 ANALOG PROCESS SIGNAL</v>
      </c>
      <c r="G105" s="29" t="s">
        <v>1614</v>
      </c>
      <c r="H105" s="29" t="s">
        <v>1615</v>
      </c>
      <c r="I105" s="29" t="str">
        <f t="shared" si="9"/>
        <v>01</v>
      </c>
      <c r="J105" s="29" t="s">
        <v>1616</v>
      </c>
      <c r="K105" s="29" t="s">
        <v>1976</v>
      </c>
      <c r="L105" s="29" t="s">
        <v>1977</v>
      </c>
      <c r="M105" s="29" t="s">
        <v>1909</v>
      </c>
      <c r="N105" s="29" t="s">
        <v>2136</v>
      </c>
      <c r="O105" s="29" t="s">
        <v>1894</v>
      </c>
      <c r="P105" s="29" t="s">
        <v>1979</v>
      </c>
      <c r="Q105" s="29" t="s">
        <v>1623</v>
      </c>
      <c r="R105" s="29" t="s">
        <v>1980</v>
      </c>
      <c r="S105" s="29" t="s">
        <v>1796</v>
      </c>
      <c r="T105" s="29" t="s">
        <v>2009</v>
      </c>
      <c r="U105" s="29" t="s">
        <v>193</v>
      </c>
      <c r="V105" s="29" t="s">
        <v>1083</v>
      </c>
      <c r="W105" s="35" t="s">
        <v>1628</v>
      </c>
      <c r="X105" s="35" t="s">
        <v>2137</v>
      </c>
      <c r="Y105" s="35" t="s">
        <v>1898</v>
      </c>
      <c r="Z105" s="35" t="s">
        <v>1798</v>
      </c>
      <c r="AA105" s="35" t="s">
        <v>1666</v>
      </c>
      <c r="AB105" s="29" t="s">
        <v>1796</v>
      </c>
      <c r="AC105" s="35" t="s">
        <v>1633</v>
      </c>
      <c r="AD105" s="35" t="s">
        <v>1668</v>
      </c>
      <c r="AE105" s="35" t="s">
        <v>1668</v>
      </c>
      <c r="AF105" s="35" t="s">
        <v>1635</v>
      </c>
      <c r="AG105" s="35" t="s">
        <v>1670</v>
      </c>
      <c r="AI105" s="35"/>
      <c r="AJ105" s="35" t="s">
        <v>1671</v>
      </c>
      <c r="AK105" s="35" t="s">
        <v>1638</v>
      </c>
      <c r="AL105" s="29" t="s">
        <v>1706</v>
      </c>
      <c r="AM105" s="35" t="s">
        <v>1721</v>
      </c>
      <c r="AN105" s="35" t="s">
        <v>1967</v>
      </c>
      <c r="AO105" s="35"/>
      <c r="AP105" s="35"/>
      <c r="AQ105" s="35"/>
      <c r="AS105" s="35"/>
      <c r="AT105" s="29" t="s">
        <v>2000</v>
      </c>
      <c r="AU105" s="35"/>
      <c r="AV105" s="29" t="s">
        <v>2001</v>
      </c>
      <c r="AW105" s="35"/>
      <c r="AY105" s="35"/>
      <c r="AZ105" s="35" t="s">
        <v>1642</v>
      </c>
      <c r="BA105" s="35" t="s">
        <v>2002</v>
      </c>
      <c r="BB105" s="29" t="s">
        <v>2003</v>
      </c>
      <c r="BC105" s="29" t="s">
        <v>2004</v>
      </c>
      <c r="BD105" s="29" t="s">
        <v>2010</v>
      </c>
      <c r="BE105" s="29" t="s">
        <v>2011</v>
      </c>
      <c r="BF105" s="29" t="s">
        <v>1922</v>
      </c>
      <c r="BG105" s="29" t="s">
        <v>2150</v>
      </c>
      <c r="BH105" s="29" t="s">
        <v>2140</v>
      </c>
      <c r="BI105" s="35"/>
      <c r="BJ105" s="35"/>
      <c r="BK105" s="29" t="str" cm="1">
        <f t="array" ref="BK105">_xlfn.UNIQUE(MID(BB105,16,14))</f>
        <v>U012UNA01UH100</v>
      </c>
    </row>
    <row r="106" spans="1:63" x14ac:dyDescent="0.3">
      <c r="A106" s="29" t="s">
        <v>2134</v>
      </c>
      <c r="B106" s="36" t="str">
        <f t="shared" si="5"/>
        <v>G01NHB03EQ001-QN01</v>
      </c>
      <c r="C106" s="33" t="s">
        <v>2151</v>
      </c>
      <c r="D106" s="34" t="str">
        <f t="shared" si="6"/>
        <v>ELY1 GRP3 COOL CV1 ANALOG1</v>
      </c>
      <c r="E106" s="31">
        <f t="shared" si="7"/>
        <v>26</v>
      </c>
      <c r="F106" s="32" t="str">
        <f t="shared" si="8"/>
        <v>ELECTROLYSIS SYSTEM ELECTROLYSIS ARRAY 1 ELECTROLYZER SYSTEM MODULE GROUP 3 HEAT EXCHANGING SYSTEMS HEAT EXCHANGING SYSTEM 1 COOLING WATER - CONTROL VALVE ANALOG PROCESS SIGNAL</v>
      </c>
      <c r="G106" s="29" t="s">
        <v>1614</v>
      </c>
      <c r="H106" s="29" t="s">
        <v>1615</v>
      </c>
      <c r="I106" s="29" t="str">
        <f t="shared" si="9"/>
        <v>01</v>
      </c>
      <c r="J106" s="29" t="s">
        <v>1616</v>
      </c>
      <c r="K106" s="29" t="s">
        <v>1976</v>
      </c>
      <c r="L106" s="29" t="s">
        <v>1977</v>
      </c>
      <c r="M106" s="29" t="s">
        <v>1909</v>
      </c>
      <c r="N106" s="29" t="s">
        <v>2136</v>
      </c>
      <c r="O106" s="29" t="s">
        <v>1894</v>
      </c>
      <c r="P106" s="29" t="s">
        <v>1979</v>
      </c>
      <c r="Q106" s="29" t="s">
        <v>1623</v>
      </c>
      <c r="R106" s="29" t="s">
        <v>1980</v>
      </c>
      <c r="S106" s="29" t="s">
        <v>1800</v>
      </c>
      <c r="T106" s="29" t="s">
        <v>2014</v>
      </c>
      <c r="U106" s="29" t="s">
        <v>193</v>
      </c>
      <c r="V106" s="29" t="s">
        <v>1083</v>
      </c>
      <c r="W106" s="35" t="s">
        <v>1628</v>
      </c>
      <c r="X106" s="35" t="s">
        <v>2137</v>
      </c>
      <c r="Y106" s="35" t="s">
        <v>1898</v>
      </c>
      <c r="Z106" s="35" t="s">
        <v>1802</v>
      </c>
      <c r="AA106" s="35" t="s">
        <v>1666</v>
      </c>
      <c r="AB106" s="29" t="s">
        <v>2015</v>
      </c>
      <c r="AC106" s="35" t="s">
        <v>1633</v>
      </c>
      <c r="AD106" s="35" t="s">
        <v>1668</v>
      </c>
      <c r="AE106" s="35" t="s">
        <v>1668</v>
      </c>
      <c r="AF106" s="35" t="s">
        <v>1635</v>
      </c>
      <c r="AG106" s="35" t="s">
        <v>1670</v>
      </c>
      <c r="AI106" s="35"/>
      <c r="AJ106" s="35" t="s">
        <v>1671</v>
      </c>
      <c r="AK106" s="35" t="s">
        <v>1672</v>
      </c>
      <c r="AL106" s="29" t="s">
        <v>1803</v>
      </c>
      <c r="AM106" s="35"/>
      <c r="AN106" s="35"/>
      <c r="AO106" s="35"/>
      <c r="AP106" s="35"/>
      <c r="AQ106" s="35"/>
      <c r="AS106" s="35"/>
      <c r="AU106" s="35"/>
      <c r="AW106" s="35"/>
      <c r="AY106" s="35"/>
      <c r="AZ106" s="35"/>
      <c r="BA106" s="35"/>
      <c r="BB106" s="29" t="s">
        <v>2138</v>
      </c>
      <c r="BC106" s="29" t="s">
        <v>1900</v>
      </c>
      <c r="BD106" s="29" t="s">
        <v>1804</v>
      </c>
      <c r="BE106" s="29" t="s">
        <v>1805</v>
      </c>
      <c r="BF106" s="29" t="s">
        <v>2016</v>
      </c>
      <c r="BG106" s="29" t="s">
        <v>2152</v>
      </c>
      <c r="BH106" s="29" t="s">
        <v>2140</v>
      </c>
      <c r="BI106" s="35"/>
      <c r="BJ106" s="35"/>
      <c r="BK106" s="29" t="str" cm="1">
        <f t="array" ref="BK106">_xlfn.UNIQUE(MID(BB106,16,14))</f>
        <v>U012UNA01UH131</v>
      </c>
    </row>
    <row r="107" spans="1:63" x14ac:dyDescent="0.3">
      <c r="A107" s="29" t="s">
        <v>2153</v>
      </c>
      <c r="B107" s="36" t="str">
        <f t="shared" si="5"/>
        <v>G01NHB03HT001-BT01</v>
      </c>
      <c r="C107" s="33" t="s">
        <v>2154</v>
      </c>
      <c r="D107" s="34" t="str">
        <f t="shared" si="6"/>
        <v>ELY1 GRP3 MOD1 TEMP1 ANALOG1</v>
      </c>
      <c r="E107" s="31">
        <f t="shared" si="7"/>
        <v>28</v>
      </c>
      <c r="F107" s="32" t="str">
        <f t="shared" si="8"/>
        <v>ELECTROLYSIS SYSTEM ELECTROLYSIS ARRAY 1 ELECTROLYZER SYSTEM MODULE GROUP 3 ELECTROLYSIS MODULES MODULE 1 TEMPERATURE MODULE OUTLET O2 ANALOG PROCESS SIGNAL</v>
      </c>
      <c r="G107" s="29" t="s">
        <v>1614</v>
      </c>
      <c r="H107" s="29" t="s">
        <v>1615</v>
      </c>
      <c r="I107" s="29" t="str">
        <f t="shared" si="9"/>
        <v>01</v>
      </c>
      <c r="J107" s="29" t="s">
        <v>1616</v>
      </c>
      <c r="K107" s="29" t="s">
        <v>1976</v>
      </c>
      <c r="L107" s="29" t="s">
        <v>1977</v>
      </c>
      <c r="M107" s="29" t="s">
        <v>1909</v>
      </c>
      <c r="N107" s="29" t="s">
        <v>2136</v>
      </c>
      <c r="O107" s="29" t="s">
        <v>2020</v>
      </c>
      <c r="P107" s="29" t="s">
        <v>2021</v>
      </c>
      <c r="Q107" s="29" t="s">
        <v>1623</v>
      </c>
      <c r="R107" s="29" t="s">
        <v>2022</v>
      </c>
      <c r="S107" s="29" t="s">
        <v>1715</v>
      </c>
      <c r="T107" s="29" t="s">
        <v>2023</v>
      </c>
      <c r="U107" s="29" t="s">
        <v>193</v>
      </c>
      <c r="V107" s="29" t="s">
        <v>1083</v>
      </c>
      <c r="W107" s="35" t="s">
        <v>1628</v>
      </c>
      <c r="X107" s="35" t="s">
        <v>2137</v>
      </c>
      <c r="Y107" s="35" t="s">
        <v>2024</v>
      </c>
      <c r="Z107" s="35" t="s">
        <v>1719</v>
      </c>
      <c r="AA107" s="35" t="s">
        <v>1666</v>
      </c>
      <c r="AB107" s="29" t="s">
        <v>1715</v>
      </c>
      <c r="AC107" s="35" t="s">
        <v>1633</v>
      </c>
      <c r="AD107" s="35" t="s">
        <v>1668</v>
      </c>
      <c r="AE107" s="35" t="s">
        <v>1668</v>
      </c>
      <c r="AF107" s="35" t="s">
        <v>1635</v>
      </c>
      <c r="AG107" s="35" t="s">
        <v>1670</v>
      </c>
      <c r="AI107" s="35"/>
      <c r="AJ107" s="35" t="s">
        <v>1671</v>
      </c>
      <c r="AK107" s="35" t="s">
        <v>1672</v>
      </c>
      <c r="AL107" s="29" t="s">
        <v>1720</v>
      </c>
      <c r="AM107" s="35" t="s">
        <v>1721</v>
      </c>
      <c r="AN107" s="35" t="s">
        <v>1967</v>
      </c>
      <c r="AO107" s="35"/>
      <c r="AP107" s="35"/>
      <c r="AQ107" s="35"/>
      <c r="AR107" s="29" t="s">
        <v>1756</v>
      </c>
      <c r="AS107" s="35"/>
      <c r="AT107" s="29" t="s">
        <v>1640</v>
      </c>
      <c r="AU107" s="35"/>
      <c r="AW107" s="35"/>
      <c r="AY107" s="35"/>
      <c r="AZ107" s="35"/>
      <c r="BA107" s="35"/>
      <c r="BB107" s="29" t="s">
        <v>2138</v>
      </c>
      <c r="BC107" s="29" t="s">
        <v>1900</v>
      </c>
      <c r="BD107" s="29" t="s">
        <v>1804</v>
      </c>
      <c r="BE107" s="29" t="s">
        <v>1805</v>
      </c>
      <c r="BF107" s="29" t="s">
        <v>1922</v>
      </c>
      <c r="BG107" s="29" t="s">
        <v>2155</v>
      </c>
      <c r="BH107" s="29" t="s">
        <v>2140</v>
      </c>
      <c r="BI107" s="35"/>
      <c r="BJ107" s="35"/>
      <c r="BK107" s="29" t="str" cm="1">
        <f t="array" ref="BK107">_xlfn.UNIQUE(MID(BB107,16,14))</f>
        <v>U012UNA01UH131</v>
      </c>
    </row>
    <row r="108" spans="1:63" x14ac:dyDescent="0.3">
      <c r="A108" s="29" t="s">
        <v>2153</v>
      </c>
      <c r="B108" s="36" t="str">
        <f t="shared" si="5"/>
        <v>G01NHB03HT001-BT02</v>
      </c>
      <c r="C108" s="33" t="s">
        <v>2156</v>
      </c>
      <c r="D108" s="34" t="str">
        <f t="shared" si="6"/>
        <v>ELY1 GRP3 MOD1 TEMP2 ANALOG1</v>
      </c>
      <c r="E108" s="31">
        <f t="shared" si="7"/>
        <v>28</v>
      </c>
      <c r="F108" s="32" t="str">
        <f t="shared" si="8"/>
        <v>ELECTROLYSIS SYSTEM ELECTROLYSIS ARRAY 1 ELECTROLYZER SYSTEM MODULE GROUP 3 ELECTROLYSIS MODULES MODULE 1 TEMPERATURE MODULE OUTLET H2 ANALOG PROCESS SIGNAL</v>
      </c>
      <c r="G108" s="29" t="s">
        <v>1614</v>
      </c>
      <c r="H108" s="29" t="s">
        <v>1615</v>
      </c>
      <c r="I108" s="29" t="str">
        <f t="shared" si="9"/>
        <v>01</v>
      </c>
      <c r="J108" s="29" t="s">
        <v>1616</v>
      </c>
      <c r="K108" s="29" t="s">
        <v>1976</v>
      </c>
      <c r="L108" s="29" t="s">
        <v>1977</v>
      </c>
      <c r="M108" s="29" t="s">
        <v>1909</v>
      </c>
      <c r="N108" s="29" t="s">
        <v>2136</v>
      </c>
      <c r="O108" s="29" t="s">
        <v>2020</v>
      </c>
      <c r="P108" s="29" t="s">
        <v>2021</v>
      </c>
      <c r="Q108" s="29" t="s">
        <v>1623</v>
      </c>
      <c r="R108" s="29" t="s">
        <v>2022</v>
      </c>
      <c r="S108" s="29" t="s">
        <v>1791</v>
      </c>
      <c r="T108" s="29" t="s">
        <v>2027</v>
      </c>
      <c r="U108" s="29" t="s">
        <v>193</v>
      </c>
      <c r="V108" s="29" t="s">
        <v>1083</v>
      </c>
      <c r="W108" s="35" t="s">
        <v>1628</v>
      </c>
      <c r="X108" s="35" t="s">
        <v>2137</v>
      </c>
      <c r="Y108" s="35" t="s">
        <v>2024</v>
      </c>
      <c r="Z108" s="35" t="s">
        <v>1793</v>
      </c>
      <c r="AA108" s="35" t="s">
        <v>1666</v>
      </c>
      <c r="AB108" s="29" t="s">
        <v>1791</v>
      </c>
      <c r="AC108" s="35" t="s">
        <v>1633</v>
      </c>
      <c r="AD108" s="35" t="s">
        <v>1668</v>
      </c>
      <c r="AE108" s="35" t="s">
        <v>1668</v>
      </c>
      <c r="AF108" s="35" t="s">
        <v>1635</v>
      </c>
      <c r="AG108" s="35" t="s">
        <v>1670</v>
      </c>
      <c r="AI108" s="35"/>
      <c r="AJ108" s="35" t="s">
        <v>1671</v>
      </c>
      <c r="AK108" s="35" t="s">
        <v>1672</v>
      </c>
      <c r="AL108" s="29" t="s">
        <v>1720</v>
      </c>
      <c r="AM108" s="35" t="s">
        <v>1721</v>
      </c>
      <c r="AN108" s="35" t="s">
        <v>1967</v>
      </c>
      <c r="AO108" s="35"/>
      <c r="AP108" s="35"/>
      <c r="AQ108" s="35"/>
      <c r="AR108" s="29" t="s">
        <v>1756</v>
      </c>
      <c r="AS108" s="35"/>
      <c r="AT108" s="29" t="s">
        <v>1640</v>
      </c>
      <c r="AU108" s="35"/>
      <c r="AW108" s="35"/>
      <c r="AY108" s="35"/>
      <c r="AZ108" s="35"/>
      <c r="BA108" s="35"/>
      <c r="BB108" s="29" t="s">
        <v>2138</v>
      </c>
      <c r="BC108" s="29" t="s">
        <v>1900</v>
      </c>
      <c r="BD108" s="29" t="s">
        <v>1804</v>
      </c>
      <c r="BE108" s="29" t="s">
        <v>1805</v>
      </c>
      <c r="BF108" s="29" t="s">
        <v>1931</v>
      </c>
      <c r="BG108" s="29" t="s">
        <v>2157</v>
      </c>
      <c r="BH108" s="29" t="s">
        <v>2140</v>
      </c>
      <c r="BI108" s="35"/>
      <c r="BJ108" s="35"/>
      <c r="BK108" s="29" t="str" cm="1">
        <f t="array" ref="BK108">_xlfn.UNIQUE(MID(BB108,16,14))</f>
        <v>U012UNA01UH131</v>
      </c>
    </row>
    <row r="109" spans="1:63" x14ac:dyDescent="0.3">
      <c r="A109" s="29" t="s">
        <v>2158</v>
      </c>
      <c r="B109" s="36" t="str">
        <f t="shared" si="5"/>
        <v>G01NHB03HT002-BT01</v>
      </c>
      <c r="C109" s="33" t="s">
        <v>2159</v>
      </c>
      <c r="D109" s="34" t="str">
        <f t="shared" si="6"/>
        <v>ELY1 GRP3 MOD2 TEMP1 ANALOG1</v>
      </c>
      <c r="E109" s="31">
        <f t="shared" si="7"/>
        <v>28</v>
      </c>
      <c r="F109" s="32" t="str">
        <f t="shared" si="8"/>
        <v>ELECTROLYSIS SYSTEM ELECTROLYSIS ARRAY 1 ELECTROLYZER SYSTEM MODULE GROUP 3 ELECTROLYSIS MODULES MODULE 2 TEMPERATURE MODULE OUTLET O2 ANALOG PROCESS SIGNAL</v>
      </c>
      <c r="G109" s="29" t="s">
        <v>1614</v>
      </c>
      <c r="H109" s="29" t="s">
        <v>1615</v>
      </c>
      <c r="I109" s="29" t="str">
        <f t="shared" si="9"/>
        <v>01</v>
      </c>
      <c r="J109" s="29" t="s">
        <v>1616</v>
      </c>
      <c r="K109" s="29" t="s">
        <v>1976</v>
      </c>
      <c r="L109" s="29" t="s">
        <v>1977</v>
      </c>
      <c r="M109" s="29" t="s">
        <v>1909</v>
      </c>
      <c r="N109" s="29" t="s">
        <v>2136</v>
      </c>
      <c r="O109" s="29" t="s">
        <v>2020</v>
      </c>
      <c r="P109" s="29" t="s">
        <v>2021</v>
      </c>
      <c r="Q109" s="29" t="s">
        <v>1872</v>
      </c>
      <c r="R109" s="29" t="s">
        <v>2031</v>
      </c>
      <c r="S109" s="29" t="s">
        <v>1715</v>
      </c>
      <c r="T109" s="29" t="s">
        <v>2023</v>
      </c>
      <c r="U109" s="29" t="s">
        <v>193</v>
      </c>
      <c r="V109" s="29" t="s">
        <v>1083</v>
      </c>
      <c r="W109" s="35" t="s">
        <v>1628</v>
      </c>
      <c r="X109" s="35" t="s">
        <v>2137</v>
      </c>
      <c r="Y109" s="35" t="s">
        <v>2032</v>
      </c>
      <c r="Z109" s="35" t="s">
        <v>1719</v>
      </c>
      <c r="AA109" s="35" t="s">
        <v>1666</v>
      </c>
      <c r="AB109" s="29" t="s">
        <v>1715</v>
      </c>
      <c r="AC109" s="35" t="s">
        <v>1633</v>
      </c>
      <c r="AD109" s="35" t="s">
        <v>1668</v>
      </c>
      <c r="AE109" s="35" t="s">
        <v>1668</v>
      </c>
      <c r="AF109" s="35" t="s">
        <v>1635</v>
      </c>
      <c r="AG109" s="35" t="s">
        <v>1670</v>
      </c>
      <c r="AI109" s="35"/>
      <c r="AJ109" s="35" t="s">
        <v>1671</v>
      </c>
      <c r="AK109" s="35" t="s">
        <v>1672</v>
      </c>
      <c r="AL109" s="29" t="s">
        <v>1720</v>
      </c>
      <c r="AM109" s="35" t="s">
        <v>1721</v>
      </c>
      <c r="AN109" s="35" t="s">
        <v>1967</v>
      </c>
      <c r="AO109" s="35"/>
      <c r="AP109" s="35"/>
      <c r="AQ109" s="35"/>
      <c r="AR109" s="29" t="s">
        <v>1756</v>
      </c>
      <c r="AS109" s="35"/>
      <c r="AT109" s="29" t="s">
        <v>1640</v>
      </c>
      <c r="AU109" s="35"/>
      <c r="AW109" s="35"/>
      <c r="AY109" s="35"/>
      <c r="AZ109" s="35"/>
      <c r="BA109" s="35"/>
      <c r="BB109" s="29" t="s">
        <v>2138</v>
      </c>
      <c r="BC109" s="29" t="s">
        <v>1900</v>
      </c>
      <c r="BD109" s="29" t="s">
        <v>1804</v>
      </c>
      <c r="BE109" s="29" t="s">
        <v>1805</v>
      </c>
      <c r="BF109" s="29" t="s">
        <v>1936</v>
      </c>
      <c r="BG109" s="29" t="s">
        <v>2160</v>
      </c>
      <c r="BH109" s="29" t="s">
        <v>2140</v>
      </c>
      <c r="BI109" s="35"/>
      <c r="BJ109" s="35"/>
      <c r="BK109" s="29" t="str" cm="1">
        <f t="array" ref="BK109">_xlfn.UNIQUE(MID(BB109,16,14))</f>
        <v>U012UNA01UH131</v>
      </c>
    </row>
    <row r="110" spans="1:63" x14ac:dyDescent="0.3">
      <c r="A110" s="29" t="s">
        <v>2158</v>
      </c>
      <c r="B110" s="36" t="str">
        <f t="shared" si="5"/>
        <v>G01NHB03HT002-BT02</v>
      </c>
      <c r="C110" s="33" t="s">
        <v>2161</v>
      </c>
      <c r="D110" s="34" t="str">
        <f t="shared" si="6"/>
        <v>ELY1 GRP3 MOD2 TEMP2 ANALOG1</v>
      </c>
      <c r="E110" s="31">
        <f t="shared" si="7"/>
        <v>28</v>
      </c>
      <c r="F110" s="32" t="str">
        <f t="shared" si="8"/>
        <v>ELECTROLYSIS SYSTEM ELECTROLYSIS ARRAY 1 ELECTROLYZER SYSTEM MODULE GROUP 3 ELECTROLYSIS MODULES MODULE 2 TEMPERATURE MODULE OUTLET H2 ANALOG PROCESS SIGNAL</v>
      </c>
      <c r="G110" s="29" t="s">
        <v>1614</v>
      </c>
      <c r="H110" s="29" t="s">
        <v>1615</v>
      </c>
      <c r="I110" s="29" t="str">
        <f t="shared" si="9"/>
        <v>01</v>
      </c>
      <c r="J110" s="29" t="s">
        <v>1616</v>
      </c>
      <c r="K110" s="29" t="s">
        <v>1976</v>
      </c>
      <c r="L110" s="29" t="s">
        <v>1977</v>
      </c>
      <c r="M110" s="29" t="s">
        <v>1909</v>
      </c>
      <c r="N110" s="29" t="s">
        <v>2136</v>
      </c>
      <c r="O110" s="29" t="s">
        <v>2020</v>
      </c>
      <c r="P110" s="29" t="s">
        <v>2021</v>
      </c>
      <c r="Q110" s="29" t="s">
        <v>1872</v>
      </c>
      <c r="R110" s="29" t="s">
        <v>2031</v>
      </c>
      <c r="S110" s="29" t="s">
        <v>1791</v>
      </c>
      <c r="T110" s="29" t="s">
        <v>2027</v>
      </c>
      <c r="U110" s="29" t="s">
        <v>193</v>
      </c>
      <c r="V110" s="29" t="s">
        <v>1083</v>
      </c>
      <c r="W110" s="35" t="s">
        <v>1628</v>
      </c>
      <c r="X110" s="35" t="s">
        <v>2137</v>
      </c>
      <c r="Y110" s="35" t="s">
        <v>2032</v>
      </c>
      <c r="Z110" s="35" t="s">
        <v>1793</v>
      </c>
      <c r="AA110" s="35" t="s">
        <v>1666</v>
      </c>
      <c r="AB110" s="29" t="s">
        <v>1791</v>
      </c>
      <c r="AC110" s="35" t="s">
        <v>1633</v>
      </c>
      <c r="AD110" s="35" t="s">
        <v>1668</v>
      </c>
      <c r="AE110" s="35" t="s">
        <v>1668</v>
      </c>
      <c r="AF110" s="35" t="s">
        <v>1635</v>
      </c>
      <c r="AG110" s="35" t="s">
        <v>1670</v>
      </c>
      <c r="AI110" s="35"/>
      <c r="AJ110" s="35" t="s">
        <v>1671</v>
      </c>
      <c r="AK110" s="35" t="s">
        <v>1672</v>
      </c>
      <c r="AL110" s="29" t="s">
        <v>1720</v>
      </c>
      <c r="AM110" s="35" t="s">
        <v>1721</v>
      </c>
      <c r="AN110" s="35" t="s">
        <v>1967</v>
      </c>
      <c r="AO110" s="35"/>
      <c r="AP110" s="35"/>
      <c r="AQ110" s="35"/>
      <c r="AR110" s="29" t="s">
        <v>1756</v>
      </c>
      <c r="AS110" s="35"/>
      <c r="AT110" s="29" t="s">
        <v>1640</v>
      </c>
      <c r="AU110" s="35"/>
      <c r="AW110" s="35"/>
      <c r="AY110" s="35"/>
      <c r="AZ110" s="35"/>
      <c r="BA110" s="35"/>
      <c r="BB110" s="29" t="s">
        <v>2138</v>
      </c>
      <c r="BC110" s="29" t="s">
        <v>1900</v>
      </c>
      <c r="BD110" s="29" t="s">
        <v>1804</v>
      </c>
      <c r="BE110" s="29" t="s">
        <v>1805</v>
      </c>
      <c r="BF110" s="29" t="s">
        <v>2035</v>
      </c>
      <c r="BG110" s="29" t="s">
        <v>2162</v>
      </c>
      <c r="BH110" s="29" t="s">
        <v>2140</v>
      </c>
      <c r="BI110" s="35"/>
      <c r="BJ110" s="35"/>
      <c r="BK110" s="29" t="str" cm="1">
        <f t="array" ref="BK110">_xlfn.UNIQUE(MID(BB110,16,14))</f>
        <v>U012UNA01UH131</v>
      </c>
    </row>
    <row r="111" spans="1:63" x14ac:dyDescent="0.3">
      <c r="A111" s="29" t="s">
        <v>2163</v>
      </c>
      <c r="B111" s="36" t="str">
        <f t="shared" si="5"/>
        <v>G01NHB03HT003-BT01</v>
      </c>
      <c r="C111" s="33" t="s">
        <v>2164</v>
      </c>
      <c r="D111" s="34" t="str">
        <f t="shared" si="6"/>
        <v>ELY1 GRP3 MOD3 TEMP1 ANALOG1</v>
      </c>
      <c r="E111" s="31">
        <f t="shared" si="7"/>
        <v>28</v>
      </c>
      <c r="F111" s="32" t="str">
        <f t="shared" si="8"/>
        <v>ELECTROLYSIS SYSTEM ELECTROLYSIS ARRAY 1 ELECTROLYZER SYSTEM MODULE GROUP 3 ELECTROLYSIS MODULES MODULE 3 TEMPERATURE MODULE OUTLET O2 ANALOG PROCESS SIGNAL</v>
      </c>
      <c r="G111" s="29" t="s">
        <v>1614</v>
      </c>
      <c r="H111" s="29" t="s">
        <v>1615</v>
      </c>
      <c r="I111" s="29" t="str">
        <f t="shared" si="9"/>
        <v>01</v>
      </c>
      <c r="J111" s="29" t="s">
        <v>1616</v>
      </c>
      <c r="K111" s="29" t="s">
        <v>1976</v>
      </c>
      <c r="L111" s="29" t="s">
        <v>1977</v>
      </c>
      <c r="M111" s="29" t="s">
        <v>1909</v>
      </c>
      <c r="N111" s="29" t="s">
        <v>2136</v>
      </c>
      <c r="O111" s="29" t="s">
        <v>2020</v>
      </c>
      <c r="P111" s="29" t="s">
        <v>2021</v>
      </c>
      <c r="Q111" s="29" t="s">
        <v>1830</v>
      </c>
      <c r="R111" s="29" t="s">
        <v>2039</v>
      </c>
      <c r="S111" s="29" t="s">
        <v>1715</v>
      </c>
      <c r="T111" s="29" t="s">
        <v>2023</v>
      </c>
      <c r="U111" s="29" t="s">
        <v>193</v>
      </c>
      <c r="V111" s="29" t="s">
        <v>1083</v>
      </c>
      <c r="W111" s="35" t="s">
        <v>1628</v>
      </c>
      <c r="X111" s="35" t="s">
        <v>2137</v>
      </c>
      <c r="Y111" s="35" t="s">
        <v>2040</v>
      </c>
      <c r="Z111" s="35" t="s">
        <v>1719</v>
      </c>
      <c r="AA111" s="35" t="s">
        <v>1666</v>
      </c>
      <c r="AB111" s="29" t="s">
        <v>1715</v>
      </c>
      <c r="AC111" s="35" t="s">
        <v>1633</v>
      </c>
      <c r="AD111" s="35" t="s">
        <v>1668</v>
      </c>
      <c r="AE111" s="35" t="s">
        <v>1668</v>
      </c>
      <c r="AF111" s="35" t="s">
        <v>1635</v>
      </c>
      <c r="AG111" s="35" t="s">
        <v>1670</v>
      </c>
      <c r="AI111" s="35"/>
      <c r="AJ111" s="35" t="s">
        <v>1671</v>
      </c>
      <c r="AK111" s="35" t="s">
        <v>1672</v>
      </c>
      <c r="AL111" s="29" t="s">
        <v>1720</v>
      </c>
      <c r="AM111" s="35" t="s">
        <v>1721</v>
      </c>
      <c r="AN111" s="35" t="s">
        <v>1967</v>
      </c>
      <c r="AO111" s="35"/>
      <c r="AP111" s="35"/>
      <c r="AQ111" s="35"/>
      <c r="AR111" s="29" t="s">
        <v>1756</v>
      </c>
      <c r="AS111" s="35"/>
      <c r="AT111" s="29" t="s">
        <v>1640</v>
      </c>
      <c r="AU111" s="35"/>
      <c r="AW111" s="35"/>
      <c r="AY111" s="35"/>
      <c r="AZ111" s="35"/>
      <c r="BA111" s="35"/>
      <c r="BB111" s="29" t="s">
        <v>2138</v>
      </c>
      <c r="BC111" s="29" t="s">
        <v>1900</v>
      </c>
      <c r="BD111" s="29" t="s">
        <v>1804</v>
      </c>
      <c r="BE111" s="29" t="s">
        <v>1805</v>
      </c>
      <c r="BF111" s="29" t="s">
        <v>1969</v>
      </c>
      <c r="BG111" s="29" t="s">
        <v>2165</v>
      </c>
      <c r="BH111" s="29" t="s">
        <v>2140</v>
      </c>
      <c r="BI111" s="35"/>
      <c r="BJ111" s="35"/>
      <c r="BK111" s="29" t="str" cm="1">
        <f t="array" ref="BK111">_xlfn.UNIQUE(MID(BB111,16,14))</f>
        <v>U012UNA01UH131</v>
      </c>
    </row>
    <row r="112" spans="1:63" x14ac:dyDescent="0.3">
      <c r="A112" s="29" t="s">
        <v>2163</v>
      </c>
      <c r="B112" s="36" t="str">
        <f t="shared" si="5"/>
        <v>G01NHB03HT003-BT02</v>
      </c>
      <c r="C112" s="33" t="s">
        <v>2166</v>
      </c>
      <c r="D112" s="34" t="str">
        <f t="shared" si="6"/>
        <v>ELY1 GRP3 MOD3 TEMP2 ANALOG1</v>
      </c>
      <c r="E112" s="31">
        <f t="shared" si="7"/>
        <v>28</v>
      </c>
      <c r="F112" s="32" t="str">
        <f t="shared" si="8"/>
        <v>ELECTROLYSIS SYSTEM ELECTROLYSIS ARRAY 1 ELECTROLYZER SYSTEM MODULE GROUP 3 ELECTROLYSIS MODULES MODULE 3 TEMPERATURE MODULE OUTLET H2 ANALOG PROCESS SIGNAL</v>
      </c>
      <c r="G112" s="29" t="s">
        <v>1614</v>
      </c>
      <c r="H112" s="29" t="s">
        <v>1615</v>
      </c>
      <c r="I112" s="29" t="str">
        <f t="shared" si="9"/>
        <v>01</v>
      </c>
      <c r="J112" s="29" t="s">
        <v>1616</v>
      </c>
      <c r="K112" s="29" t="s">
        <v>1976</v>
      </c>
      <c r="L112" s="29" t="s">
        <v>1977</v>
      </c>
      <c r="M112" s="29" t="s">
        <v>1909</v>
      </c>
      <c r="N112" s="29" t="s">
        <v>2136</v>
      </c>
      <c r="O112" s="29" t="s">
        <v>2020</v>
      </c>
      <c r="P112" s="29" t="s">
        <v>2021</v>
      </c>
      <c r="Q112" s="29" t="s">
        <v>1830</v>
      </c>
      <c r="R112" s="29" t="s">
        <v>2039</v>
      </c>
      <c r="S112" s="29" t="s">
        <v>1791</v>
      </c>
      <c r="T112" s="29" t="s">
        <v>2027</v>
      </c>
      <c r="U112" s="29" t="s">
        <v>193</v>
      </c>
      <c r="V112" s="29" t="s">
        <v>1083</v>
      </c>
      <c r="W112" s="35" t="s">
        <v>1628</v>
      </c>
      <c r="X112" s="35" t="s">
        <v>2137</v>
      </c>
      <c r="Y112" s="35" t="s">
        <v>2040</v>
      </c>
      <c r="Z112" s="35" t="s">
        <v>1793</v>
      </c>
      <c r="AA112" s="35" t="s">
        <v>1666</v>
      </c>
      <c r="AB112" s="29" t="s">
        <v>1791</v>
      </c>
      <c r="AC112" s="35" t="s">
        <v>1633</v>
      </c>
      <c r="AD112" s="35" t="s">
        <v>1668</v>
      </c>
      <c r="AE112" s="35" t="s">
        <v>1668</v>
      </c>
      <c r="AF112" s="35" t="s">
        <v>1635</v>
      </c>
      <c r="AG112" s="35" t="s">
        <v>1670</v>
      </c>
      <c r="AI112" s="35"/>
      <c r="AJ112" s="35" t="s">
        <v>1671</v>
      </c>
      <c r="AK112" s="35" t="s">
        <v>1672</v>
      </c>
      <c r="AL112" s="29" t="s">
        <v>1720</v>
      </c>
      <c r="AM112" s="35" t="s">
        <v>1721</v>
      </c>
      <c r="AN112" s="35" t="s">
        <v>1967</v>
      </c>
      <c r="AO112" s="35"/>
      <c r="AP112" s="35"/>
      <c r="AQ112" s="35"/>
      <c r="AR112" s="29" t="s">
        <v>1756</v>
      </c>
      <c r="AS112" s="35"/>
      <c r="AT112" s="29" t="s">
        <v>1640</v>
      </c>
      <c r="AU112" s="35"/>
      <c r="AW112" s="35"/>
      <c r="AY112" s="35"/>
      <c r="AZ112" s="35"/>
      <c r="BA112" s="35"/>
      <c r="BB112" s="29" t="s">
        <v>2138</v>
      </c>
      <c r="BC112" s="29" t="s">
        <v>1900</v>
      </c>
      <c r="BD112" s="29" t="s">
        <v>1804</v>
      </c>
      <c r="BE112" s="29" t="s">
        <v>1805</v>
      </c>
      <c r="BF112" s="29" t="s">
        <v>1973</v>
      </c>
      <c r="BG112" s="29" t="s">
        <v>2167</v>
      </c>
      <c r="BH112" s="29" t="s">
        <v>2140</v>
      </c>
      <c r="BI112" s="35"/>
      <c r="BJ112" s="35"/>
      <c r="BK112" s="29" t="str" cm="1">
        <f t="array" ref="BK112">_xlfn.UNIQUE(MID(BB112,16,14))</f>
        <v>U012UNA01UH131</v>
      </c>
    </row>
    <row r="113" spans="1:63" x14ac:dyDescent="0.3">
      <c r="A113" s="29" t="s">
        <v>2168</v>
      </c>
      <c r="B113" s="36" t="str">
        <f t="shared" si="5"/>
        <v>G01NHB03HT004-BT01</v>
      </c>
      <c r="C113" s="33" t="s">
        <v>2169</v>
      </c>
      <c r="D113" s="34" t="str">
        <f t="shared" si="6"/>
        <v>ELY1 GRP3 MOD4 TEMP1 ANALOG1</v>
      </c>
      <c r="E113" s="31">
        <f t="shared" si="7"/>
        <v>28</v>
      </c>
      <c r="F113" s="32" t="str">
        <f t="shared" si="8"/>
        <v>ELECTROLYSIS SYSTEM ELECTROLYSIS ARRAY 1 ELECTROLYZER SYSTEM MODULE GROUP 3 ELECTROLYSIS MODULES MODULE 4 TEMPERATURE MODULE OUTLET O2 ANALOG PROCESS SIGNAL</v>
      </c>
      <c r="G113" s="29" t="s">
        <v>1614</v>
      </c>
      <c r="H113" s="29" t="s">
        <v>1615</v>
      </c>
      <c r="I113" s="29" t="str">
        <f t="shared" si="9"/>
        <v>01</v>
      </c>
      <c r="J113" s="29" t="s">
        <v>1616</v>
      </c>
      <c r="K113" s="29" t="s">
        <v>1976</v>
      </c>
      <c r="L113" s="29" t="s">
        <v>1977</v>
      </c>
      <c r="M113" s="29" t="s">
        <v>1909</v>
      </c>
      <c r="N113" s="29" t="s">
        <v>2136</v>
      </c>
      <c r="O113" s="29" t="s">
        <v>2020</v>
      </c>
      <c r="P113" s="29" t="s">
        <v>2021</v>
      </c>
      <c r="Q113" s="29" t="s">
        <v>1838</v>
      </c>
      <c r="R113" s="29" t="s">
        <v>2046</v>
      </c>
      <c r="S113" s="29" t="s">
        <v>1715</v>
      </c>
      <c r="T113" s="29" t="s">
        <v>2023</v>
      </c>
      <c r="U113" s="29" t="s">
        <v>193</v>
      </c>
      <c r="V113" s="29" t="s">
        <v>1083</v>
      </c>
      <c r="W113" s="35" t="s">
        <v>1628</v>
      </c>
      <c r="X113" s="35" t="s">
        <v>2137</v>
      </c>
      <c r="Y113" s="35" t="s">
        <v>2047</v>
      </c>
      <c r="Z113" s="35" t="s">
        <v>1719</v>
      </c>
      <c r="AA113" s="35" t="s">
        <v>1666</v>
      </c>
      <c r="AB113" s="29" t="s">
        <v>1715</v>
      </c>
      <c r="AC113" s="35" t="s">
        <v>1633</v>
      </c>
      <c r="AD113" s="35" t="s">
        <v>1668</v>
      </c>
      <c r="AE113" s="35" t="s">
        <v>1668</v>
      </c>
      <c r="AF113" s="35" t="s">
        <v>1635</v>
      </c>
      <c r="AG113" s="35" t="s">
        <v>1670</v>
      </c>
      <c r="AI113" s="35"/>
      <c r="AJ113" s="35" t="s">
        <v>1671</v>
      </c>
      <c r="AK113" s="35" t="s">
        <v>1672</v>
      </c>
      <c r="AL113" s="29" t="s">
        <v>1720</v>
      </c>
      <c r="AM113" s="35" t="s">
        <v>1721</v>
      </c>
      <c r="AN113" s="35" t="s">
        <v>1967</v>
      </c>
      <c r="AO113" s="35"/>
      <c r="AP113" s="35"/>
      <c r="AQ113" s="35"/>
      <c r="AR113" s="29" t="s">
        <v>1756</v>
      </c>
      <c r="AS113" s="35"/>
      <c r="AT113" s="29" t="s">
        <v>1640</v>
      </c>
      <c r="AU113" s="35"/>
      <c r="AW113" s="35"/>
      <c r="AY113" s="35"/>
      <c r="AZ113" s="35"/>
      <c r="BA113" s="35"/>
      <c r="BB113" s="29" t="s">
        <v>2138</v>
      </c>
      <c r="BC113" s="29" t="s">
        <v>1900</v>
      </c>
      <c r="BD113" s="29" t="s">
        <v>1804</v>
      </c>
      <c r="BE113" s="29" t="s">
        <v>1805</v>
      </c>
      <c r="BF113" s="29" t="s">
        <v>2048</v>
      </c>
      <c r="BG113" s="29" t="s">
        <v>2170</v>
      </c>
      <c r="BH113" s="29" t="s">
        <v>2140</v>
      </c>
      <c r="BI113" s="35"/>
      <c r="BJ113" s="35"/>
      <c r="BK113" s="29" t="str" cm="1">
        <f t="array" ref="BK113">_xlfn.UNIQUE(MID(BB113,16,14))</f>
        <v>U012UNA01UH131</v>
      </c>
    </row>
    <row r="114" spans="1:63" x14ac:dyDescent="0.3">
      <c r="A114" s="29" t="s">
        <v>2168</v>
      </c>
      <c r="B114" s="36" t="str">
        <f t="shared" si="5"/>
        <v>G01NHB03HT004-BT02</v>
      </c>
      <c r="C114" s="33" t="s">
        <v>2171</v>
      </c>
      <c r="D114" s="34" t="str">
        <f t="shared" si="6"/>
        <v>ELY1 GRP3 MOD4 TEMP2 ANALOG1</v>
      </c>
      <c r="E114" s="31">
        <f t="shared" si="7"/>
        <v>28</v>
      </c>
      <c r="F114" s="32" t="str">
        <f t="shared" si="8"/>
        <v>ELECTROLYSIS SYSTEM ELECTROLYSIS ARRAY 1 ELECTROLYZER SYSTEM MODULE GROUP 3 ELECTROLYSIS MODULES MODULE 4 TEMPERATURE MODULE OUTLET H2 ANALOG PROCESS SIGNAL</v>
      </c>
      <c r="G114" s="29" t="s">
        <v>1614</v>
      </c>
      <c r="H114" s="29" t="s">
        <v>1615</v>
      </c>
      <c r="I114" s="29" t="str">
        <f t="shared" si="9"/>
        <v>01</v>
      </c>
      <c r="J114" s="29" t="s">
        <v>1616</v>
      </c>
      <c r="K114" s="29" t="s">
        <v>1976</v>
      </c>
      <c r="L114" s="29" t="s">
        <v>1977</v>
      </c>
      <c r="M114" s="29" t="s">
        <v>1909</v>
      </c>
      <c r="N114" s="29" t="s">
        <v>2136</v>
      </c>
      <c r="O114" s="29" t="s">
        <v>2020</v>
      </c>
      <c r="P114" s="29" t="s">
        <v>2021</v>
      </c>
      <c r="Q114" s="29" t="s">
        <v>1838</v>
      </c>
      <c r="R114" s="29" t="s">
        <v>2046</v>
      </c>
      <c r="S114" s="29" t="s">
        <v>1791</v>
      </c>
      <c r="T114" s="29" t="s">
        <v>2027</v>
      </c>
      <c r="U114" s="29" t="s">
        <v>193</v>
      </c>
      <c r="V114" s="29" t="s">
        <v>1083</v>
      </c>
      <c r="W114" s="35" t="s">
        <v>1628</v>
      </c>
      <c r="X114" s="35" t="s">
        <v>2137</v>
      </c>
      <c r="Y114" s="35" t="s">
        <v>2047</v>
      </c>
      <c r="Z114" s="35" t="s">
        <v>1793</v>
      </c>
      <c r="AA114" s="35" t="s">
        <v>1666</v>
      </c>
      <c r="AB114" s="29" t="s">
        <v>1791</v>
      </c>
      <c r="AC114" s="35" t="s">
        <v>1633</v>
      </c>
      <c r="AD114" s="35" t="s">
        <v>1668</v>
      </c>
      <c r="AE114" s="35" t="s">
        <v>1668</v>
      </c>
      <c r="AF114" s="35" t="s">
        <v>1635</v>
      </c>
      <c r="AG114" s="35" t="s">
        <v>1670</v>
      </c>
      <c r="AI114" s="35"/>
      <c r="AJ114" s="35" t="s">
        <v>1671</v>
      </c>
      <c r="AK114" s="35" t="s">
        <v>1672</v>
      </c>
      <c r="AL114" s="29" t="s">
        <v>1720</v>
      </c>
      <c r="AM114" s="35" t="s">
        <v>1721</v>
      </c>
      <c r="AN114" s="35" t="s">
        <v>1967</v>
      </c>
      <c r="AO114" s="35"/>
      <c r="AP114" s="35"/>
      <c r="AQ114" s="35"/>
      <c r="AR114" s="29" t="s">
        <v>1756</v>
      </c>
      <c r="AS114" s="35"/>
      <c r="AT114" s="29" t="s">
        <v>1640</v>
      </c>
      <c r="AU114" s="35"/>
      <c r="AW114" s="35"/>
      <c r="AY114" s="35"/>
      <c r="AZ114" s="35"/>
      <c r="BA114" s="35"/>
      <c r="BB114" s="29" t="s">
        <v>2138</v>
      </c>
      <c r="BC114" s="29" t="s">
        <v>1900</v>
      </c>
      <c r="BD114" s="29" t="s">
        <v>1804</v>
      </c>
      <c r="BE114" s="29" t="s">
        <v>1805</v>
      </c>
      <c r="BF114" s="29" t="s">
        <v>2051</v>
      </c>
      <c r="BG114" s="29" t="s">
        <v>2172</v>
      </c>
      <c r="BH114" s="29" t="s">
        <v>2140</v>
      </c>
      <c r="BI114" s="35"/>
      <c r="BJ114" s="35"/>
      <c r="BK114" s="29" t="str" cm="1">
        <f t="array" ref="BK114">_xlfn.UNIQUE(MID(BB114,16,14))</f>
        <v>U012UNA01UH131</v>
      </c>
    </row>
    <row r="115" spans="1:63" x14ac:dyDescent="0.3">
      <c r="A115" s="29" t="s">
        <v>2173</v>
      </c>
      <c r="B115" s="36" t="str">
        <f t="shared" si="5"/>
        <v>G01NHB03KF001-BA01</v>
      </c>
      <c r="C115" s="33" t="s">
        <v>2174</v>
      </c>
      <c r="D115" s="34" t="str">
        <f t="shared" si="6"/>
        <v>ELY1 GRP3 CTRL U1 CELL VOLT1 ANALOG1</v>
      </c>
      <c r="E115" s="31">
        <f t="shared" si="7"/>
        <v>36</v>
      </c>
      <c r="F115" s="32" t="str">
        <f t="shared" si="8"/>
        <v>ELECTROLYSIS SYSTEM ELECTROLYSIS ARRAY 1 ELECTROLYZER SYSTEM MODULE GROUP 3 CONTROL UNITS CELL VOLTAGE MEASUREMENT CELL-VOLTAGE-MEASUREMENT - MODULE 1 CELL -VOLTAGE MODULE 1</v>
      </c>
      <c r="G115" s="29" t="s">
        <v>1614</v>
      </c>
      <c r="H115" s="29" t="s">
        <v>1615</v>
      </c>
      <c r="I115" s="29" t="str">
        <f t="shared" si="9"/>
        <v>01</v>
      </c>
      <c r="J115" s="29" t="s">
        <v>1616</v>
      </c>
      <c r="K115" s="29" t="s">
        <v>1976</v>
      </c>
      <c r="L115" s="29" t="s">
        <v>1977</v>
      </c>
      <c r="M115" s="29" t="s">
        <v>1909</v>
      </c>
      <c r="N115" s="29" t="s">
        <v>2136</v>
      </c>
      <c r="O115" s="29" t="s">
        <v>1771</v>
      </c>
      <c r="P115" s="29" t="s">
        <v>2055</v>
      </c>
      <c r="Q115" s="29" t="s">
        <v>1623</v>
      </c>
      <c r="R115" s="29" t="s">
        <v>2056</v>
      </c>
      <c r="S115" s="29" t="s">
        <v>2057</v>
      </c>
      <c r="T115" s="29" t="s">
        <v>2058</v>
      </c>
      <c r="U115" s="29" t="s">
        <v>193</v>
      </c>
      <c r="V115" s="29" t="s">
        <v>2059</v>
      </c>
      <c r="W115" s="35" t="s">
        <v>1628</v>
      </c>
      <c r="X115" s="35" t="s">
        <v>2137</v>
      </c>
      <c r="Y115" s="35" t="s">
        <v>1775</v>
      </c>
      <c r="Z115" s="35" t="s">
        <v>2060</v>
      </c>
      <c r="AA115" s="35" t="s">
        <v>1666</v>
      </c>
      <c r="AB115" s="29" t="s">
        <v>2061</v>
      </c>
      <c r="AC115" s="35" t="s">
        <v>1633</v>
      </c>
      <c r="AD115" s="35" t="s">
        <v>2062</v>
      </c>
      <c r="AE115" s="35" t="s">
        <v>2062</v>
      </c>
      <c r="AF115" s="35" t="s">
        <v>1669</v>
      </c>
      <c r="AG115" s="35" t="s">
        <v>1728</v>
      </c>
      <c r="AI115" s="35"/>
      <c r="AJ115" s="35" t="s">
        <v>1671</v>
      </c>
      <c r="AK115" s="35" t="s">
        <v>1672</v>
      </c>
      <c r="AL115" s="29" t="s">
        <v>2063</v>
      </c>
      <c r="AM115" s="35" t="s">
        <v>1867</v>
      </c>
      <c r="AN115" s="35" t="s">
        <v>2064</v>
      </c>
      <c r="AO115" s="35"/>
      <c r="AP115" s="35"/>
      <c r="AQ115" s="35"/>
      <c r="AR115" s="29" t="s">
        <v>1756</v>
      </c>
      <c r="AS115" s="35"/>
      <c r="AT115" s="29" t="s">
        <v>1640</v>
      </c>
      <c r="AU115" s="35"/>
      <c r="AV115" s="29" t="s">
        <v>1641</v>
      </c>
      <c r="AW115" s="35"/>
      <c r="AX115" s="29" t="s">
        <v>1674</v>
      </c>
      <c r="AY115" s="35"/>
      <c r="AZ115" s="35"/>
      <c r="BA115" s="35"/>
      <c r="BB115" s="29" t="s">
        <v>2175</v>
      </c>
      <c r="BC115" s="29" t="s">
        <v>2066</v>
      </c>
      <c r="BF115" s="29" t="s">
        <v>1619</v>
      </c>
      <c r="BG115" s="29" t="s">
        <v>2176</v>
      </c>
      <c r="BH115" s="29" t="s">
        <v>2140</v>
      </c>
      <c r="BI115" s="35"/>
      <c r="BJ115" s="35"/>
      <c r="BK115" s="29" t="str" cm="1">
        <f t="array" ref="BK115">_xlfn.UNIQUE(MID(BB115,16,14))</f>
        <v>U012UNA01UH132</v>
      </c>
    </row>
    <row r="116" spans="1:63" x14ac:dyDescent="0.3">
      <c r="A116" s="29" t="s">
        <v>2173</v>
      </c>
      <c r="B116" s="36" t="str">
        <f t="shared" si="5"/>
        <v>G01NHB03KF001-BA02</v>
      </c>
      <c r="C116" s="33" t="s">
        <v>2177</v>
      </c>
      <c r="D116" s="34" t="str">
        <f t="shared" si="6"/>
        <v>ELY1 GRP3 CTRL U1 CELL VOLT2 ANALOG1</v>
      </c>
      <c r="E116" s="31">
        <f t="shared" si="7"/>
        <v>36</v>
      </c>
      <c r="F116" s="32" t="str">
        <f t="shared" si="8"/>
        <v>ELECTROLYSIS SYSTEM ELECTROLYSIS ARRAY 1 ELECTROLYZER SYSTEM MODULE GROUP 3 CONTROL UNITS CELL VOLTAGE MEASUREMENT CELL-VOLTAGE-MEASUREMENT - MODULE 2 CELL -VOLTAGE MODULE 2</v>
      </c>
      <c r="G116" s="29" t="s">
        <v>1614</v>
      </c>
      <c r="H116" s="29" t="s">
        <v>1615</v>
      </c>
      <c r="I116" s="29" t="str">
        <f t="shared" si="9"/>
        <v>01</v>
      </c>
      <c r="J116" s="29" t="s">
        <v>1616</v>
      </c>
      <c r="K116" s="29" t="s">
        <v>1976</v>
      </c>
      <c r="L116" s="29" t="s">
        <v>1977</v>
      </c>
      <c r="M116" s="29" t="s">
        <v>1909</v>
      </c>
      <c r="N116" s="29" t="s">
        <v>2136</v>
      </c>
      <c r="O116" s="29" t="s">
        <v>1771</v>
      </c>
      <c r="P116" s="29" t="s">
        <v>2055</v>
      </c>
      <c r="Q116" s="29" t="s">
        <v>1623</v>
      </c>
      <c r="R116" s="29" t="s">
        <v>2056</v>
      </c>
      <c r="S116" s="29" t="s">
        <v>2069</v>
      </c>
      <c r="T116" s="29" t="s">
        <v>2070</v>
      </c>
      <c r="U116" s="29" t="s">
        <v>193</v>
      </c>
      <c r="V116" s="29" t="s">
        <v>2071</v>
      </c>
      <c r="W116" s="35" t="s">
        <v>1628</v>
      </c>
      <c r="X116" s="35" t="s">
        <v>2137</v>
      </c>
      <c r="Y116" s="35" t="s">
        <v>1775</v>
      </c>
      <c r="Z116" s="35" t="s">
        <v>2072</v>
      </c>
      <c r="AA116" s="35" t="s">
        <v>1666</v>
      </c>
      <c r="AB116" s="29" t="s">
        <v>2073</v>
      </c>
      <c r="AC116" s="35" t="s">
        <v>1633</v>
      </c>
      <c r="AD116" s="35" t="s">
        <v>2062</v>
      </c>
      <c r="AE116" s="35" t="s">
        <v>2062</v>
      </c>
      <c r="AF116" s="35" t="s">
        <v>1669</v>
      </c>
      <c r="AG116" s="35" t="s">
        <v>1728</v>
      </c>
      <c r="AI116" s="35"/>
      <c r="AJ116" s="35" t="s">
        <v>1671</v>
      </c>
      <c r="AK116" s="35" t="s">
        <v>1672</v>
      </c>
      <c r="AL116" s="29" t="s">
        <v>2063</v>
      </c>
      <c r="AM116" s="35" t="s">
        <v>1867</v>
      </c>
      <c r="AN116" s="35" t="s">
        <v>2064</v>
      </c>
      <c r="AO116" s="35"/>
      <c r="AP116" s="35"/>
      <c r="AQ116" s="35"/>
      <c r="AR116" s="29" t="s">
        <v>1756</v>
      </c>
      <c r="AS116" s="35"/>
      <c r="AT116" s="29" t="s">
        <v>1640</v>
      </c>
      <c r="AU116" s="35"/>
      <c r="AV116" s="29" t="s">
        <v>1641</v>
      </c>
      <c r="AW116" s="35"/>
      <c r="AX116" s="29" t="s">
        <v>1674</v>
      </c>
      <c r="AY116" s="35"/>
      <c r="AZ116" s="35"/>
      <c r="BA116" s="35"/>
      <c r="BB116" s="29" t="s">
        <v>2175</v>
      </c>
      <c r="BC116" s="29" t="s">
        <v>2066</v>
      </c>
      <c r="BF116" s="29" t="s">
        <v>1905</v>
      </c>
      <c r="BG116" s="29" t="s">
        <v>2176</v>
      </c>
      <c r="BH116" s="29" t="s">
        <v>2140</v>
      </c>
      <c r="BI116" s="35"/>
      <c r="BJ116" s="35"/>
      <c r="BK116" s="29" t="str" cm="1">
        <f t="array" ref="BK116">_xlfn.UNIQUE(MID(BB116,16,14))</f>
        <v>U012UNA01UH132</v>
      </c>
    </row>
    <row r="117" spans="1:63" x14ac:dyDescent="0.3">
      <c r="A117" s="29" t="s">
        <v>2173</v>
      </c>
      <c r="B117" s="36" t="str">
        <f t="shared" si="5"/>
        <v>G01NHB03KF001-BA03</v>
      </c>
      <c r="C117" s="33" t="s">
        <v>2178</v>
      </c>
      <c r="D117" s="34" t="str">
        <f t="shared" si="6"/>
        <v>ELY1 GRP3 CTRL U1 CELL VOLT3 ANALOG1</v>
      </c>
      <c r="E117" s="31">
        <f t="shared" si="7"/>
        <v>36</v>
      </c>
      <c r="F117" s="32" t="str">
        <f t="shared" si="8"/>
        <v>ELECTROLYSIS SYSTEM ELECTROLYSIS ARRAY 1 ELECTROLYZER SYSTEM MODULE GROUP 3 CONTROL UNITS CELL VOLTAGE MEASUREMENT CELL-VOLTAGE-MEASUREMENT - MODULE 3 CELL -VOLTAGE MODULE 3</v>
      </c>
      <c r="G117" s="29" t="s">
        <v>1614</v>
      </c>
      <c r="H117" s="29" t="s">
        <v>1615</v>
      </c>
      <c r="I117" s="29" t="str">
        <f t="shared" si="9"/>
        <v>01</v>
      </c>
      <c r="J117" s="29" t="s">
        <v>1616</v>
      </c>
      <c r="K117" s="29" t="s">
        <v>1976</v>
      </c>
      <c r="L117" s="29" t="s">
        <v>1977</v>
      </c>
      <c r="M117" s="29" t="s">
        <v>1909</v>
      </c>
      <c r="N117" s="29" t="s">
        <v>2136</v>
      </c>
      <c r="O117" s="29" t="s">
        <v>1771</v>
      </c>
      <c r="P117" s="29" t="s">
        <v>2055</v>
      </c>
      <c r="Q117" s="29" t="s">
        <v>1623</v>
      </c>
      <c r="R117" s="29" t="s">
        <v>2056</v>
      </c>
      <c r="S117" s="29" t="s">
        <v>2075</v>
      </c>
      <c r="T117" s="29" t="s">
        <v>2076</v>
      </c>
      <c r="U117" s="29" t="s">
        <v>193</v>
      </c>
      <c r="V117" s="29" t="s">
        <v>2077</v>
      </c>
      <c r="W117" s="35" t="s">
        <v>1628</v>
      </c>
      <c r="X117" s="35" t="s">
        <v>2137</v>
      </c>
      <c r="Y117" s="35" t="s">
        <v>1775</v>
      </c>
      <c r="Z117" s="35" t="s">
        <v>2078</v>
      </c>
      <c r="AA117" s="35" t="s">
        <v>1666</v>
      </c>
      <c r="AB117" s="29" t="s">
        <v>2079</v>
      </c>
      <c r="AC117" s="35" t="s">
        <v>1633</v>
      </c>
      <c r="AD117" s="35" t="s">
        <v>2062</v>
      </c>
      <c r="AE117" s="35" t="s">
        <v>2062</v>
      </c>
      <c r="AF117" s="35" t="s">
        <v>1669</v>
      </c>
      <c r="AG117" s="35" t="s">
        <v>1728</v>
      </c>
      <c r="AI117" s="35"/>
      <c r="AJ117" s="35" t="s">
        <v>1671</v>
      </c>
      <c r="AK117" s="35" t="s">
        <v>1672</v>
      </c>
      <c r="AL117" s="29" t="s">
        <v>2063</v>
      </c>
      <c r="AM117" s="35" t="s">
        <v>1867</v>
      </c>
      <c r="AN117" s="35" t="s">
        <v>2064</v>
      </c>
      <c r="AO117" s="35"/>
      <c r="AP117" s="35"/>
      <c r="AQ117" s="35"/>
      <c r="AR117" s="29" t="s">
        <v>1756</v>
      </c>
      <c r="AS117" s="35"/>
      <c r="AT117" s="29" t="s">
        <v>1640</v>
      </c>
      <c r="AU117" s="35"/>
      <c r="AV117" s="29" t="s">
        <v>1641</v>
      </c>
      <c r="AW117" s="35"/>
      <c r="AX117" s="29" t="s">
        <v>1674</v>
      </c>
      <c r="AY117" s="35"/>
      <c r="AZ117" s="35"/>
      <c r="BA117" s="35"/>
      <c r="BB117" s="29" t="s">
        <v>2179</v>
      </c>
      <c r="BC117" s="29" t="s">
        <v>2066</v>
      </c>
      <c r="BF117" s="29" t="s">
        <v>1619</v>
      </c>
      <c r="BG117" s="29" t="s">
        <v>2176</v>
      </c>
      <c r="BH117" s="29" t="s">
        <v>2140</v>
      </c>
      <c r="BI117" s="35"/>
      <c r="BJ117" s="35"/>
      <c r="BK117" s="29" t="str" cm="1">
        <f t="array" ref="BK117">_xlfn.UNIQUE(MID(BB117,16,14))</f>
        <v>U012UNA01UH132</v>
      </c>
    </row>
    <row r="118" spans="1:63" x14ac:dyDescent="0.3">
      <c r="A118" s="29" t="s">
        <v>2173</v>
      </c>
      <c r="B118" s="36" t="str">
        <f t="shared" si="5"/>
        <v>G01NHB03KF001-BA04</v>
      </c>
      <c r="C118" s="33" t="s">
        <v>2180</v>
      </c>
      <c r="D118" s="34" t="str">
        <f t="shared" si="6"/>
        <v>ELY1 GRP3 CTRL U1 CELL VOLT4 ANALOG1</v>
      </c>
      <c r="E118" s="31">
        <f t="shared" si="7"/>
        <v>36</v>
      </c>
      <c r="F118" s="32" t="str">
        <f t="shared" si="8"/>
        <v>ELECTROLYSIS SYSTEM ELECTROLYSIS ARRAY 1 ELECTROLYZER SYSTEM MODULE GROUP 3 CONTROL UNITS CELL VOLTAGE MEASUREMENT CELL-VOLTAGE-MEASUREMENT - MODULE 4 CELL -VOLTAGE MODULE 4</v>
      </c>
      <c r="G118" s="29" t="s">
        <v>1614</v>
      </c>
      <c r="H118" s="29" t="s">
        <v>1615</v>
      </c>
      <c r="I118" s="29" t="str">
        <f t="shared" si="9"/>
        <v>01</v>
      </c>
      <c r="J118" s="29" t="s">
        <v>1616</v>
      </c>
      <c r="K118" s="29" t="s">
        <v>1976</v>
      </c>
      <c r="L118" s="29" t="s">
        <v>1977</v>
      </c>
      <c r="M118" s="29" t="s">
        <v>1909</v>
      </c>
      <c r="N118" s="29" t="s">
        <v>2136</v>
      </c>
      <c r="O118" s="29" t="s">
        <v>1771</v>
      </c>
      <c r="P118" s="29" t="s">
        <v>2055</v>
      </c>
      <c r="Q118" s="29" t="s">
        <v>1623</v>
      </c>
      <c r="R118" s="29" t="s">
        <v>2056</v>
      </c>
      <c r="S118" s="29" t="s">
        <v>2082</v>
      </c>
      <c r="T118" s="29" t="s">
        <v>2083</v>
      </c>
      <c r="U118" s="29" t="s">
        <v>193</v>
      </c>
      <c r="V118" s="29" t="s">
        <v>2084</v>
      </c>
      <c r="W118" s="35" t="s">
        <v>1628</v>
      </c>
      <c r="X118" s="35" t="s">
        <v>2137</v>
      </c>
      <c r="Y118" s="35" t="s">
        <v>1775</v>
      </c>
      <c r="Z118" s="35" t="s">
        <v>2085</v>
      </c>
      <c r="AA118" s="35" t="s">
        <v>1666</v>
      </c>
      <c r="AB118" s="29" t="s">
        <v>2086</v>
      </c>
      <c r="AC118" s="35" t="s">
        <v>1633</v>
      </c>
      <c r="AD118" s="35" t="s">
        <v>2062</v>
      </c>
      <c r="AE118" s="35" t="s">
        <v>2062</v>
      </c>
      <c r="AF118" s="35" t="s">
        <v>1669</v>
      </c>
      <c r="AG118" s="35" t="s">
        <v>1728</v>
      </c>
      <c r="AI118" s="35"/>
      <c r="AJ118" s="35" t="s">
        <v>1671</v>
      </c>
      <c r="AK118" s="35" t="s">
        <v>1672</v>
      </c>
      <c r="AL118" s="29" t="s">
        <v>2063</v>
      </c>
      <c r="AM118" s="35" t="s">
        <v>1867</v>
      </c>
      <c r="AN118" s="35" t="s">
        <v>2064</v>
      </c>
      <c r="AO118" s="35"/>
      <c r="AP118" s="35"/>
      <c r="AQ118" s="35"/>
      <c r="AR118" s="29" t="s">
        <v>1756</v>
      </c>
      <c r="AS118" s="35"/>
      <c r="AT118" s="29" t="s">
        <v>1640</v>
      </c>
      <c r="AU118" s="35"/>
      <c r="AV118" s="29" t="s">
        <v>1641</v>
      </c>
      <c r="AW118" s="35"/>
      <c r="AX118" s="29" t="s">
        <v>1674</v>
      </c>
      <c r="AY118" s="35"/>
      <c r="AZ118" s="35"/>
      <c r="BA118" s="35"/>
      <c r="BB118" s="29" t="s">
        <v>2179</v>
      </c>
      <c r="BC118" s="29" t="s">
        <v>2066</v>
      </c>
      <c r="BF118" s="29" t="s">
        <v>1905</v>
      </c>
      <c r="BG118" s="29" t="s">
        <v>2176</v>
      </c>
      <c r="BH118" s="29" t="s">
        <v>2140</v>
      </c>
      <c r="BI118" s="35"/>
      <c r="BJ118" s="35"/>
      <c r="BK118" s="29" t="str" cm="1">
        <f t="array" ref="BK118">_xlfn.UNIQUE(MID(BB118,16,14))</f>
        <v>U012UNA01UH132</v>
      </c>
    </row>
    <row r="119" spans="1:63" x14ac:dyDescent="0.3">
      <c r="A119" s="29" t="s">
        <v>2181</v>
      </c>
      <c r="B119" s="36" t="str">
        <f t="shared" si="5"/>
        <v>G01NHB04EQ001-BQ01</v>
      </c>
      <c r="C119" s="33" t="s">
        <v>2182</v>
      </c>
      <c r="D119" s="34" t="str">
        <f t="shared" si="6"/>
        <v>ELY1 GRP4 COOL QUAL1 ANALOG1</v>
      </c>
      <c r="E119" s="31">
        <f t="shared" si="7"/>
        <v>28</v>
      </c>
      <c r="F119" s="32" t="str">
        <f t="shared" si="8"/>
        <v>ELECTROLYSIS SYSTEM ELECTROLYSIS ARRAY 1 ELECTROLYZER SYSTEM MODULE GROUP 4 HEAT EXCHANGING SYSTEMS HEAT EXCHANGING SYSTEM 1 CONDUCTIVITY WP H2 ANALOG PROCESS SIGNAL</v>
      </c>
      <c r="G119" s="29" t="s">
        <v>1614</v>
      </c>
      <c r="H119" s="29" t="s">
        <v>1615</v>
      </c>
      <c r="I119" s="29" t="str">
        <f t="shared" si="9"/>
        <v>01</v>
      </c>
      <c r="J119" s="29" t="s">
        <v>1616</v>
      </c>
      <c r="K119" s="29" t="s">
        <v>1976</v>
      </c>
      <c r="L119" s="29" t="s">
        <v>1977</v>
      </c>
      <c r="M119" s="29" t="s">
        <v>1915</v>
      </c>
      <c r="N119" s="29" t="s">
        <v>2183</v>
      </c>
      <c r="O119" s="29" t="s">
        <v>1894</v>
      </c>
      <c r="P119" s="29" t="s">
        <v>1979</v>
      </c>
      <c r="Q119" s="29" t="s">
        <v>1623</v>
      </c>
      <c r="R119" s="29" t="s">
        <v>1980</v>
      </c>
      <c r="S119" s="29" t="s">
        <v>1687</v>
      </c>
      <c r="T119" s="29" t="s">
        <v>1981</v>
      </c>
      <c r="U119" s="29" t="s">
        <v>193</v>
      </c>
      <c r="V119" s="29" t="s">
        <v>1083</v>
      </c>
      <c r="W119" s="35" t="s">
        <v>1628</v>
      </c>
      <c r="X119" s="35" t="s">
        <v>2184</v>
      </c>
      <c r="Y119" s="35" t="s">
        <v>1898</v>
      </c>
      <c r="Z119" s="35" t="s">
        <v>1689</v>
      </c>
      <c r="AA119" s="35" t="s">
        <v>1666</v>
      </c>
      <c r="AB119" s="29" t="s">
        <v>1687</v>
      </c>
      <c r="AC119" s="35" t="s">
        <v>1633</v>
      </c>
      <c r="AD119" s="35" t="s">
        <v>1668</v>
      </c>
      <c r="AE119" s="35" t="s">
        <v>1668</v>
      </c>
      <c r="AF119" s="35" t="s">
        <v>1635</v>
      </c>
      <c r="AG119" s="35" t="s">
        <v>1670</v>
      </c>
      <c r="AI119" s="35"/>
      <c r="AJ119" s="35" t="s">
        <v>1671</v>
      </c>
      <c r="AK119" s="35" t="s">
        <v>1672</v>
      </c>
      <c r="AL119" s="29" t="s">
        <v>1671</v>
      </c>
      <c r="AM119" s="35" t="s">
        <v>1702</v>
      </c>
      <c r="AN119" s="35" t="s">
        <v>1703</v>
      </c>
      <c r="AO119" s="35"/>
      <c r="AP119" s="35"/>
      <c r="AQ119" s="35"/>
      <c r="AR119" s="29" t="s">
        <v>1756</v>
      </c>
      <c r="AS119" s="35"/>
      <c r="AT119" s="29" t="s">
        <v>1640</v>
      </c>
      <c r="AU119" s="35"/>
      <c r="AW119" s="35"/>
      <c r="AY119" s="35"/>
      <c r="AZ119" s="35"/>
      <c r="BA119" s="35"/>
      <c r="BB119" s="29" t="s">
        <v>2185</v>
      </c>
      <c r="BC119" s="29" t="s">
        <v>1900</v>
      </c>
      <c r="BD119" s="29" t="s">
        <v>1804</v>
      </c>
      <c r="BE119" s="29" t="s">
        <v>1984</v>
      </c>
      <c r="BF119" s="29" t="s">
        <v>1619</v>
      </c>
      <c r="BG119" s="29" t="s">
        <v>2186</v>
      </c>
      <c r="BH119" s="29" t="s">
        <v>2187</v>
      </c>
      <c r="BI119" s="35"/>
      <c r="BJ119" s="35"/>
      <c r="BK119" s="29" t="str" cm="1">
        <f t="array" ref="BK119">_xlfn.UNIQUE(MID(BB119,16,14))</f>
        <v>U012UNA01UH141</v>
      </c>
    </row>
    <row r="120" spans="1:63" x14ac:dyDescent="0.3">
      <c r="A120" s="29" t="s">
        <v>2181</v>
      </c>
      <c r="B120" s="36" t="str">
        <f t="shared" si="5"/>
        <v>G01NHB04EQ001-BQ01</v>
      </c>
      <c r="C120" s="33" t="s">
        <v>2188</v>
      </c>
      <c r="D120" s="34" t="str">
        <f t="shared" si="6"/>
        <v>ELY1 GRP4 COOL QUAL1 ANALOG2</v>
      </c>
      <c r="E120" s="31">
        <f t="shared" si="7"/>
        <v>28</v>
      </c>
      <c r="F120" s="32" t="str">
        <f t="shared" si="8"/>
        <v>ELECTROLYSIS SYSTEM ELECTROLYSIS ARRAY 1 ELECTROLYZER SYSTEM MODULE GROUP 4 HEAT EXCHANGING SYSTEMS HEAT EXCHANGING SYSTEM 1 CONDUCTIVITY WP H2 ANALOG PROCESS SIGNAL</v>
      </c>
      <c r="G120" s="29" t="s">
        <v>1614</v>
      </c>
      <c r="H120" s="29" t="s">
        <v>1615</v>
      </c>
      <c r="I120" s="29" t="str">
        <f t="shared" si="9"/>
        <v>01</v>
      </c>
      <c r="J120" s="29" t="s">
        <v>1616</v>
      </c>
      <c r="K120" s="29" t="s">
        <v>1976</v>
      </c>
      <c r="L120" s="29" t="s">
        <v>1977</v>
      </c>
      <c r="M120" s="29" t="s">
        <v>1915</v>
      </c>
      <c r="N120" s="29" t="s">
        <v>2183</v>
      </c>
      <c r="O120" s="29" t="s">
        <v>1894</v>
      </c>
      <c r="P120" s="29" t="s">
        <v>1979</v>
      </c>
      <c r="Q120" s="29" t="s">
        <v>1623</v>
      </c>
      <c r="R120" s="29" t="s">
        <v>1980</v>
      </c>
      <c r="S120" s="29" t="s">
        <v>1687</v>
      </c>
      <c r="T120" s="29" t="s">
        <v>1981</v>
      </c>
      <c r="U120" s="29" t="s">
        <v>905</v>
      </c>
      <c r="V120" s="29" t="s">
        <v>1083</v>
      </c>
      <c r="W120" s="35" t="s">
        <v>1628</v>
      </c>
      <c r="X120" s="35" t="s">
        <v>2184</v>
      </c>
      <c r="Y120" s="35" t="s">
        <v>1898</v>
      </c>
      <c r="Z120" s="35" t="s">
        <v>1689</v>
      </c>
      <c r="AA120" s="35" t="s">
        <v>1705</v>
      </c>
      <c r="AB120" s="29" t="s">
        <v>1687</v>
      </c>
      <c r="AC120" s="35" t="s">
        <v>1633</v>
      </c>
      <c r="AD120" s="35" t="s">
        <v>1668</v>
      </c>
      <c r="AE120" s="35" t="s">
        <v>1668</v>
      </c>
      <c r="AF120" s="35" t="s">
        <v>1635</v>
      </c>
      <c r="AG120" s="35" t="s">
        <v>1670</v>
      </c>
      <c r="AI120" s="35"/>
      <c r="AJ120" s="35" t="s">
        <v>1671</v>
      </c>
      <c r="AK120" s="35" t="s">
        <v>1672</v>
      </c>
      <c r="AL120" s="29" t="s">
        <v>1706</v>
      </c>
      <c r="AM120" s="35" t="s">
        <v>1702</v>
      </c>
      <c r="AN120" s="35" t="s">
        <v>1703</v>
      </c>
      <c r="AO120" s="35"/>
      <c r="AP120" s="35"/>
      <c r="AQ120" s="35"/>
      <c r="AS120" s="35"/>
      <c r="AU120" s="35"/>
      <c r="AV120" s="29" t="s">
        <v>1641</v>
      </c>
      <c r="AW120" s="35"/>
      <c r="AX120" s="29" t="s">
        <v>1674</v>
      </c>
      <c r="AY120" s="35"/>
      <c r="AZ120" s="35"/>
      <c r="BA120" s="35"/>
      <c r="BB120" s="29" t="s">
        <v>2185</v>
      </c>
      <c r="BC120" s="29" t="s">
        <v>1900</v>
      </c>
      <c r="BD120" s="29" t="s">
        <v>1918</v>
      </c>
      <c r="BE120" s="29" t="s">
        <v>1988</v>
      </c>
      <c r="BF120" s="29" t="s">
        <v>1905</v>
      </c>
      <c r="BG120" s="29" t="s">
        <v>2186</v>
      </c>
      <c r="BH120" s="29" t="s">
        <v>2187</v>
      </c>
      <c r="BI120" s="35"/>
      <c r="BJ120" s="35"/>
      <c r="BK120" s="29" t="str" cm="1">
        <f t="array" ref="BK120">_xlfn.UNIQUE(MID(BB120,16,14))</f>
        <v>U012UNA01UH141</v>
      </c>
    </row>
    <row r="121" spans="1:63" x14ac:dyDescent="0.3">
      <c r="A121" s="29" t="s">
        <v>2181</v>
      </c>
      <c r="B121" s="36" t="str">
        <f t="shared" si="5"/>
        <v>G01NHB04EQ001-BQ02</v>
      </c>
      <c r="C121" s="33" t="s">
        <v>2189</v>
      </c>
      <c r="D121" s="34" t="str">
        <f t="shared" si="6"/>
        <v>ELY1 GRP4 COOL QUAL2 ANALOG1</v>
      </c>
      <c r="E121" s="31">
        <f t="shared" si="7"/>
        <v>28</v>
      </c>
      <c r="F121" s="32" t="str">
        <f t="shared" si="8"/>
        <v>ELECTROLYSIS SYSTEM ELECTROLYSIS ARRAY 1 ELECTROLYZER SYSTEM MODULE GROUP 4 HEAT EXCHANGING SYSTEMS HEAT EXCHANGING SYSTEM 1 CONDUCTIVITY WP O2 ANALOG PROCESS SIGNAL</v>
      </c>
      <c r="G121" s="29" t="s">
        <v>1614</v>
      </c>
      <c r="H121" s="29" t="s">
        <v>1615</v>
      </c>
      <c r="I121" s="29" t="str">
        <f t="shared" si="9"/>
        <v>01</v>
      </c>
      <c r="J121" s="29" t="s">
        <v>1616</v>
      </c>
      <c r="K121" s="29" t="s">
        <v>1976</v>
      </c>
      <c r="L121" s="29" t="s">
        <v>1977</v>
      </c>
      <c r="M121" s="29" t="s">
        <v>1915</v>
      </c>
      <c r="N121" s="29" t="s">
        <v>2183</v>
      </c>
      <c r="O121" s="29" t="s">
        <v>1894</v>
      </c>
      <c r="P121" s="29" t="s">
        <v>1979</v>
      </c>
      <c r="Q121" s="29" t="s">
        <v>1623</v>
      </c>
      <c r="R121" s="29" t="s">
        <v>1980</v>
      </c>
      <c r="S121" s="29" t="s">
        <v>1990</v>
      </c>
      <c r="T121" s="29" t="s">
        <v>1991</v>
      </c>
      <c r="U121" s="29" t="s">
        <v>193</v>
      </c>
      <c r="V121" s="29" t="s">
        <v>1083</v>
      </c>
      <c r="W121" s="35" t="s">
        <v>1628</v>
      </c>
      <c r="X121" s="35" t="s">
        <v>2184</v>
      </c>
      <c r="Y121" s="35" t="s">
        <v>1898</v>
      </c>
      <c r="Z121" s="35" t="s">
        <v>1992</v>
      </c>
      <c r="AA121" s="35" t="s">
        <v>1666</v>
      </c>
      <c r="AB121" s="29" t="s">
        <v>1990</v>
      </c>
      <c r="AC121" s="35" t="s">
        <v>1633</v>
      </c>
      <c r="AD121" s="35" t="s">
        <v>1668</v>
      </c>
      <c r="AE121" s="35" t="s">
        <v>1668</v>
      </c>
      <c r="AF121" s="35" t="s">
        <v>1635</v>
      </c>
      <c r="AG121" s="35" t="s">
        <v>1670</v>
      </c>
      <c r="AI121" s="35"/>
      <c r="AJ121" s="35" t="s">
        <v>1671</v>
      </c>
      <c r="AK121" s="35" t="s">
        <v>1672</v>
      </c>
      <c r="AL121" s="29" t="s">
        <v>1671</v>
      </c>
      <c r="AM121" s="35" t="s">
        <v>1702</v>
      </c>
      <c r="AN121" s="35" t="s">
        <v>1703</v>
      </c>
      <c r="AO121" s="35"/>
      <c r="AP121" s="35"/>
      <c r="AQ121" s="35"/>
      <c r="AR121" s="29" t="s">
        <v>1756</v>
      </c>
      <c r="AS121" s="35"/>
      <c r="AT121" s="29" t="s">
        <v>1640</v>
      </c>
      <c r="AU121" s="35"/>
      <c r="AW121" s="35"/>
      <c r="AY121" s="35"/>
      <c r="AZ121" s="35"/>
      <c r="BA121" s="35"/>
      <c r="BB121" s="29" t="s">
        <v>2185</v>
      </c>
      <c r="BC121" s="29" t="s">
        <v>1900</v>
      </c>
      <c r="BD121" s="29" t="s">
        <v>1804</v>
      </c>
      <c r="BE121" s="29" t="s">
        <v>1984</v>
      </c>
      <c r="BF121" s="29" t="s">
        <v>1909</v>
      </c>
      <c r="BG121" s="29" t="s">
        <v>2190</v>
      </c>
      <c r="BH121" s="29" t="s">
        <v>2187</v>
      </c>
      <c r="BI121" s="35"/>
      <c r="BJ121" s="35"/>
      <c r="BK121" s="29" t="str" cm="1">
        <f t="array" ref="BK121">_xlfn.UNIQUE(MID(BB121,16,14))</f>
        <v>U012UNA01UH141</v>
      </c>
    </row>
    <row r="122" spans="1:63" x14ac:dyDescent="0.3">
      <c r="A122" s="29" t="s">
        <v>2181</v>
      </c>
      <c r="B122" s="36" t="str">
        <f t="shared" si="5"/>
        <v>G01NHB04EQ001-BQ02</v>
      </c>
      <c r="C122" s="33" t="s">
        <v>2191</v>
      </c>
      <c r="D122" s="34" t="str">
        <f t="shared" si="6"/>
        <v>ELY1 GRP4 COOL QUAL2 ANALOG2</v>
      </c>
      <c r="E122" s="31">
        <f t="shared" si="7"/>
        <v>28</v>
      </c>
      <c r="F122" s="32" t="str">
        <f t="shared" si="8"/>
        <v>ELECTROLYSIS SYSTEM ELECTROLYSIS ARRAY 1 ELECTROLYZER SYSTEM MODULE GROUP 4 HEAT EXCHANGING SYSTEMS HEAT EXCHANGING SYSTEM 1 CONDUCTIVITY WP O2 ANALOG PROCESS SIGNAL</v>
      </c>
      <c r="G122" s="29" t="s">
        <v>1614</v>
      </c>
      <c r="H122" s="29" t="s">
        <v>1615</v>
      </c>
      <c r="I122" s="29" t="str">
        <f t="shared" si="9"/>
        <v>01</v>
      </c>
      <c r="J122" s="29" t="s">
        <v>1616</v>
      </c>
      <c r="K122" s="29" t="s">
        <v>1976</v>
      </c>
      <c r="L122" s="29" t="s">
        <v>1977</v>
      </c>
      <c r="M122" s="29" t="s">
        <v>1915</v>
      </c>
      <c r="N122" s="29" t="s">
        <v>2183</v>
      </c>
      <c r="O122" s="29" t="s">
        <v>1894</v>
      </c>
      <c r="P122" s="29" t="s">
        <v>1979</v>
      </c>
      <c r="Q122" s="29" t="s">
        <v>1623</v>
      </c>
      <c r="R122" s="29" t="s">
        <v>1980</v>
      </c>
      <c r="S122" s="29" t="s">
        <v>1990</v>
      </c>
      <c r="T122" s="29" t="s">
        <v>1991</v>
      </c>
      <c r="U122" s="29" t="s">
        <v>905</v>
      </c>
      <c r="V122" s="29" t="s">
        <v>1083</v>
      </c>
      <c r="W122" s="35" t="s">
        <v>1628</v>
      </c>
      <c r="X122" s="35" t="s">
        <v>2184</v>
      </c>
      <c r="Y122" s="35" t="s">
        <v>1898</v>
      </c>
      <c r="Z122" s="35" t="s">
        <v>1992</v>
      </c>
      <c r="AA122" s="35" t="s">
        <v>1705</v>
      </c>
      <c r="AB122" s="29" t="s">
        <v>1990</v>
      </c>
      <c r="AC122" s="35" t="s">
        <v>1633</v>
      </c>
      <c r="AD122" s="35" t="s">
        <v>1668</v>
      </c>
      <c r="AE122" s="35" t="s">
        <v>1668</v>
      </c>
      <c r="AF122" s="35" t="s">
        <v>1635</v>
      </c>
      <c r="AG122" s="35" t="s">
        <v>1670</v>
      </c>
      <c r="AI122" s="35"/>
      <c r="AJ122" s="35" t="s">
        <v>1671</v>
      </c>
      <c r="AK122" s="35" t="s">
        <v>1672</v>
      </c>
      <c r="AL122" s="29" t="s">
        <v>1706</v>
      </c>
      <c r="AM122" s="35" t="s">
        <v>1702</v>
      </c>
      <c r="AN122" s="35" t="s">
        <v>1703</v>
      </c>
      <c r="AO122" s="35"/>
      <c r="AP122" s="35"/>
      <c r="AQ122" s="35"/>
      <c r="AS122" s="35"/>
      <c r="AU122" s="35"/>
      <c r="AV122" s="29" t="s">
        <v>1641</v>
      </c>
      <c r="AW122" s="35"/>
      <c r="AX122" s="29" t="s">
        <v>1674</v>
      </c>
      <c r="AY122" s="35"/>
      <c r="AZ122" s="35"/>
      <c r="BA122" s="35"/>
      <c r="BB122" s="29" t="s">
        <v>2185</v>
      </c>
      <c r="BC122" s="29" t="s">
        <v>1900</v>
      </c>
      <c r="BD122" s="29" t="s">
        <v>1918</v>
      </c>
      <c r="BE122" s="29" t="s">
        <v>1988</v>
      </c>
      <c r="BF122" s="29" t="s">
        <v>1915</v>
      </c>
      <c r="BG122" s="29" t="s">
        <v>2190</v>
      </c>
      <c r="BH122" s="29" t="s">
        <v>2187</v>
      </c>
      <c r="BI122" s="35"/>
      <c r="BJ122" s="35"/>
      <c r="BK122" s="29" t="str" cm="1">
        <f t="array" ref="BK122">_xlfn.UNIQUE(MID(BB122,16,14))</f>
        <v>U012UNA01UH141</v>
      </c>
    </row>
    <row r="123" spans="1:63" x14ac:dyDescent="0.3">
      <c r="A123" s="29" t="s">
        <v>2181</v>
      </c>
      <c r="B123" s="36" t="str">
        <f t="shared" si="5"/>
        <v>G01NHB04EQ001-BT01</v>
      </c>
      <c r="C123" s="33" t="s">
        <v>2192</v>
      </c>
      <c r="D123" s="34" t="str">
        <f t="shared" si="6"/>
        <v>ELY1 GRP4 COOL TEMP1 ANALOG1</v>
      </c>
      <c r="E123" s="31">
        <f t="shared" si="7"/>
        <v>28</v>
      </c>
      <c r="F123" s="32" t="str">
        <f t="shared" si="8"/>
        <v>ELECTROLYSIS SYSTEM ELECTROLYSIS ARRAY 1 ELECTROLYZER SYSTEM MODULE GROUP 4 HEAT EXCHANGING SYSTEMS HEAT EXCHANGING SYSTEM 1 TEMPERATURE WCR ANALOG PROCESS SIGNAL</v>
      </c>
      <c r="G123" s="29" t="s">
        <v>1614</v>
      </c>
      <c r="H123" s="29" t="s">
        <v>1615</v>
      </c>
      <c r="I123" s="29" t="str">
        <f t="shared" si="9"/>
        <v>01</v>
      </c>
      <c r="J123" s="29" t="s">
        <v>1616</v>
      </c>
      <c r="K123" s="29" t="s">
        <v>1976</v>
      </c>
      <c r="L123" s="29" t="s">
        <v>1977</v>
      </c>
      <c r="M123" s="29" t="s">
        <v>1915</v>
      </c>
      <c r="N123" s="29" t="s">
        <v>2183</v>
      </c>
      <c r="O123" s="29" t="s">
        <v>1894</v>
      </c>
      <c r="P123" s="29" t="s">
        <v>1979</v>
      </c>
      <c r="Q123" s="29" t="s">
        <v>1623</v>
      </c>
      <c r="R123" s="29" t="s">
        <v>1980</v>
      </c>
      <c r="S123" s="29" t="s">
        <v>1715</v>
      </c>
      <c r="T123" s="29" t="s">
        <v>1996</v>
      </c>
      <c r="U123" s="29" t="s">
        <v>193</v>
      </c>
      <c r="V123" s="29" t="s">
        <v>1083</v>
      </c>
      <c r="W123" s="35" t="s">
        <v>1628</v>
      </c>
      <c r="X123" s="35" t="s">
        <v>2184</v>
      </c>
      <c r="Y123" s="35" t="s">
        <v>1898</v>
      </c>
      <c r="Z123" s="35" t="s">
        <v>1719</v>
      </c>
      <c r="AA123" s="35" t="s">
        <v>1666</v>
      </c>
      <c r="AB123" s="29" t="s">
        <v>1715</v>
      </c>
      <c r="AC123" s="35" t="s">
        <v>1633</v>
      </c>
      <c r="AD123" s="35" t="s">
        <v>1668</v>
      </c>
      <c r="AE123" s="35" t="s">
        <v>1668</v>
      </c>
      <c r="AF123" s="35" t="s">
        <v>1635</v>
      </c>
      <c r="AG123" s="35" t="s">
        <v>1670</v>
      </c>
      <c r="AI123" s="35"/>
      <c r="AJ123" s="35" t="s">
        <v>1671</v>
      </c>
      <c r="AK123" s="35" t="s">
        <v>1672</v>
      </c>
      <c r="AL123" s="29" t="s">
        <v>1706</v>
      </c>
      <c r="AM123" s="35" t="s">
        <v>1721</v>
      </c>
      <c r="AN123" s="35" t="s">
        <v>1967</v>
      </c>
      <c r="AO123" s="35"/>
      <c r="AP123" s="35"/>
      <c r="AQ123" s="35"/>
      <c r="AS123" s="35"/>
      <c r="AU123" s="35"/>
      <c r="AW123" s="35"/>
      <c r="AY123" s="35"/>
      <c r="AZ123" s="35"/>
      <c r="BA123" s="35"/>
      <c r="BB123" s="29" t="s">
        <v>2185</v>
      </c>
      <c r="BC123" s="29" t="s">
        <v>1900</v>
      </c>
      <c r="BD123" s="29" t="s">
        <v>1804</v>
      </c>
      <c r="BE123" s="29" t="s">
        <v>1805</v>
      </c>
      <c r="BF123" s="29" t="s">
        <v>1919</v>
      </c>
      <c r="BG123" s="29" t="s">
        <v>2193</v>
      </c>
      <c r="BH123" s="29" t="s">
        <v>2187</v>
      </c>
      <c r="BI123" s="35"/>
      <c r="BJ123" s="35"/>
      <c r="BK123" s="29" t="str" cm="1">
        <f t="array" ref="BK123">_xlfn.UNIQUE(MID(BB123,16,14))</f>
        <v>U012UNA01UH141</v>
      </c>
    </row>
    <row r="124" spans="1:63" x14ac:dyDescent="0.3">
      <c r="A124" s="29" t="s">
        <v>2181</v>
      </c>
      <c r="B124" s="36" t="str">
        <f t="shared" si="5"/>
        <v>G01NHB04EQ001-BT02</v>
      </c>
      <c r="C124" s="33" t="s">
        <v>2194</v>
      </c>
      <c r="D124" s="34" t="str">
        <f t="shared" si="6"/>
        <v>ELY1 GRP4 COOL TEMP2 ANALOG1</v>
      </c>
      <c r="E124" s="31">
        <f t="shared" si="7"/>
        <v>28</v>
      </c>
      <c r="F124" s="32" t="str">
        <f t="shared" si="8"/>
        <v>ELECTROLYSIS SYSTEM ELECTROLYSIS ARRAY 1 ELECTROLYZER SYSTEM MODULE GROUP 4 HEAT EXCHANGING SYSTEMS HEAT EXCHANGING SYSTEM 1 TEMPERATURE WP H2 ANALOG PROCESS SIGNAL</v>
      </c>
      <c r="G124" s="29" t="s">
        <v>1614</v>
      </c>
      <c r="H124" s="29" t="s">
        <v>1615</v>
      </c>
      <c r="I124" s="29" t="str">
        <f t="shared" si="9"/>
        <v>01</v>
      </c>
      <c r="J124" s="29" t="s">
        <v>1616</v>
      </c>
      <c r="K124" s="29" t="s">
        <v>1976</v>
      </c>
      <c r="L124" s="29" t="s">
        <v>1977</v>
      </c>
      <c r="M124" s="29" t="s">
        <v>1915</v>
      </c>
      <c r="N124" s="29" t="s">
        <v>2183</v>
      </c>
      <c r="O124" s="29" t="s">
        <v>1894</v>
      </c>
      <c r="P124" s="29" t="s">
        <v>1979</v>
      </c>
      <c r="Q124" s="29" t="s">
        <v>1623</v>
      </c>
      <c r="R124" s="29" t="s">
        <v>1980</v>
      </c>
      <c r="S124" s="29" t="s">
        <v>1791</v>
      </c>
      <c r="T124" s="29" t="s">
        <v>1999</v>
      </c>
      <c r="U124" s="29" t="s">
        <v>193</v>
      </c>
      <c r="V124" s="29" t="s">
        <v>1083</v>
      </c>
      <c r="W124" s="35" t="s">
        <v>1628</v>
      </c>
      <c r="X124" s="35" t="s">
        <v>2184</v>
      </c>
      <c r="Y124" s="35" t="s">
        <v>1898</v>
      </c>
      <c r="Z124" s="35" t="s">
        <v>1793</v>
      </c>
      <c r="AA124" s="35" t="s">
        <v>1666</v>
      </c>
      <c r="AB124" s="29" t="s">
        <v>1791</v>
      </c>
      <c r="AC124" s="35" t="s">
        <v>1633</v>
      </c>
      <c r="AD124" s="35" t="s">
        <v>1668</v>
      </c>
      <c r="AE124" s="35" t="s">
        <v>1668</v>
      </c>
      <c r="AF124" s="35" t="s">
        <v>1635</v>
      </c>
      <c r="AG124" s="35" t="s">
        <v>1670</v>
      </c>
      <c r="AI124" s="35"/>
      <c r="AJ124" s="35" t="s">
        <v>1671</v>
      </c>
      <c r="AK124" s="35" t="s">
        <v>1638</v>
      </c>
      <c r="AL124" s="29" t="s">
        <v>1706</v>
      </c>
      <c r="AM124" s="35" t="s">
        <v>1721</v>
      </c>
      <c r="AN124" s="35" t="s">
        <v>1967</v>
      </c>
      <c r="AO124" s="35"/>
      <c r="AP124" s="35"/>
      <c r="AQ124" s="35"/>
      <c r="AS124" s="35"/>
      <c r="AT124" s="29" t="s">
        <v>2000</v>
      </c>
      <c r="AU124" s="35"/>
      <c r="AV124" s="29" t="s">
        <v>2001</v>
      </c>
      <c r="AW124" s="35"/>
      <c r="AY124" s="35"/>
      <c r="AZ124" s="35" t="s">
        <v>1642</v>
      </c>
      <c r="BA124" s="35" t="s">
        <v>2002</v>
      </c>
      <c r="BB124" s="29" t="s">
        <v>2195</v>
      </c>
      <c r="BC124" s="29" t="s">
        <v>2004</v>
      </c>
      <c r="BD124" s="29" t="s">
        <v>2005</v>
      </c>
      <c r="BE124" s="29" t="s">
        <v>2006</v>
      </c>
      <c r="BF124" s="29" t="s">
        <v>1619</v>
      </c>
      <c r="BG124" s="29" t="s">
        <v>2196</v>
      </c>
      <c r="BH124" s="29" t="s">
        <v>2187</v>
      </c>
      <c r="BI124" s="35"/>
      <c r="BJ124" s="35"/>
      <c r="BK124" s="29" t="str" cm="1">
        <f t="array" ref="BK124">_xlfn.UNIQUE(MID(BB124,16,14))</f>
        <v>U012UNA01UH100</v>
      </c>
    </row>
    <row r="125" spans="1:63" x14ac:dyDescent="0.3">
      <c r="A125" s="29" t="s">
        <v>2181</v>
      </c>
      <c r="B125" s="36" t="str">
        <f t="shared" si="5"/>
        <v>G01NHB04EQ001-BT03</v>
      </c>
      <c r="C125" s="33" t="s">
        <v>2197</v>
      </c>
      <c r="D125" s="34" t="str">
        <f t="shared" si="6"/>
        <v>ELY1 GRP4 COOL TEMP3 ANALOG1</v>
      </c>
      <c r="E125" s="31">
        <f t="shared" si="7"/>
        <v>28</v>
      </c>
      <c r="F125" s="32" t="str">
        <f t="shared" si="8"/>
        <v>ELECTROLYSIS SYSTEM ELECTROLYSIS ARRAY 1 ELECTROLYZER SYSTEM MODULE GROUP 4 HEAT EXCHANGING SYSTEMS HEAT EXCHANGING SYSTEM 1 TEMPERATURE WP O2 ANALOG PROCESS SIGNAL</v>
      </c>
      <c r="G125" s="29" t="s">
        <v>1614</v>
      </c>
      <c r="H125" s="29" t="s">
        <v>1615</v>
      </c>
      <c r="I125" s="29" t="str">
        <f t="shared" si="9"/>
        <v>01</v>
      </c>
      <c r="J125" s="29" t="s">
        <v>1616</v>
      </c>
      <c r="K125" s="29" t="s">
        <v>1976</v>
      </c>
      <c r="L125" s="29" t="s">
        <v>1977</v>
      </c>
      <c r="M125" s="29" t="s">
        <v>1915</v>
      </c>
      <c r="N125" s="29" t="s">
        <v>2183</v>
      </c>
      <c r="O125" s="29" t="s">
        <v>1894</v>
      </c>
      <c r="P125" s="29" t="s">
        <v>1979</v>
      </c>
      <c r="Q125" s="29" t="s">
        <v>1623</v>
      </c>
      <c r="R125" s="29" t="s">
        <v>1980</v>
      </c>
      <c r="S125" s="29" t="s">
        <v>1796</v>
      </c>
      <c r="T125" s="29" t="s">
        <v>2009</v>
      </c>
      <c r="U125" s="29" t="s">
        <v>193</v>
      </c>
      <c r="V125" s="29" t="s">
        <v>1083</v>
      </c>
      <c r="W125" s="35" t="s">
        <v>1628</v>
      </c>
      <c r="X125" s="35" t="s">
        <v>2184</v>
      </c>
      <c r="Y125" s="35" t="s">
        <v>1898</v>
      </c>
      <c r="Z125" s="35" t="s">
        <v>1798</v>
      </c>
      <c r="AA125" s="35" t="s">
        <v>1666</v>
      </c>
      <c r="AB125" s="29" t="s">
        <v>1796</v>
      </c>
      <c r="AC125" s="35" t="s">
        <v>1633</v>
      </c>
      <c r="AD125" s="35" t="s">
        <v>1668</v>
      </c>
      <c r="AE125" s="35" t="s">
        <v>1668</v>
      </c>
      <c r="AF125" s="35" t="s">
        <v>1635</v>
      </c>
      <c r="AG125" s="35" t="s">
        <v>1670</v>
      </c>
      <c r="AI125" s="35"/>
      <c r="AJ125" s="35" t="s">
        <v>1671</v>
      </c>
      <c r="AK125" s="35" t="s">
        <v>1638</v>
      </c>
      <c r="AL125" s="29" t="s">
        <v>1706</v>
      </c>
      <c r="AM125" s="35" t="s">
        <v>1721</v>
      </c>
      <c r="AN125" s="35" t="s">
        <v>1967</v>
      </c>
      <c r="AO125" s="35"/>
      <c r="AP125" s="35"/>
      <c r="AQ125" s="35"/>
      <c r="AS125" s="35"/>
      <c r="AT125" s="29" t="s">
        <v>2000</v>
      </c>
      <c r="AU125" s="35"/>
      <c r="AV125" s="29" t="s">
        <v>2001</v>
      </c>
      <c r="AW125" s="35"/>
      <c r="AY125" s="35"/>
      <c r="AZ125" s="35" t="s">
        <v>1642</v>
      </c>
      <c r="BA125" s="35" t="s">
        <v>2002</v>
      </c>
      <c r="BB125" s="29" t="s">
        <v>2195</v>
      </c>
      <c r="BC125" s="29" t="s">
        <v>2004</v>
      </c>
      <c r="BD125" s="29" t="s">
        <v>2010</v>
      </c>
      <c r="BE125" s="29" t="s">
        <v>2011</v>
      </c>
      <c r="BF125" s="29" t="s">
        <v>1905</v>
      </c>
      <c r="BG125" s="29" t="s">
        <v>2198</v>
      </c>
      <c r="BH125" s="29" t="s">
        <v>2187</v>
      </c>
      <c r="BI125" s="35"/>
      <c r="BJ125" s="35"/>
      <c r="BK125" s="29" t="str" cm="1">
        <f t="array" ref="BK125">_xlfn.UNIQUE(MID(BB125,16,14))</f>
        <v>U012UNA01UH100</v>
      </c>
    </row>
    <row r="126" spans="1:63" x14ac:dyDescent="0.3">
      <c r="A126" s="29" t="s">
        <v>2181</v>
      </c>
      <c r="B126" s="36" t="str">
        <f t="shared" si="5"/>
        <v>G01NHB04EQ001-QN01</v>
      </c>
      <c r="C126" s="33" t="s">
        <v>2199</v>
      </c>
      <c r="D126" s="34" t="str">
        <f t="shared" si="6"/>
        <v>ELY1 GRP4 COOL CV1 ANALOG1</v>
      </c>
      <c r="E126" s="31">
        <f t="shared" si="7"/>
        <v>26</v>
      </c>
      <c r="F126" s="32" t="str">
        <f t="shared" si="8"/>
        <v>ELECTROLYSIS SYSTEM ELECTROLYSIS ARRAY 1 ELECTROLYZER SYSTEM MODULE GROUP 4 HEAT EXCHANGING SYSTEMS HEAT EXCHANGING SYSTEM 1 COOLING WATER - CONTROL VALVE ANALOG PROCESS SIGNAL</v>
      </c>
      <c r="G126" s="29" t="s">
        <v>1614</v>
      </c>
      <c r="H126" s="29" t="s">
        <v>1615</v>
      </c>
      <c r="I126" s="29" t="str">
        <f t="shared" si="9"/>
        <v>01</v>
      </c>
      <c r="J126" s="29" t="s">
        <v>1616</v>
      </c>
      <c r="K126" s="29" t="s">
        <v>1976</v>
      </c>
      <c r="L126" s="29" t="s">
        <v>1977</v>
      </c>
      <c r="M126" s="29" t="s">
        <v>1915</v>
      </c>
      <c r="N126" s="29" t="s">
        <v>2183</v>
      </c>
      <c r="O126" s="29" t="s">
        <v>1894</v>
      </c>
      <c r="P126" s="29" t="s">
        <v>1979</v>
      </c>
      <c r="Q126" s="29" t="s">
        <v>1623</v>
      </c>
      <c r="R126" s="29" t="s">
        <v>1980</v>
      </c>
      <c r="S126" s="29" t="s">
        <v>1800</v>
      </c>
      <c r="T126" s="29" t="s">
        <v>2014</v>
      </c>
      <c r="U126" s="29" t="s">
        <v>193</v>
      </c>
      <c r="V126" s="29" t="s">
        <v>1083</v>
      </c>
      <c r="W126" s="35" t="s">
        <v>1628</v>
      </c>
      <c r="X126" s="35" t="s">
        <v>2184</v>
      </c>
      <c r="Y126" s="35" t="s">
        <v>1898</v>
      </c>
      <c r="Z126" s="35" t="s">
        <v>1802</v>
      </c>
      <c r="AA126" s="35" t="s">
        <v>1666</v>
      </c>
      <c r="AB126" s="29" t="s">
        <v>2015</v>
      </c>
      <c r="AC126" s="35" t="s">
        <v>1633</v>
      </c>
      <c r="AD126" s="35" t="s">
        <v>1668</v>
      </c>
      <c r="AE126" s="35" t="s">
        <v>1668</v>
      </c>
      <c r="AF126" s="35" t="s">
        <v>1635</v>
      </c>
      <c r="AG126" s="35" t="s">
        <v>1670</v>
      </c>
      <c r="AI126" s="35"/>
      <c r="AJ126" s="35" t="s">
        <v>1671</v>
      </c>
      <c r="AK126" s="35" t="s">
        <v>1672</v>
      </c>
      <c r="AL126" s="29" t="s">
        <v>1803</v>
      </c>
      <c r="AM126" s="35"/>
      <c r="AN126" s="35"/>
      <c r="AO126" s="35"/>
      <c r="AP126" s="35"/>
      <c r="AQ126" s="35"/>
      <c r="AS126" s="35"/>
      <c r="AU126" s="35"/>
      <c r="AW126" s="35"/>
      <c r="AY126" s="35"/>
      <c r="AZ126" s="35"/>
      <c r="BA126" s="35"/>
      <c r="BB126" s="29" t="s">
        <v>2185</v>
      </c>
      <c r="BC126" s="29" t="s">
        <v>1900</v>
      </c>
      <c r="BD126" s="29" t="s">
        <v>1804</v>
      </c>
      <c r="BE126" s="29" t="s">
        <v>1805</v>
      </c>
      <c r="BF126" s="29" t="s">
        <v>2016</v>
      </c>
      <c r="BG126" s="29" t="s">
        <v>2200</v>
      </c>
      <c r="BH126" s="29" t="s">
        <v>2187</v>
      </c>
      <c r="BI126" s="35"/>
      <c r="BJ126" s="35"/>
      <c r="BK126" s="29" t="str" cm="1">
        <f t="array" ref="BK126">_xlfn.UNIQUE(MID(BB126,16,14))</f>
        <v>U012UNA01UH141</v>
      </c>
    </row>
    <row r="127" spans="1:63" x14ac:dyDescent="0.3">
      <c r="A127" s="29" t="s">
        <v>2201</v>
      </c>
      <c r="B127" s="36" t="str">
        <f t="shared" si="5"/>
        <v>G01NHB04HT001-BT01</v>
      </c>
      <c r="C127" s="33" t="s">
        <v>2202</v>
      </c>
      <c r="D127" s="34" t="str">
        <f t="shared" si="6"/>
        <v>ELY1 GRP4 MOD1 TEMP1 ANALOG1</v>
      </c>
      <c r="E127" s="31">
        <f t="shared" si="7"/>
        <v>28</v>
      </c>
      <c r="F127" s="32" t="str">
        <f t="shared" si="8"/>
        <v>ELECTROLYSIS SYSTEM ELECTROLYSIS ARRAY 1 ELECTROLYZER SYSTEM MODULE GROUP 4 ELECTROLYSIS MODULES MODULE 1 TEMPERATURE MODULE OUTLET O2 ANALOG PROCESS SIGNAL</v>
      </c>
      <c r="G127" s="29" t="s">
        <v>1614</v>
      </c>
      <c r="H127" s="29" t="s">
        <v>1615</v>
      </c>
      <c r="I127" s="29" t="str">
        <f t="shared" si="9"/>
        <v>01</v>
      </c>
      <c r="J127" s="29" t="s">
        <v>1616</v>
      </c>
      <c r="K127" s="29" t="s">
        <v>1976</v>
      </c>
      <c r="L127" s="29" t="s">
        <v>1977</v>
      </c>
      <c r="M127" s="29" t="s">
        <v>1915</v>
      </c>
      <c r="N127" s="29" t="s">
        <v>2183</v>
      </c>
      <c r="O127" s="29" t="s">
        <v>2020</v>
      </c>
      <c r="P127" s="29" t="s">
        <v>2021</v>
      </c>
      <c r="Q127" s="29" t="s">
        <v>1623</v>
      </c>
      <c r="R127" s="29" t="s">
        <v>2022</v>
      </c>
      <c r="S127" s="29" t="s">
        <v>1715</v>
      </c>
      <c r="T127" s="29" t="s">
        <v>2023</v>
      </c>
      <c r="U127" s="29" t="s">
        <v>193</v>
      </c>
      <c r="V127" s="29" t="s">
        <v>1083</v>
      </c>
      <c r="W127" s="35" t="s">
        <v>1628</v>
      </c>
      <c r="X127" s="35" t="s">
        <v>2184</v>
      </c>
      <c r="Y127" s="35" t="s">
        <v>2024</v>
      </c>
      <c r="Z127" s="35" t="s">
        <v>1719</v>
      </c>
      <c r="AA127" s="35" t="s">
        <v>1666</v>
      </c>
      <c r="AB127" s="29" t="s">
        <v>1715</v>
      </c>
      <c r="AC127" s="35" t="s">
        <v>1633</v>
      </c>
      <c r="AD127" s="35" t="s">
        <v>1668</v>
      </c>
      <c r="AE127" s="35" t="s">
        <v>1668</v>
      </c>
      <c r="AF127" s="35" t="s">
        <v>1635</v>
      </c>
      <c r="AG127" s="35" t="s">
        <v>1670</v>
      </c>
      <c r="AI127" s="35"/>
      <c r="AJ127" s="35" t="s">
        <v>1671</v>
      </c>
      <c r="AK127" s="35" t="s">
        <v>1672</v>
      </c>
      <c r="AL127" s="29" t="s">
        <v>1720</v>
      </c>
      <c r="AM127" s="35" t="s">
        <v>1721</v>
      </c>
      <c r="AN127" s="35" t="s">
        <v>1967</v>
      </c>
      <c r="AO127" s="35"/>
      <c r="AP127" s="35"/>
      <c r="AQ127" s="35"/>
      <c r="AR127" s="29" t="s">
        <v>1756</v>
      </c>
      <c r="AS127" s="35"/>
      <c r="AT127" s="29" t="s">
        <v>1640</v>
      </c>
      <c r="AU127" s="35"/>
      <c r="AW127" s="35"/>
      <c r="AY127" s="35"/>
      <c r="AZ127" s="35"/>
      <c r="BA127" s="35"/>
      <c r="BB127" s="29" t="s">
        <v>2185</v>
      </c>
      <c r="BC127" s="29" t="s">
        <v>1900</v>
      </c>
      <c r="BD127" s="29" t="s">
        <v>1804</v>
      </c>
      <c r="BE127" s="29" t="s">
        <v>1805</v>
      </c>
      <c r="BF127" s="29" t="s">
        <v>1922</v>
      </c>
      <c r="BG127" s="29" t="s">
        <v>2203</v>
      </c>
      <c r="BH127" s="29" t="s">
        <v>2187</v>
      </c>
      <c r="BI127" s="35"/>
      <c r="BJ127" s="35"/>
      <c r="BK127" s="29" t="str" cm="1">
        <f t="array" ref="BK127">_xlfn.UNIQUE(MID(BB127,16,14))</f>
        <v>U012UNA01UH141</v>
      </c>
    </row>
    <row r="128" spans="1:63" x14ac:dyDescent="0.3">
      <c r="A128" s="29" t="s">
        <v>2201</v>
      </c>
      <c r="B128" s="36" t="str">
        <f t="shared" si="5"/>
        <v>G01NHB04HT001-BT02</v>
      </c>
      <c r="C128" s="33" t="s">
        <v>2204</v>
      </c>
      <c r="D128" s="34" t="str">
        <f t="shared" si="6"/>
        <v>ELY1 GRP4 MOD1 TEMP2 ANALOG1</v>
      </c>
      <c r="E128" s="31">
        <f t="shared" si="7"/>
        <v>28</v>
      </c>
      <c r="F128" s="32" t="str">
        <f t="shared" si="8"/>
        <v>ELECTROLYSIS SYSTEM ELECTROLYSIS ARRAY 1 ELECTROLYZER SYSTEM MODULE GROUP 4 ELECTROLYSIS MODULES MODULE 1 TEMPERATURE MODULE OUTLET H2 ANALOG PROCESS SIGNAL</v>
      </c>
      <c r="G128" s="29" t="s">
        <v>1614</v>
      </c>
      <c r="H128" s="29" t="s">
        <v>1615</v>
      </c>
      <c r="I128" s="29" t="str">
        <f t="shared" si="9"/>
        <v>01</v>
      </c>
      <c r="J128" s="29" t="s">
        <v>1616</v>
      </c>
      <c r="K128" s="29" t="s">
        <v>1976</v>
      </c>
      <c r="L128" s="29" t="s">
        <v>1977</v>
      </c>
      <c r="M128" s="29" t="s">
        <v>1915</v>
      </c>
      <c r="N128" s="29" t="s">
        <v>2183</v>
      </c>
      <c r="O128" s="29" t="s">
        <v>2020</v>
      </c>
      <c r="P128" s="29" t="s">
        <v>2021</v>
      </c>
      <c r="Q128" s="29" t="s">
        <v>1623</v>
      </c>
      <c r="R128" s="29" t="s">
        <v>2022</v>
      </c>
      <c r="S128" s="29" t="s">
        <v>1791</v>
      </c>
      <c r="T128" s="29" t="s">
        <v>2027</v>
      </c>
      <c r="U128" s="29" t="s">
        <v>193</v>
      </c>
      <c r="V128" s="29" t="s">
        <v>1083</v>
      </c>
      <c r="W128" s="35" t="s">
        <v>1628</v>
      </c>
      <c r="X128" s="35" t="s">
        <v>2184</v>
      </c>
      <c r="Y128" s="35" t="s">
        <v>2024</v>
      </c>
      <c r="Z128" s="35" t="s">
        <v>1793</v>
      </c>
      <c r="AA128" s="35" t="s">
        <v>1666</v>
      </c>
      <c r="AB128" s="29" t="s">
        <v>1791</v>
      </c>
      <c r="AC128" s="35" t="s">
        <v>1633</v>
      </c>
      <c r="AD128" s="35" t="s">
        <v>1668</v>
      </c>
      <c r="AE128" s="35" t="s">
        <v>1668</v>
      </c>
      <c r="AF128" s="35" t="s">
        <v>1635</v>
      </c>
      <c r="AG128" s="35" t="s">
        <v>1670</v>
      </c>
      <c r="AI128" s="35"/>
      <c r="AJ128" s="35" t="s">
        <v>1671</v>
      </c>
      <c r="AK128" s="35" t="s">
        <v>1672</v>
      </c>
      <c r="AL128" s="29" t="s">
        <v>1720</v>
      </c>
      <c r="AM128" s="35" t="s">
        <v>1721</v>
      </c>
      <c r="AN128" s="35" t="s">
        <v>1967</v>
      </c>
      <c r="AO128" s="35"/>
      <c r="AP128" s="35"/>
      <c r="AQ128" s="35"/>
      <c r="AR128" s="29" t="s">
        <v>1756</v>
      </c>
      <c r="AS128" s="35"/>
      <c r="AT128" s="29" t="s">
        <v>1640</v>
      </c>
      <c r="AU128" s="35"/>
      <c r="AW128" s="35"/>
      <c r="AY128" s="35"/>
      <c r="AZ128" s="35"/>
      <c r="BA128" s="35"/>
      <c r="BB128" s="29" t="s">
        <v>2185</v>
      </c>
      <c r="BC128" s="29" t="s">
        <v>1900</v>
      </c>
      <c r="BD128" s="29" t="s">
        <v>1804</v>
      </c>
      <c r="BE128" s="29" t="s">
        <v>1805</v>
      </c>
      <c r="BF128" s="29" t="s">
        <v>1931</v>
      </c>
      <c r="BG128" s="29" t="s">
        <v>2205</v>
      </c>
      <c r="BH128" s="29" t="s">
        <v>2187</v>
      </c>
      <c r="BI128" s="35"/>
      <c r="BJ128" s="35"/>
      <c r="BK128" s="29" t="str" cm="1">
        <f t="array" ref="BK128">_xlfn.UNIQUE(MID(BB128,16,14))</f>
        <v>U012UNA01UH141</v>
      </c>
    </row>
    <row r="129" spans="1:63" x14ac:dyDescent="0.3">
      <c r="A129" s="29" t="s">
        <v>2206</v>
      </c>
      <c r="B129" s="36" t="str">
        <f t="shared" si="5"/>
        <v>G01NHB04HT002-BT01</v>
      </c>
      <c r="C129" s="33" t="s">
        <v>2207</v>
      </c>
      <c r="D129" s="34" t="str">
        <f t="shared" si="6"/>
        <v>ELY1 GRP4 MOD2 TEMP1 ANALOG1</v>
      </c>
      <c r="E129" s="31">
        <f t="shared" si="7"/>
        <v>28</v>
      </c>
      <c r="F129" s="32" t="str">
        <f t="shared" si="8"/>
        <v>ELECTROLYSIS SYSTEM ELECTROLYSIS ARRAY 1 ELECTROLYZER SYSTEM MODULE GROUP 4 ELECTROLYSIS MODULES MODULE 2 TEMPERATURE MODULE OUTLET O2 ANALOG PROCESS SIGNAL</v>
      </c>
      <c r="G129" s="29" t="s">
        <v>1614</v>
      </c>
      <c r="H129" s="29" t="s">
        <v>1615</v>
      </c>
      <c r="I129" s="29" t="str">
        <f t="shared" si="9"/>
        <v>01</v>
      </c>
      <c r="J129" s="29" t="s">
        <v>1616</v>
      </c>
      <c r="K129" s="29" t="s">
        <v>1976</v>
      </c>
      <c r="L129" s="29" t="s">
        <v>1977</v>
      </c>
      <c r="M129" s="29" t="s">
        <v>1915</v>
      </c>
      <c r="N129" s="29" t="s">
        <v>2183</v>
      </c>
      <c r="O129" s="29" t="s">
        <v>2020</v>
      </c>
      <c r="P129" s="29" t="s">
        <v>2021</v>
      </c>
      <c r="Q129" s="29" t="s">
        <v>1872</v>
      </c>
      <c r="R129" s="29" t="s">
        <v>2031</v>
      </c>
      <c r="S129" s="29" t="s">
        <v>1715</v>
      </c>
      <c r="T129" s="29" t="s">
        <v>2023</v>
      </c>
      <c r="U129" s="29" t="s">
        <v>193</v>
      </c>
      <c r="V129" s="29" t="s">
        <v>1083</v>
      </c>
      <c r="W129" s="35" t="s">
        <v>1628</v>
      </c>
      <c r="X129" s="35" t="s">
        <v>2184</v>
      </c>
      <c r="Y129" s="35" t="s">
        <v>2032</v>
      </c>
      <c r="Z129" s="35" t="s">
        <v>1719</v>
      </c>
      <c r="AA129" s="35" t="s">
        <v>1666</v>
      </c>
      <c r="AB129" s="29" t="s">
        <v>1715</v>
      </c>
      <c r="AC129" s="35" t="s">
        <v>1633</v>
      </c>
      <c r="AD129" s="35" t="s">
        <v>1668</v>
      </c>
      <c r="AE129" s="35" t="s">
        <v>1668</v>
      </c>
      <c r="AF129" s="35" t="s">
        <v>1635</v>
      </c>
      <c r="AG129" s="35" t="s">
        <v>1670</v>
      </c>
      <c r="AI129" s="35"/>
      <c r="AJ129" s="35" t="s">
        <v>1671</v>
      </c>
      <c r="AK129" s="35" t="s">
        <v>1672</v>
      </c>
      <c r="AL129" s="29" t="s">
        <v>1720</v>
      </c>
      <c r="AM129" s="35" t="s">
        <v>1721</v>
      </c>
      <c r="AN129" s="35" t="s">
        <v>1967</v>
      </c>
      <c r="AO129" s="35"/>
      <c r="AP129" s="35"/>
      <c r="AQ129" s="35"/>
      <c r="AR129" s="29" t="s">
        <v>1756</v>
      </c>
      <c r="AS129" s="35"/>
      <c r="AT129" s="29" t="s">
        <v>1640</v>
      </c>
      <c r="AU129" s="35"/>
      <c r="AW129" s="35"/>
      <c r="AY129" s="35"/>
      <c r="AZ129" s="35"/>
      <c r="BA129" s="35"/>
      <c r="BB129" s="29" t="s">
        <v>2185</v>
      </c>
      <c r="BC129" s="29" t="s">
        <v>1900</v>
      </c>
      <c r="BD129" s="29" t="s">
        <v>1804</v>
      </c>
      <c r="BE129" s="29" t="s">
        <v>1805</v>
      </c>
      <c r="BF129" s="29" t="s">
        <v>1936</v>
      </c>
      <c r="BG129" s="29" t="s">
        <v>2208</v>
      </c>
      <c r="BH129" s="29" t="s">
        <v>2187</v>
      </c>
      <c r="BI129" s="35"/>
      <c r="BJ129" s="35"/>
      <c r="BK129" s="29" t="str" cm="1">
        <f t="array" ref="BK129">_xlfn.UNIQUE(MID(BB129,16,14))</f>
        <v>U012UNA01UH141</v>
      </c>
    </row>
    <row r="130" spans="1:63" x14ac:dyDescent="0.3">
      <c r="A130" s="29" t="s">
        <v>2206</v>
      </c>
      <c r="B130" s="36" t="str">
        <f t="shared" ref="B130:B193" si="10">RIGHT(A130,LEN(A130)-1)&amp;S130</f>
        <v>G01NHB04HT002-BT02</v>
      </c>
      <c r="C130" s="33" t="s">
        <v>2209</v>
      </c>
      <c r="D130" s="34" t="str">
        <f t="shared" ref="D130:D193" si="11">UPPER(W130&amp;" "&amp;X130&amp;" "&amp;Y130&amp;" "&amp;Z130&amp;" "&amp;AA130)</f>
        <v>ELY1 GRP4 MOD2 TEMP2 ANALOG1</v>
      </c>
      <c r="E130" s="31">
        <f t="shared" ref="E130:E193" si="12">LEN(D130)</f>
        <v>28</v>
      </c>
      <c r="F130" s="32" t="str">
        <f t="shared" ref="F130:F193" si="13">UPPER(H130&amp;" "&amp;J130&amp;" "&amp;L130&amp;" "&amp;N130&amp;" "&amp;P130&amp;" "&amp;R130&amp;" "&amp;T130&amp;" "&amp;V130)</f>
        <v>ELECTROLYSIS SYSTEM ELECTROLYSIS ARRAY 1 ELECTROLYZER SYSTEM MODULE GROUP 4 ELECTROLYSIS MODULES MODULE 2 TEMPERATURE MODULE OUTLET H2 ANALOG PROCESS SIGNAL</v>
      </c>
      <c r="G130" s="29" t="s">
        <v>1614</v>
      </c>
      <c r="H130" s="29" t="s">
        <v>1615</v>
      </c>
      <c r="I130" s="29" t="str">
        <f t="shared" ref="I130:I193" si="14">RIGHT(LEFT(A130,4),2)</f>
        <v>01</v>
      </c>
      <c r="J130" s="29" t="s">
        <v>1616</v>
      </c>
      <c r="K130" s="29" t="s">
        <v>1976</v>
      </c>
      <c r="L130" s="29" t="s">
        <v>1977</v>
      </c>
      <c r="M130" s="29" t="s">
        <v>1915</v>
      </c>
      <c r="N130" s="29" t="s">
        <v>2183</v>
      </c>
      <c r="O130" s="29" t="s">
        <v>2020</v>
      </c>
      <c r="P130" s="29" t="s">
        <v>2021</v>
      </c>
      <c r="Q130" s="29" t="s">
        <v>1872</v>
      </c>
      <c r="R130" s="29" t="s">
        <v>2031</v>
      </c>
      <c r="S130" s="29" t="s">
        <v>1791</v>
      </c>
      <c r="T130" s="29" t="s">
        <v>2027</v>
      </c>
      <c r="U130" s="29" t="s">
        <v>193</v>
      </c>
      <c r="V130" s="29" t="s">
        <v>1083</v>
      </c>
      <c r="W130" s="35" t="s">
        <v>1628</v>
      </c>
      <c r="X130" s="35" t="s">
        <v>2184</v>
      </c>
      <c r="Y130" s="35" t="s">
        <v>2032</v>
      </c>
      <c r="Z130" s="35" t="s">
        <v>1793</v>
      </c>
      <c r="AA130" s="35" t="s">
        <v>1666</v>
      </c>
      <c r="AB130" s="29" t="s">
        <v>1791</v>
      </c>
      <c r="AC130" s="35" t="s">
        <v>1633</v>
      </c>
      <c r="AD130" s="35" t="s">
        <v>1668</v>
      </c>
      <c r="AE130" s="35" t="s">
        <v>1668</v>
      </c>
      <c r="AF130" s="35" t="s">
        <v>1635</v>
      </c>
      <c r="AG130" s="35" t="s">
        <v>1670</v>
      </c>
      <c r="AI130" s="35"/>
      <c r="AJ130" s="35" t="s">
        <v>1671</v>
      </c>
      <c r="AK130" s="35" t="s">
        <v>1672</v>
      </c>
      <c r="AL130" s="29" t="s">
        <v>1720</v>
      </c>
      <c r="AM130" s="35" t="s">
        <v>1721</v>
      </c>
      <c r="AN130" s="35" t="s">
        <v>1967</v>
      </c>
      <c r="AO130" s="35"/>
      <c r="AP130" s="35"/>
      <c r="AQ130" s="35"/>
      <c r="AR130" s="29" t="s">
        <v>1756</v>
      </c>
      <c r="AS130" s="35"/>
      <c r="AT130" s="29" t="s">
        <v>1640</v>
      </c>
      <c r="AU130" s="35"/>
      <c r="AW130" s="35"/>
      <c r="AY130" s="35"/>
      <c r="AZ130" s="35"/>
      <c r="BA130" s="35"/>
      <c r="BB130" s="29" t="s">
        <v>2185</v>
      </c>
      <c r="BC130" s="29" t="s">
        <v>1900</v>
      </c>
      <c r="BD130" s="29" t="s">
        <v>1804</v>
      </c>
      <c r="BE130" s="29" t="s">
        <v>1805</v>
      </c>
      <c r="BF130" s="29" t="s">
        <v>2035</v>
      </c>
      <c r="BG130" s="29" t="s">
        <v>2210</v>
      </c>
      <c r="BH130" s="29" t="s">
        <v>2187</v>
      </c>
      <c r="BI130" s="35"/>
      <c r="BJ130" s="35"/>
      <c r="BK130" s="29" t="str" cm="1">
        <f t="array" ref="BK130">_xlfn.UNIQUE(MID(BB130,16,14))</f>
        <v>U012UNA01UH141</v>
      </c>
    </row>
    <row r="131" spans="1:63" x14ac:dyDescent="0.3">
      <c r="A131" s="29" t="s">
        <v>2211</v>
      </c>
      <c r="B131" s="36" t="str">
        <f t="shared" si="10"/>
        <v>G01NHB04HT003-BT01</v>
      </c>
      <c r="C131" s="33" t="s">
        <v>2212</v>
      </c>
      <c r="D131" s="34" t="str">
        <f t="shared" si="11"/>
        <v>ELY1 GRP4 MOD3 TEMP1 ANALOG1</v>
      </c>
      <c r="E131" s="31">
        <f t="shared" si="12"/>
        <v>28</v>
      </c>
      <c r="F131" s="32" t="str">
        <f t="shared" si="13"/>
        <v>ELECTROLYSIS SYSTEM ELECTROLYSIS ARRAY 1 ELECTROLYZER SYSTEM MODULE GROUP 4 ELECTROLYSIS MODULES MODULE 3 TEMPERATURE MODULE OUTLET O2 ANALOG PROCESS SIGNAL</v>
      </c>
      <c r="G131" s="29" t="s">
        <v>1614</v>
      </c>
      <c r="H131" s="29" t="s">
        <v>1615</v>
      </c>
      <c r="I131" s="29" t="str">
        <f t="shared" si="14"/>
        <v>01</v>
      </c>
      <c r="J131" s="29" t="s">
        <v>1616</v>
      </c>
      <c r="K131" s="29" t="s">
        <v>1976</v>
      </c>
      <c r="L131" s="29" t="s">
        <v>1977</v>
      </c>
      <c r="M131" s="29" t="s">
        <v>1915</v>
      </c>
      <c r="N131" s="29" t="s">
        <v>2183</v>
      </c>
      <c r="O131" s="29" t="s">
        <v>2020</v>
      </c>
      <c r="P131" s="29" t="s">
        <v>2021</v>
      </c>
      <c r="Q131" s="29" t="s">
        <v>1830</v>
      </c>
      <c r="R131" s="29" t="s">
        <v>2039</v>
      </c>
      <c r="S131" s="29" t="s">
        <v>1715</v>
      </c>
      <c r="T131" s="29" t="s">
        <v>2023</v>
      </c>
      <c r="U131" s="29" t="s">
        <v>193</v>
      </c>
      <c r="V131" s="29" t="s">
        <v>1083</v>
      </c>
      <c r="W131" s="35" t="s">
        <v>1628</v>
      </c>
      <c r="X131" s="35" t="s">
        <v>2184</v>
      </c>
      <c r="Y131" s="35" t="s">
        <v>2040</v>
      </c>
      <c r="Z131" s="35" t="s">
        <v>1719</v>
      </c>
      <c r="AA131" s="35" t="s">
        <v>1666</v>
      </c>
      <c r="AB131" s="29" t="s">
        <v>1715</v>
      </c>
      <c r="AC131" s="35" t="s">
        <v>1633</v>
      </c>
      <c r="AD131" s="35" t="s">
        <v>1668</v>
      </c>
      <c r="AE131" s="35" t="s">
        <v>1668</v>
      </c>
      <c r="AF131" s="35" t="s">
        <v>1635</v>
      </c>
      <c r="AG131" s="35" t="s">
        <v>1670</v>
      </c>
      <c r="AI131" s="35"/>
      <c r="AJ131" s="35" t="s">
        <v>1671</v>
      </c>
      <c r="AK131" s="35" t="s">
        <v>1672</v>
      </c>
      <c r="AL131" s="29" t="s">
        <v>1720</v>
      </c>
      <c r="AM131" s="35" t="s">
        <v>1721</v>
      </c>
      <c r="AN131" s="35" t="s">
        <v>1967</v>
      </c>
      <c r="AO131" s="35"/>
      <c r="AP131" s="35"/>
      <c r="AQ131" s="35"/>
      <c r="AR131" s="29" t="s">
        <v>1756</v>
      </c>
      <c r="AS131" s="35"/>
      <c r="AT131" s="29" t="s">
        <v>1640</v>
      </c>
      <c r="AU131" s="35"/>
      <c r="AW131" s="35"/>
      <c r="AY131" s="35"/>
      <c r="AZ131" s="35"/>
      <c r="BA131" s="35"/>
      <c r="BB131" s="29" t="s">
        <v>2185</v>
      </c>
      <c r="BC131" s="29" t="s">
        <v>1900</v>
      </c>
      <c r="BD131" s="29" t="s">
        <v>1804</v>
      </c>
      <c r="BE131" s="29" t="s">
        <v>1805</v>
      </c>
      <c r="BF131" s="29" t="s">
        <v>1969</v>
      </c>
      <c r="BG131" s="29" t="s">
        <v>2213</v>
      </c>
      <c r="BH131" s="29" t="s">
        <v>2187</v>
      </c>
      <c r="BI131" s="35"/>
      <c r="BJ131" s="35"/>
      <c r="BK131" s="29" t="str" cm="1">
        <f t="array" ref="BK131">_xlfn.UNIQUE(MID(BB131,16,14))</f>
        <v>U012UNA01UH141</v>
      </c>
    </row>
    <row r="132" spans="1:63" x14ac:dyDescent="0.3">
      <c r="A132" s="29" t="s">
        <v>2211</v>
      </c>
      <c r="B132" s="36" t="str">
        <f t="shared" si="10"/>
        <v>G01NHB04HT003-BT02</v>
      </c>
      <c r="C132" s="33" t="s">
        <v>2214</v>
      </c>
      <c r="D132" s="34" t="str">
        <f t="shared" si="11"/>
        <v>ELY1 GRP4 MOD3 TEMP2 ANALOG1</v>
      </c>
      <c r="E132" s="31">
        <f t="shared" si="12"/>
        <v>28</v>
      </c>
      <c r="F132" s="32" t="str">
        <f t="shared" si="13"/>
        <v>ELECTROLYSIS SYSTEM ELECTROLYSIS ARRAY 1 ELECTROLYZER SYSTEM MODULE GROUP 4 ELECTROLYSIS MODULES MODULE 3 TEMPERATURE MODULE OUTLET H2 ANALOG PROCESS SIGNAL</v>
      </c>
      <c r="G132" s="29" t="s">
        <v>1614</v>
      </c>
      <c r="H132" s="29" t="s">
        <v>1615</v>
      </c>
      <c r="I132" s="29" t="str">
        <f t="shared" si="14"/>
        <v>01</v>
      </c>
      <c r="J132" s="29" t="s">
        <v>1616</v>
      </c>
      <c r="K132" s="29" t="s">
        <v>1976</v>
      </c>
      <c r="L132" s="29" t="s">
        <v>1977</v>
      </c>
      <c r="M132" s="29" t="s">
        <v>1915</v>
      </c>
      <c r="N132" s="29" t="s">
        <v>2183</v>
      </c>
      <c r="O132" s="29" t="s">
        <v>2020</v>
      </c>
      <c r="P132" s="29" t="s">
        <v>2021</v>
      </c>
      <c r="Q132" s="29" t="s">
        <v>1830</v>
      </c>
      <c r="R132" s="29" t="s">
        <v>2039</v>
      </c>
      <c r="S132" s="29" t="s">
        <v>1791</v>
      </c>
      <c r="T132" s="29" t="s">
        <v>2027</v>
      </c>
      <c r="U132" s="29" t="s">
        <v>193</v>
      </c>
      <c r="V132" s="29" t="s">
        <v>1083</v>
      </c>
      <c r="W132" s="35" t="s">
        <v>1628</v>
      </c>
      <c r="X132" s="35" t="s">
        <v>2184</v>
      </c>
      <c r="Y132" s="35" t="s">
        <v>2040</v>
      </c>
      <c r="Z132" s="35" t="s">
        <v>1793</v>
      </c>
      <c r="AA132" s="35" t="s">
        <v>1666</v>
      </c>
      <c r="AB132" s="29" t="s">
        <v>1791</v>
      </c>
      <c r="AC132" s="35" t="s">
        <v>1633</v>
      </c>
      <c r="AD132" s="35" t="s">
        <v>1668</v>
      </c>
      <c r="AE132" s="35" t="s">
        <v>1668</v>
      </c>
      <c r="AF132" s="35" t="s">
        <v>1635</v>
      </c>
      <c r="AG132" s="35" t="s">
        <v>1670</v>
      </c>
      <c r="AI132" s="35"/>
      <c r="AJ132" s="35" t="s">
        <v>1671</v>
      </c>
      <c r="AK132" s="35" t="s">
        <v>1672</v>
      </c>
      <c r="AL132" s="29" t="s">
        <v>1720</v>
      </c>
      <c r="AM132" s="35" t="s">
        <v>1721</v>
      </c>
      <c r="AN132" s="35" t="s">
        <v>1967</v>
      </c>
      <c r="AO132" s="35"/>
      <c r="AP132" s="35"/>
      <c r="AQ132" s="35"/>
      <c r="AR132" s="29" t="s">
        <v>1756</v>
      </c>
      <c r="AS132" s="35"/>
      <c r="AT132" s="29" t="s">
        <v>1640</v>
      </c>
      <c r="AU132" s="35"/>
      <c r="AW132" s="35"/>
      <c r="AY132" s="35"/>
      <c r="AZ132" s="35"/>
      <c r="BA132" s="35"/>
      <c r="BB132" s="29" t="s">
        <v>2185</v>
      </c>
      <c r="BC132" s="29" t="s">
        <v>1900</v>
      </c>
      <c r="BD132" s="29" t="s">
        <v>1804</v>
      </c>
      <c r="BE132" s="29" t="s">
        <v>1805</v>
      </c>
      <c r="BF132" s="29" t="s">
        <v>1973</v>
      </c>
      <c r="BG132" s="29" t="s">
        <v>2215</v>
      </c>
      <c r="BH132" s="29" t="s">
        <v>2187</v>
      </c>
      <c r="BI132" s="35"/>
      <c r="BJ132" s="35"/>
      <c r="BK132" s="29" t="str" cm="1">
        <f t="array" ref="BK132">_xlfn.UNIQUE(MID(BB132,16,14))</f>
        <v>U012UNA01UH141</v>
      </c>
    </row>
    <row r="133" spans="1:63" x14ac:dyDescent="0.3">
      <c r="A133" s="29" t="s">
        <v>2216</v>
      </c>
      <c r="B133" s="36" t="str">
        <f t="shared" si="10"/>
        <v>G01NHB04HT004-BT01</v>
      </c>
      <c r="C133" s="33" t="s">
        <v>2217</v>
      </c>
      <c r="D133" s="34" t="str">
        <f t="shared" si="11"/>
        <v>ELY1 GRP4 MOD4 TEMP1 ANALOG1</v>
      </c>
      <c r="E133" s="31">
        <f t="shared" si="12"/>
        <v>28</v>
      </c>
      <c r="F133" s="32" t="str">
        <f t="shared" si="13"/>
        <v>ELECTROLYSIS SYSTEM ELECTROLYSIS ARRAY 1 ELECTROLYZER SYSTEM MODULE GROUP 4 ELECTROLYSIS MODULES MODULE 4 TEMPERATURE MODULE OUTLET O2 ANALOG PROCESS SIGNAL</v>
      </c>
      <c r="G133" s="29" t="s">
        <v>1614</v>
      </c>
      <c r="H133" s="29" t="s">
        <v>1615</v>
      </c>
      <c r="I133" s="29" t="str">
        <f t="shared" si="14"/>
        <v>01</v>
      </c>
      <c r="J133" s="29" t="s">
        <v>1616</v>
      </c>
      <c r="K133" s="29" t="s">
        <v>1976</v>
      </c>
      <c r="L133" s="29" t="s">
        <v>1977</v>
      </c>
      <c r="M133" s="29" t="s">
        <v>1915</v>
      </c>
      <c r="N133" s="29" t="s">
        <v>2183</v>
      </c>
      <c r="O133" s="29" t="s">
        <v>2020</v>
      </c>
      <c r="P133" s="29" t="s">
        <v>2021</v>
      </c>
      <c r="Q133" s="29" t="s">
        <v>1838</v>
      </c>
      <c r="R133" s="29" t="s">
        <v>2046</v>
      </c>
      <c r="S133" s="29" t="s">
        <v>1715</v>
      </c>
      <c r="T133" s="29" t="s">
        <v>2023</v>
      </c>
      <c r="U133" s="29" t="s">
        <v>193</v>
      </c>
      <c r="V133" s="29" t="s">
        <v>1083</v>
      </c>
      <c r="W133" s="35" t="s">
        <v>1628</v>
      </c>
      <c r="X133" s="35" t="s">
        <v>2184</v>
      </c>
      <c r="Y133" s="35" t="s">
        <v>2047</v>
      </c>
      <c r="Z133" s="35" t="s">
        <v>1719</v>
      </c>
      <c r="AA133" s="35" t="s">
        <v>1666</v>
      </c>
      <c r="AB133" s="29" t="s">
        <v>1715</v>
      </c>
      <c r="AC133" s="35" t="s">
        <v>1633</v>
      </c>
      <c r="AD133" s="35" t="s">
        <v>1668</v>
      </c>
      <c r="AE133" s="35" t="s">
        <v>1668</v>
      </c>
      <c r="AF133" s="35" t="s">
        <v>1635</v>
      </c>
      <c r="AG133" s="35" t="s">
        <v>1670</v>
      </c>
      <c r="AI133" s="35"/>
      <c r="AJ133" s="35" t="s">
        <v>1671</v>
      </c>
      <c r="AK133" s="35" t="s">
        <v>1672</v>
      </c>
      <c r="AL133" s="29" t="s">
        <v>1720</v>
      </c>
      <c r="AM133" s="35" t="s">
        <v>1721</v>
      </c>
      <c r="AN133" s="35" t="s">
        <v>1967</v>
      </c>
      <c r="AO133" s="35"/>
      <c r="AP133" s="35"/>
      <c r="AQ133" s="35"/>
      <c r="AR133" s="29" t="s">
        <v>1756</v>
      </c>
      <c r="AS133" s="35"/>
      <c r="AT133" s="29" t="s">
        <v>1640</v>
      </c>
      <c r="AU133" s="35"/>
      <c r="AW133" s="35"/>
      <c r="AY133" s="35"/>
      <c r="AZ133" s="35"/>
      <c r="BA133" s="35"/>
      <c r="BB133" s="29" t="s">
        <v>2185</v>
      </c>
      <c r="BC133" s="29" t="s">
        <v>1900</v>
      </c>
      <c r="BD133" s="29" t="s">
        <v>1804</v>
      </c>
      <c r="BE133" s="29" t="s">
        <v>1805</v>
      </c>
      <c r="BF133" s="29" t="s">
        <v>2048</v>
      </c>
      <c r="BG133" s="29" t="s">
        <v>2218</v>
      </c>
      <c r="BH133" s="29" t="s">
        <v>2187</v>
      </c>
      <c r="BI133" s="35"/>
      <c r="BJ133" s="35"/>
      <c r="BK133" s="29" t="str" cm="1">
        <f t="array" ref="BK133">_xlfn.UNIQUE(MID(BB133,16,14))</f>
        <v>U012UNA01UH141</v>
      </c>
    </row>
    <row r="134" spans="1:63" x14ac:dyDescent="0.3">
      <c r="A134" s="29" t="s">
        <v>2216</v>
      </c>
      <c r="B134" s="36" t="str">
        <f t="shared" si="10"/>
        <v>G01NHB04HT004-BT02</v>
      </c>
      <c r="C134" s="33" t="s">
        <v>2219</v>
      </c>
      <c r="D134" s="34" t="str">
        <f t="shared" si="11"/>
        <v>ELY1 GRP4 MOD4 TEMP2 ANALOG1</v>
      </c>
      <c r="E134" s="31">
        <f t="shared" si="12"/>
        <v>28</v>
      </c>
      <c r="F134" s="32" t="str">
        <f t="shared" si="13"/>
        <v>ELECTROLYSIS SYSTEM ELECTROLYSIS ARRAY 1 ELECTROLYZER SYSTEM MODULE GROUP 4 ELECTROLYSIS MODULES MODULE 4 TEMPERATURE MODULE OUTLET H2 ANALOG PROCESS SIGNAL</v>
      </c>
      <c r="G134" s="29" t="s">
        <v>1614</v>
      </c>
      <c r="H134" s="29" t="s">
        <v>1615</v>
      </c>
      <c r="I134" s="29" t="str">
        <f t="shared" si="14"/>
        <v>01</v>
      </c>
      <c r="J134" s="29" t="s">
        <v>1616</v>
      </c>
      <c r="K134" s="29" t="s">
        <v>1976</v>
      </c>
      <c r="L134" s="29" t="s">
        <v>1977</v>
      </c>
      <c r="M134" s="29" t="s">
        <v>1915</v>
      </c>
      <c r="N134" s="29" t="s">
        <v>2183</v>
      </c>
      <c r="O134" s="29" t="s">
        <v>2020</v>
      </c>
      <c r="P134" s="29" t="s">
        <v>2021</v>
      </c>
      <c r="Q134" s="29" t="s">
        <v>1838</v>
      </c>
      <c r="R134" s="29" t="s">
        <v>2046</v>
      </c>
      <c r="S134" s="29" t="s">
        <v>1791</v>
      </c>
      <c r="T134" s="29" t="s">
        <v>2027</v>
      </c>
      <c r="U134" s="29" t="s">
        <v>193</v>
      </c>
      <c r="V134" s="29" t="s">
        <v>1083</v>
      </c>
      <c r="W134" s="35" t="s">
        <v>1628</v>
      </c>
      <c r="X134" s="35" t="s">
        <v>2184</v>
      </c>
      <c r="Y134" s="35" t="s">
        <v>2047</v>
      </c>
      <c r="Z134" s="35" t="s">
        <v>1793</v>
      </c>
      <c r="AA134" s="35" t="s">
        <v>1666</v>
      </c>
      <c r="AB134" s="29" t="s">
        <v>1791</v>
      </c>
      <c r="AC134" s="35" t="s">
        <v>1633</v>
      </c>
      <c r="AD134" s="35" t="s">
        <v>1668</v>
      </c>
      <c r="AE134" s="35" t="s">
        <v>1668</v>
      </c>
      <c r="AF134" s="35" t="s">
        <v>1635</v>
      </c>
      <c r="AG134" s="35" t="s">
        <v>1670</v>
      </c>
      <c r="AI134" s="35"/>
      <c r="AJ134" s="35" t="s">
        <v>1671</v>
      </c>
      <c r="AK134" s="35" t="s">
        <v>1672</v>
      </c>
      <c r="AL134" s="29" t="s">
        <v>1720</v>
      </c>
      <c r="AM134" s="35" t="s">
        <v>1721</v>
      </c>
      <c r="AN134" s="35" t="s">
        <v>1967</v>
      </c>
      <c r="AO134" s="35"/>
      <c r="AP134" s="35"/>
      <c r="AQ134" s="35"/>
      <c r="AR134" s="29" t="s">
        <v>1756</v>
      </c>
      <c r="AS134" s="35"/>
      <c r="AT134" s="29" t="s">
        <v>1640</v>
      </c>
      <c r="AU134" s="35"/>
      <c r="AW134" s="35"/>
      <c r="AY134" s="35"/>
      <c r="AZ134" s="35"/>
      <c r="BA134" s="35"/>
      <c r="BB134" s="29" t="s">
        <v>2185</v>
      </c>
      <c r="BC134" s="29" t="s">
        <v>1900</v>
      </c>
      <c r="BD134" s="29" t="s">
        <v>1804</v>
      </c>
      <c r="BE134" s="29" t="s">
        <v>1805</v>
      </c>
      <c r="BF134" s="29" t="s">
        <v>2051</v>
      </c>
      <c r="BG134" s="29" t="s">
        <v>2220</v>
      </c>
      <c r="BH134" s="29" t="s">
        <v>2187</v>
      </c>
      <c r="BI134" s="35"/>
      <c r="BJ134" s="35"/>
      <c r="BK134" s="29" t="str" cm="1">
        <f t="array" ref="BK134">_xlfn.UNIQUE(MID(BB134,16,14))</f>
        <v>U012UNA01UH141</v>
      </c>
    </row>
    <row r="135" spans="1:63" x14ac:dyDescent="0.3">
      <c r="A135" s="29" t="s">
        <v>2221</v>
      </c>
      <c r="B135" s="36" t="str">
        <f t="shared" si="10"/>
        <v>G01NHB04KF001-BA01</v>
      </c>
      <c r="C135" s="33" t="s">
        <v>2222</v>
      </c>
      <c r="D135" s="34" t="str">
        <f t="shared" si="11"/>
        <v>ELY1 GRP4 CTRL U1 CELL VOLT1 ANALOG1</v>
      </c>
      <c r="E135" s="31">
        <f t="shared" si="12"/>
        <v>36</v>
      </c>
      <c r="F135" s="32" t="str">
        <f t="shared" si="13"/>
        <v>ELECTROLYSIS SYSTEM ELECTROLYSIS ARRAY 1 ELECTROLYZER SYSTEM MODULE GROUP 4 CONTROL UNITS CELL VOLTAGE MEASUREMENT CELL-VOLTAGE-MEASUREMENT - MODULE 1 CELL -VOLTAGE MODULE 1</v>
      </c>
      <c r="G135" s="29" t="s">
        <v>1614</v>
      </c>
      <c r="H135" s="29" t="s">
        <v>1615</v>
      </c>
      <c r="I135" s="29" t="str">
        <f t="shared" si="14"/>
        <v>01</v>
      </c>
      <c r="J135" s="29" t="s">
        <v>1616</v>
      </c>
      <c r="K135" s="29" t="s">
        <v>1976</v>
      </c>
      <c r="L135" s="29" t="s">
        <v>1977</v>
      </c>
      <c r="M135" s="29" t="s">
        <v>1915</v>
      </c>
      <c r="N135" s="29" t="s">
        <v>2183</v>
      </c>
      <c r="O135" s="29" t="s">
        <v>1771</v>
      </c>
      <c r="P135" s="29" t="s">
        <v>2055</v>
      </c>
      <c r="Q135" s="29" t="s">
        <v>1623</v>
      </c>
      <c r="R135" s="29" t="s">
        <v>2056</v>
      </c>
      <c r="S135" s="29" t="s">
        <v>2057</v>
      </c>
      <c r="T135" s="29" t="s">
        <v>2058</v>
      </c>
      <c r="U135" s="29" t="s">
        <v>193</v>
      </c>
      <c r="V135" s="29" t="s">
        <v>2059</v>
      </c>
      <c r="W135" s="35" t="s">
        <v>1628</v>
      </c>
      <c r="X135" s="35" t="s">
        <v>2184</v>
      </c>
      <c r="Y135" s="35" t="s">
        <v>1775</v>
      </c>
      <c r="Z135" s="35" t="s">
        <v>2060</v>
      </c>
      <c r="AA135" s="35" t="s">
        <v>1666</v>
      </c>
      <c r="AB135" s="29" t="s">
        <v>2061</v>
      </c>
      <c r="AC135" s="35" t="s">
        <v>1633</v>
      </c>
      <c r="AD135" s="35" t="s">
        <v>2062</v>
      </c>
      <c r="AE135" s="35" t="s">
        <v>2062</v>
      </c>
      <c r="AF135" s="35" t="s">
        <v>1669</v>
      </c>
      <c r="AG135" s="35" t="s">
        <v>1728</v>
      </c>
      <c r="AI135" s="35"/>
      <c r="AJ135" s="35" t="s">
        <v>1671</v>
      </c>
      <c r="AK135" s="35" t="s">
        <v>1672</v>
      </c>
      <c r="AL135" s="29" t="s">
        <v>2063</v>
      </c>
      <c r="AM135" s="35" t="s">
        <v>1867</v>
      </c>
      <c r="AN135" s="35" t="s">
        <v>2064</v>
      </c>
      <c r="AO135" s="35"/>
      <c r="AP135" s="35"/>
      <c r="AQ135" s="35"/>
      <c r="AR135" s="29" t="s">
        <v>1756</v>
      </c>
      <c r="AS135" s="35"/>
      <c r="AT135" s="29" t="s">
        <v>1640</v>
      </c>
      <c r="AU135" s="35"/>
      <c r="AV135" s="29" t="s">
        <v>1641</v>
      </c>
      <c r="AW135" s="35"/>
      <c r="AX135" s="29" t="s">
        <v>1674</v>
      </c>
      <c r="AY135" s="35"/>
      <c r="AZ135" s="35"/>
      <c r="BA135" s="35"/>
      <c r="BB135" s="29" t="s">
        <v>2223</v>
      </c>
      <c r="BC135" s="29" t="s">
        <v>2066</v>
      </c>
      <c r="BF135" s="29" t="s">
        <v>1619</v>
      </c>
      <c r="BG135" s="29" t="s">
        <v>2224</v>
      </c>
      <c r="BH135" s="29" t="s">
        <v>2187</v>
      </c>
      <c r="BI135" s="35"/>
      <c r="BJ135" s="35"/>
      <c r="BK135" s="29" t="str" cm="1">
        <f t="array" ref="BK135">_xlfn.UNIQUE(MID(BB135,16,14))</f>
        <v>U012UNA01UH142</v>
      </c>
    </row>
    <row r="136" spans="1:63" x14ac:dyDescent="0.3">
      <c r="A136" s="29" t="s">
        <v>2221</v>
      </c>
      <c r="B136" s="36" t="str">
        <f t="shared" si="10"/>
        <v>G01NHB04KF001-BA02</v>
      </c>
      <c r="C136" s="33" t="s">
        <v>2225</v>
      </c>
      <c r="D136" s="34" t="str">
        <f t="shared" si="11"/>
        <v>ELY1 GRP4 CTRL U1 CELL VOLT2 ANALOG1</v>
      </c>
      <c r="E136" s="31">
        <f t="shared" si="12"/>
        <v>36</v>
      </c>
      <c r="F136" s="32" t="str">
        <f t="shared" si="13"/>
        <v>ELECTROLYSIS SYSTEM ELECTROLYSIS ARRAY 1 ELECTROLYZER SYSTEM MODULE GROUP 4 CONTROL UNITS CELL VOLTAGE MEASUREMENT CELL-VOLTAGE-MEASUREMENT - MODULE 2 CELL -VOLTAGE MODULE 2</v>
      </c>
      <c r="G136" s="29" t="s">
        <v>1614</v>
      </c>
      <c r="H136" s="29" t="s">
        <v>1615</v>
      </c>
      <c r="I136" s="29" t="str">
        <f t="shared" si="14"/>
        <v>01</v>
      </c>
      <c r="J136" s="29" t="s">
        <v>1616</v>
      </c>
      <c r="K136" s="29" t="s">
        <v>1976</v>
      </c>
      <c r="L136" s="29" t="s">
        <v>1977</v>
      </c>
      <c r="M136" s="29" t="s">
        <v>1915</v>
      </c>
      <c r="N136" s="29" t="s">
        <v>2183</v>
      </c>
      <c r="O136" s="29" t="s">
        <v>1771</v>
      </c>
      <c r="P136" s="29" t="s">
        <v>2055</v>
      </c>
      <c r="Q136" s="29" t="s">
        <v>1623</v>
      </c>
      <c r="R136" s="29" t="s">
        <v>2056</v>
      </c>
      <c r="S136" s="29" t="s">
        <v>2069</v>
      </c>
      <c r="T136" s="29" t="s">
        <v>2070</v>
      </c>
      <c r="U136" s="29" t="s">
        <v>193</v>
      </c>
      <c r="V136" s="29" t="s">
        <v>2071</v>
      </c>
      <c r="W136" s="35" t="s">
        <v>1628</v>
      </c>
      <c r="X136" s="35" t="s">
        <v>2184</v>
      </c>
      <c r="Y136" s="35" t="s">
        <v>1775</v>
      </c>
      <c r="Z136" s="35" t="s">
        <v>2072</v>
      </c>
      <c r="AA136" s="35" t="s">
        <v>1666</v>
      </c>
      <c r="AB136" s="29" t="s">
        <v>2073</v>
      </c>
      <c r="AC136" s="35" t="s">
        <v>1633</v>
      </c>
      <c r="AD136" s="35" t="s">
        <v>2062</v>
      </c>
      <c r="AE136" s="35" t="s">
        <v>2062</v>
      </c>
      <c r="AF136" s="35" t="s">
        <v>1669</v>
      </c>
      <c r="AG136" s="35" t="s">
        <v>1728</v>
      </c>
      <c r="AI136" s="35"/>
      <c r="AJ136" s="35" t="s">
        <v>1671</v>
      </c>
      <c r="AK136" s="35" t="s">
        <v>1672</v>
      </c>
      <c r="AL136" s="29" t="s">
        <v>2063</v>
      </c>
      <c r="AM136" s="35" t="s">
        <v>1867</v>
      </c>
      <c r="AN136" s="35" t="s">
        <v>2064</v>
      </c>
      <c r="AO136" s="35"/>
      <c r="AP136" s="35"/>
      <c r="AQ136" s="35"/>
      <c r="AR136" s="29" t="s">
        <v>1756</v>
      </c>
      <c r="AS136" s="35"/>
      <c r="AT136" s="29" t="s">
        <v>1640</v>
      </c>
      <c r="AU136" s="35"/>
      <c r="AV136" s="29" t="s">
        <v>1641</v>
      </c>
      <c r="AW136" s="35"/>
      <c r="AX136" s="29" t="s">
        <v>1674</v>
      </c>
      <c r="AY136" s="35"/>
      <c r="AZ136" s="35"/>
      <c r="BA136" s="35"/>
      <c r="BB136" s="29" t="s">
        <v>2223</v>
      </c>
      <c r="BC136" s="29" t="s">
        <v>2066</v>
      </c>
      <c r="BF136" s="29" t="s">
        <v>1905</v>
      </c>
      <c r="BG136" s="29" t="s">
        <v>2224</v>
      </c>
      <c r="BH136" s="29" t="s">
        <v>2187</v>
      </c>
      <c r="BI136" s="35"/>
      <c r="BJ136" s="35"/>
      <c r="BK136" s="29" t="str" cm="1">
        <f t="array" ref="BK136">_xlfn.UNIQUE(MID(BB136,16,14))</f>
        <v>U012UNA01UH142</v>
      </c>
    </row>
    <row r="137" spans="1:63" x14ac:dyDescent="0.3">
      <c r="A137" s="29" t="s">
        <v>2221</v>
      </c>
      <c r="B137" s="36" t="str">
        <f t="shared" si="10"/>
        <v>G01NHB04KF001-BA03</v>
      </c>
      <c r="C137" s="33" t="s">
        <v>2226</v>
      </c>
      <c r="D137" s="34" t="str">
        <f t="shared" si="11"/>
        <v>ELY1 GRP4 CTRL U1 CELL VOLT3 ANALOG1</v>
      </c>
      <c r="E137" s="31">
        <f t="shared" si="12"/>
        <v>36</v>
      </c>
      <c r="F137" s="32" t="str">
        <f t="shared" si="13"/>
        <v>ELECTROLYSIS SYSTEM ELECTROLYSIS ARRAY 1 ELECTROLYZER SYSTEM MODULE GROUP 4 CONTROL UNITS CELL VOLTAGE MEASUREMENT CELL-VOLTAGE-MEASUREMENT - MODULE 3 CELL -VOLTAGE MODULE 3</v>
      </c>
      <c r="G137" s="29" t="s">
        <v>1614</v>
      </c>
      <c r="H137" s="29" t="s">
        <v>1615</v>
      </c>
      <c r="I137" s="29" t="str">
        <f t="shared" si="14"/>
        <v>01</v>
      </c>
      <c r="J137" s="29" t="s">
        <v>1616</v>
      </c>
      <c r="K137" s="29" t="s">
        <v>1976</v>
      </c>
      <c r="L137" s="29" t="s">
        <v>1977</v>
      </c>
      <c r="M137" s="29" t="s">
        <v>1915</v>
      </c>
      <c r="N137" s="29" t="s">
        <v>2183</v>
      </c>
      <c r="O137" s="29" t="s">
        <v>1771</v>
      </c>
      <c r="P137" s="29" t="s">
        <v>2055</v>
      </c>
      <c r="Q137" s="29" t="s">
        <v>1623</v>
      </c>
      <c r="R137" s="29" t="s">
        <v>2056</v>
      </c>
      <c r="S137" s="29" t="s">
        <v>2075</v>
      </c>
      <c r="T137" s="29" t="s">
        <v>2076</v>
      </c>
      <c r="U137" s="29" t="s">
        <v>193</v>
      </c>
      <c r="V137" s="29" t="s">
        <v>2077</v>
      </c>
      <c r="W137" s="35" t="s">
        <v>1628</v>
      </c>
      <c r="X137" s="35" t="s">
        <v>2184</v>
      </c>
      <c r="Y137" s="35" t="s">
        <v>1775</v>
      </c>
      <c r="Z137" s="35" t="s">
        <v>2078</v>
      </c>
      <c r="AA137" s="35" t="s">
        <v>1666</v>
      </c>
      <c r="AB137" s="29" t="s">
        <v>2079</v>
      </c>
      <c r="AC137" s="35" t="s">
        <v>1633</v>
      </c>
      <c r="AD137" s="35" t="s">
        <v>2062</v>
      </c>
      <c r="AE137" s="35" t="s">
        <v>2062</v>
      </c>
      <c r="AF137" s="35" t="s">
        <v>1669</v>
      </c>
      <c r="AG137" s="35" t="s">
        <v>1728</v>
      </c>
      <c r="AI137" s="35"/>
      <c r="AJ137" s="35" t="s">
        <v>1671</v>
      </c>
      <c r="AK137" s="35" t="s">
        <v>1672</v>
      </c>
      <c r="AL137" s="29" t="s">
        <v>2063</v>
      </c>
      <c r="AM137" s="35" t="s">
        <v>1867</v>
      </c>
      <c r="AN137" s="35" t="s">
        <v>2064</v>
      </c>
      <c r="AO137" s="35"/>
      <c r="AP137" s="35"/>
      <c r="AQ137" s="35"/>
      <c r="AR137" s="29" t="s">
        <v>1756</v>
      </c>
      <c r="AS137" s="35"/>
      <c r="AT137" s="29" t="s">
        <v>1640</v>
      </c>
      <c r="AU137" s="35"/>
      <c r="AV137" s="29" t="s">
        <v>1641</v>
      </c>
      <c r="AW137" s="35"/>
      <c r="AX137" s="29" t="s">
        <v>1674</v>
      </c>
      <c r="AY137" s="35"/>
      <c r="AZ137" s="35"/>
      <c r="BA137" s="35"/>
      <c r="BB137" s="29" t="s">
        <v>2227</v>
      </c>
      <c r="BC137" s="29" t="s">
        <v>2066</v>
      </c>
      <c r="BF137" s="29" t="s">
        <v>1619</v>
      </c>
      <c r="BG137" s="29" t="s">
        <v>2224</v>
      </c>
      <c r="BH137" s="29" t="s">
        <v>2187</v>
      </c>
      <c r="BI137" s="35"/>
      <c r="BJ137" s="35"/>
      <c r="BK137" s="29" t="str" cm="1">
        <f t="array" ref="BK137">_xlfn.UNIQUE(MID(BB137,16,14))</f>
        <v>U012UNA01UH142</v>
      </c>
    </row>
    <row r="138" spans="1:63" x14ac:dyDescent="0.3">
      <c r="A138" s="29" t="s">
        <v>2221</v>
      </c>
      <c r="B138" s="36" t="str">
        <f t="shared" si="10"/>
        <v>G01NHB04KF001-BA04</v>
      </c>
      <c r="C138" s="33" t="s">
        <v>2228</v>
      </c>
      <c r="D138" s="34" t="str">
        <f t="shared" si="11"/>
        <v>ELY1 GRP4 CTRL U1 CELL VOLT4 ANALOG1</v>
      </c>
      <c r="E138" s="31">
        <f t="shared" si="12"/>
        <v>36</v>
      </c>
      <c r="F138" s="32" t="str">
        <f t="shared" si="13"/>
        <v>ELECTROLYSIS SYSTEM ELECTROLYSIS ARRAY 1 ELECTROLYZER SYSTEM MODULE GROUP 4 CONTROL UNITS CELL VOLTAGE MEASUREMENT CELL-VOLTAGE-MEASUREMENT - MODULE 4 CELL -VOLTAGE MODULE 4</v>
      </c>
      <c r="G138" s="29" t="s">
        <v>1614</v>
      </c>
      <c r="H138" s="29" t="s">
        <v>1615</v>
      </c>
      <c r="I138" s="29" t="str">
        <f t="shared" si="14"/>
        <v>01</v>
      </c>
      <c r="J138" s="29" t="s">
        <v>1616</v>
      </c>
      <c r="K138" s="29" t="s">
        <v>1976</v>
      </c>
      <c r="L138" s="29" t="s">
        <v>1977</v>
      </c>
      <c r="M138" s="29" t="s">
        <v>1915</v>
      </c>
      <c r="N138" s="29" t="s">
        <v>2183</v>
      </c>
      <c r="O138" s="29" t="s">
        <v>1771</v>
      </c>
      <c r="P138" s="29" t="s">
        <v>2055</v>
      </c>
      <c r="Q138" s="29" t="s">
        <v>1623</v>
      </c>
      <c r="R138" s="29" t="s">
        <v>2056</v>
      </c>
      <c r="S138" s="29" t="s">
        <v>2082</v>
      </c>
      <c r="T138" s="29" t="s">
        <v>2083</v>
      </c>
      <c r="U138" s="29" t="s">
        <v>193</v>
      </c>
      <c r="V138" s="29" t="s">
        <v>2084</v>
      </c>
      <c r="W138" s="35" t="s">
        <v>1628</v>
      </c>
      <c r="X138" s="35" t="s">
        <v>2184</v>
      </c>
      <c r="Y138" s="35" t="s">
        <v>1775</v>
      </c>
      <c r="Z138" s="35" t="s">
        <v>2085</v>
      </c>
      <c r="AA138" s="35" t="s">
        <v>1666</v>
      </c>
      <c r="AB138" s="29" t="s">
        <v>2086</v>
      </c>
      <c r="AC138" s="35" t="s">
        <v>1633</v>
      </c>
      <c r="AD138" s="35" t="s">
        <v>2062</v>
      </c>
      <c r="AE138" s="35" t="s">
        <v>2062</v>
      </c>
      <c r="AF138" s="35" t="s">
        <v>1669</v>
      </c>
      <c r="AG138" s="35" t="s">
        <v>1728</v>
      </c>
      <c r="AI138" s="35"/>
      <c r="AJ138" s="35" t="s">
        <v>1671</v>
      </c>
      <c r="AK138" s="35" t="s">
        <v>1672</v>
      </c>
      <c r="AL138" s="29" t="s">
        <v>2063</v>
      </c>
      <c r="AM138" s="35" t="s">
        <v>1867</v>
      </c>
      <c r="AN138" s="35" t="s">
        <v>2064</v>
      </c>
      <c r="AO138" s="35"/>
      <c r="AP138" s="35"/>
      <c r="AQ138" s="35"/>
      <c r="AR138" s="29" t="s">
        <v>1756</v>
      </c>
      <c r="AS138" s="35"/>
      <c r="AT138" s="29" t="s">
        <v>1640</v>
      </c>
      <c r="AU138" s="35"/>
      <c r="AV138" s="29" t="s">
        <v>1641</v>
      </c>
      <c r="AW138" s="35"/>
      <c r="AX138" s="29" t="s">
        <v>1674</v>
      </c>
      <c r="AY138" s="35"/>
      <c r="AZ138" s="35"/>
      <c r="BA138" s="35"/>
      <c r="BB138" s="29" t="s">
        <v>2227</v>
      </c>
      <c r="BC138" s="29" t="s">
        <v>2066</v>
      </c>
      <c r="BF138" s="29" t="s">
        <v>1905</v>
      </c>
      <c r="BG138" s="29" t="s">
        <v>2224</v>
      </c>
      <c r="BH138" s="29" t="s">
        <v>2187</v>
      </c>
      <c r="BI138" s="35"/>
      <c r="BJ138" s="35"/>
      <c r="BK138" s="29" t="str" cm="1">
        <f t="array" ref="BK138">_xlfn.UNIQUE(MID(BB138,16,14))</f>
        <v>U012UNA01UH142</v>
      </c>
    </row>
    <row r="139" spans="1:63" x14ac:dyDescent="0.3">
      <c r="A139" s="29" t="s">
        <v>2229</v>
      </c>
      <c r="B139" s="36" t="str">
        <f t="shared" si="10"/>
        <v>G01NHB05EQ001-BQ01</v>
      </c>
      <c r="C139" s="33" t="s">
        <v>2230</v>
      </c>
      <c r="D139" s="34" t="str">
        <f t="shared" si="11"/>
        <v>ELY1 GRP5 COOL QUAL1 ANALOG1</v>
      </c>
      <c r="E139" s="31">
        <f t="shared" si="12"/>
        <v>28</v>
      </c>
      <c r="F139" s="32" t="str">
        <f t="shared" si="13"/>
        <v>ELECTROLYSIS SYSTEM ELECTROLYSIS ARRAY 1 ELECTROLYZER SYSTEM MODULE GROUP 5 HEAT EXCHANGING SYSTEMS HEAT EXCHANGING SYSTEM 1 CONDUCTIVITY WP H2 ANALOG PROCESS SIGNAL</v>
      </c>
      <c r="G139" s="29" t="s">
        <v>1614</v>
      </c>
      <c r="H139" s="29" t="s">
        <v>1615</v>
      </c>
      <c r="I139" s="29" t="str">
        <f t="shared" si="14"/>
        <v>01</v>
      </c>
      <c r="J139" s="29" t="s">
        <v>1616</v>
      </c>
      <c r="K139" s="29" t="s">
        <v>1976</v>
      </c>
      <c r="L139" s="29" t="s">
        <v>1977</v>
      </c>
      <c r="M139" s="29" t="s">
        <v>1919</v>
      </c>
      <c r="N139" s="29" t="s">
        <v>2231</v>
      </c>
      <c r="O139" s="29" t="s">
        <v>1894</v>
      </c>
      <c r="P139" s="29" t="s">
        <v>1979</v>
      </c>
      <c r="Q139" s="29" t="s">
        <v>1623</v>
      </c>
      <c r="R139" s="29" t="s">
        <v>1980</v>
      </c>
      <c r="S139" s="29" t="s">
        <v>1687</v>
      </c>
      <c r="T139" s="29" t="s">
        <v>1981</v>
      </c>
      <c r="U139" s="29" t="s">
        <v>193</v>
      </c>
      <c r="V139" s="29" t="s">
        <v>1083</v>
      </c>
      <c r="W139" s="35" t="s">
        <v>1628</v>
      </c>
      <c r="X139" s="35" t="s">
        <v>2232</v>
      </c>
      <c r="Y139" s="35" t="s">
        <v>1898</v>
      </c>
      <c r="Z139" s="35" t="s">
        <v>1689</v>
      </c>
      <c r="AA139" s="35" t="s">
        <v>1666</v>
      </c>
      <c r="AB139" s="29" t="s">
        <v>1687</v>
      </c>
      <c r="AC139" s="35" t="s">
        <v>1633</v>
      </c>
      <c r="AD139" s="35" t="s">
        <v>1668</v>
      </c>
      <c r="AE139" s="35" t="s">
        <v>1668</v>
      </c>
      <c r="AF139" s="35" t="s">
        <v>1635</v>
      </c>
      <c r="AG139" s="35" t="s">
        <v>1670</v>
      </c>
      <c r="AI139" s="35"/>
      <c r="AJ139" s="35" t="s">
        <v>1671</v>
      </c>
      <c r="AK139" s="35" t="s">
        <v>1672</v>
      </c>
      <c r="AL139" s="29" t="s">
        <v>1671</v>
      </c>
      <c r="AM139" s="35" t="s">
        <v>1702</v>
      </c>
      <c r="AN139" s="35" t="s">
        <v>1703</v>
      </c>
      <c r="AO139" s="35"/>
      <c r="AP139" s="35"/>
      <c r="AQ139" s="35"/>
      <c r="AR139" s="29" t="s">
        <v>1756</v>
      </c>
      <c r="AS139" s="35"/>
      <c r="AT139" s="29" t="s">
        <v>1640</v>
      </c>
      <c r="AU139" s="35"/>
      <c r="AW139" s="35"/>
      <c r="AY139" s="35"/>
      <c r="AZ139" s="35"/>
      <c r="BA139" s="35"/>
      <c r="BB139" s="29" t="s">
        <v>2233</v>
      </c>
      <c r="BC139" s="29" t="s">
        <v>1900</v>
      </c>
      <c r="BD139" s="29" t="s">
        <v>1804</v>
      </c>
      <c r="BE139" s="29" t="s">
        <v>1984</v>
      </c>
      <c r="BF139" s="29" t="s">
        <v>1619</v>
      </c>
      <c r="BG139" s="29" t="s">
        <v>2234</v>
      </c>
      <c r="BH139" s="29" t="s">
        <v>2235</v>
      </c>
      <c r="BI139" s="35"/>
      <c r="BJ139" s="35"/>
      <c r="BK139" s="29" t="str" cm="1">
        <f t="array" ref="BK139">_xlfn.UNIQUE(MID(BB139,16,14))</f>
        <v>U012UNA01UH151</v>
      </c>
    </row>
    <row r="140" spans="1:63" x14ac:dyDescent="0.3">
      <c r="A140" s="29" t="s">
        <v>2229</v>
      </c>
      <c r="B140" s="36" t="str">
        <f t="shared" si="10"/>
        <v>G01NHB05EQ001-BQ01</v>
      </c>
      <c r="C140" s="33" t="s">
        <v>2236</v>
      </c>
      <c r="D140" s="34" t="str">
        <f t="shared" si="11"/>
        <v>ELY1 GRP5 COOL QUAL1 ANALOG2</v>
      </c>
      <c r="E140" s="31">
        <f t="shared" si="12"/>
        <v>28</v>
      </c>
      <c r="F140" s="32" t="str">
        <f t="shared" si="13"/>
        <v>ELECTROLYSIS SYSTEM ELECTROLYSIS ARRAY 1 ELECTROLYZER SYSTEM MODULE GROUP 5 HEAT EXCHANGING SYSTEMS HEAT EXCHANGING SYSTEM 1 CONDUCTIVITY WP H2 ANALOG PROCESS SIGNAL</v>
      </c>
      <c r="G140" s="29" t="s">
        <v>1614</v>
      </c>
      <c r="H140" s="29" t="s">
        <v>1615</v>
      </c>
      <c r="I140" s="29" t="str">
        <f t="shared" si="14"/>
        <v>01</v>
      </c>
      <c r="J140" s="29" t="s">
        <v>1616</v>
      </c>
      <c r="K140" s="29" t="s">
        <v>1976</v>
      </c>
      <c r="L140" s="29" t="s">
        <v>1977</v>
      </c>
      <c r="M140" s="29" t="s">
        <v>1919</v>
      </c>
      <c r="N140" s="29" t="s">
        <v>2231</v>
      </c>
      <c r="O140" s="29" t="s">
        <v>1894</v>
      </c>
      <c r="P140" s="29" t="s">
        <v>1979</v>
      </c>
      <c r="Q140" s="29" t="s">
        <v>1623</v>
      </c>
      <c r="R140" s="29" t="s">
        <v>1980</v>
      </c>
      <c r="S140" s="29" t="s">
        <v>1687</v>
      </c>
      <c r="T140" s="29" t="s">
        <v>1981</v>
      </c>
      <c r="U140" s="29" t="s">
        <v>905</v>
      </c>
      <c r="V140" s="29" t="s">
        <v>1083</v>
      </c>
      <c r="W140" s="35" t="s">
        <v>1628</v>
      </c>
      <c r="X140" s="35" t="s">
        <v>2232</v>
      </c>
      <c r="Y140" s="35" t="s">
        <v>1898</v>
      </c>
      <c r="Z140" s="35" t="s">
        <v>1689</v>
      </c>
      <c r="AA140" s="35" t="s">
        <v>1705</v>
      </c>
      <c r="AB140" s="29" t="s">
        <v>1687</v>
      </c>
      <c r="AC140" s="35" t="s">
        <v>1633</v>
      </c>
      <c r="AD140" s="35" t="s">
        <v>1668</v>
      </c>
      <c r="AE140" s="35" t="s">
        <v>1668</v>
      </c>
      <c r="AF140" s="35" t="s">
        <v>1635</v>
      </c>
      <c r="AG140" s="35" t="s">
        <v>1670</v>
      </c>
      <c r="AI140" s="35"/>
      <c r="AJ140" s="35" t="s">
        <v>1671</v>
      </c>
      <c r="AK140" s="35" t="s">
        <v>1672</v>
      </c>
      <c r="AL140" s="29" t="s">
        <v>1706</v>
      </c>
      <c r="AM140" s="35" t="s">
        <v>1702</v>
      </c>
      <c r="AN140" s="35" t="s">
        <v>1703</v>
      </c>
      <c r="AO140" s="35"/>
      <c r="AP140" s="35"/>
      <c r="AQ140" s="35"/>
      <c r="AS140" s="35"/>
      <c r="AU140" s="35"/>
      <c r="AV140" s="29" t="s">
        <v>1641</v>
      </c>
      <c r="AW140" s="35"/>
      <c r="AX140" s="29" t="s">
        <v>1674</v>
      </c>
      <c r="AY140" s="35"/>
      <c r="AZ140" s="35"/>
      <c r="BA140" s="35"/>
      <c r="BB140" s="29" t="s">
        <v>2233</v>
      </c>
      <c r="BC140" s="29" t="s">
        <v>1900</v>
      </c>
      <c r="BD140" s="29" t="s">
        <v>1918</v>
      </c>
      <c r="BE140" s="29" t="s">
        <v>1988</v>
      </c>
      <c r="BF140" s="29" t="s">
        <v>1905</v>
      </c>
      <c r="BG140" s="29" t="s">
        <v>2234</v>
      </c>
      <c r="BH140" s="29" t="s">
        <v>2235</v>
      </c>
      <c r="BI140" s="35"/>
      <c r="BJ140" s="35"/>
      <c r="BK140" s="29" t="str" cm="1">
        <f t="array" ref="BK140">_xlfn.UNIQUE(MID(BB140,16,14))</f>
        <v>U012UNA01UH151</v>
      </c>
    </row>
    <row r="141" spans="1:63" x14ac:dyDescent="0.3">
      <c r="A141" s="29" t="s">
        <v>2229</v>
      </c>
      <c r="B141" s="36" t="str">
        <f t="shared" si="10"/>
        <v>G01NHB05EQ001-BQ02</v>
      </c>
      <c r="C141" s="33" t="s">
        <v>2237</v>
      </c>
      <c r="D141" s="34" t="str">
        <f t="shared" si="11"/>
        <v>ELY1 GRP5 COOL QUAL2 ANALOG1</v>
      </c>
      <c r="E141" s="31">
        <f t="shared" si="12"/>
        <v>28</v>
      </c>
      <c r="F141" s="32" t="str">
        <f t="shared" si="13"/>
        <v>ELECTROLYSIS SYSTEM ELECTROLYSIS ARRAY 1 ELECTROLYZER SYSTEM MODULE GROUP 5 HEAT EXCHANGING SYSTEMS HEAT EXCHANGING SYSTEM 1 CONDUCTIVITY WP O2 ANALOG PROCESS SIGNAL</v>
      </c>
      <c r="G141" s="29" t="s">
        <v>1614</v>
      </c>
      <c r="H141" s="29" t="s">
        <v>1615</v>
      </c>
      <c r="I141" s="29" t="str">
        <f t="shared" si="14"/>
        <v>01</v>
      </c>
      <c r="J141" s="29" t="s">
        <v>1616</v>
      </c>
      <c r="K141" s="29" t="s">
        <v>1976</v>
      </c>
      <c r="L141" s="29" t="s">
        <v>1977</v>
      </c>
      <c r="M141" s="29" t="s">
        <v>1919</v>
      </c>
      <c r="N141" s="29" t="s">
        <v>2231</v>
      </c>
      <c r="O141" s="29" t="s">
        <v>1894</v>
      </c>
      <c r="P141" s="29" t="s">
        <v>1979</v>
      </c>
      <c r="Q141" s="29" t="s">
        <v>1623</v>
      </c>
      <c r="R141" s="29" t="s">
        <v>1980</v>
      </c>
      <c r="S141" s="29" t="s">
        <v>1990</v>
      </c>
      <c r="T141" s="29" t="s">
        <v>1991</v>
      </c>
      <c r="U141" s="29" t="s">
        <v>193</v>
      </c>
      <c r="V141" s="29" t="s">
        <v>1083</v>
      </c>
      <c r="W141" s="35" t="s">
        <v>1628</v>
      </c>
      <c r="X141" s="35" t="s">
        <v>2232</v>
      </c>
      <c r="Y141" s="35" t="s">
        <v>1898</v>
      </c>
      <c r="Z141" s="35" t="s">
        <v>1992</v>
      </c>
      <c r="AA141" s="35" t="s">
        <v>1666</v>
      </c>
      <c r="AB141" s="29" t="s">
        <v>1990</v>
      </c>
      <c r="AC141" s="35" t="s">
        <v>1633</v>
      </c>
      <c r="AD141" s="35" t="s">
        <v>1668</v>
      </c>
      <c r="AE141" s="35" t="s">
        <v>1668</v>
      </c>
      <c r="AF141" s="35" t="s">
        <v>1635</v>
      </c>
      <c r="AG141" s="35" t="s">
        <v>1670</v>
      </c>
      <c r="AI141" s="35"/>
      <c r="AJ141" s="35" t="s">
        <v>1671</v>
      </c>
      <c r="AK141" s="35" t="s">
        <v>1672</v>
      </c>
      <c r="AL141" s="29" t="s">
        <v>1671</v>
      </c>
      <c r="AM141" s="35" t="s">
        <v>1702</v>
      </c>
      <c r="AN141" s="35" t="s">
        <v>1703</v>
      </c>
      <c r="AO141" s="35"/>
      <c r="AP141" s="35"/>
      <c r="AQ141" s="35"/>
      <c r="AR141" s="29" t="s">
        <v>1756</v>
      </c>
      <c r="AS141" s="35"/>
      <c r="AT141" s="29" t="s">
        <v>1640</v>
      </c>
      <c r="AU141" s="35"/>
      <c r="AW141" s="35"/>
      <c r="AY141" s="35"/>
      <c r="AZ141" s="35"/>
      <c r="BA141" s="35"/>
      <c r="BB141" s="29" t="s">
        <v>2233</v>
      </c>
      <c r="BC141" s="29" t="s">
        <v>1900</v>
      </c>
      <c r="BD141" s="29" t="s">
        <v>1804</v>
      </c>
      <c r="BE141" s="29" t="s">
        <v>1984</v>
      </c>
      <c r="BF141" s="29" t="s">
        <v>1909</v>
      </c>
      <c r="BG141" s="29" t="s">
        <v>2238</v>
      </c>
      <c r="BH141" s="29" t="s">
        <v>2235</v>
      </c>
      <c r="BI141" s="35"/>
      <c r="BJ141" s="35"/>
      <c r="BK141" s="29" t="str" cm="1">
        <f t="array" ref="BK141">_xlfn.UNIQUE(MID(BB141,16,14))</f>
        <v>U012UNA01UH151</v>
      </c>
    </row>
    <row r="142" spans="1:63" x14ac:dyDescent="0.3">
      <c r="A142" s="29" t="s">
        <v>2229</v>
      </c>
      <c r="B142" s="36" t="str">
        <f t="shared" si="10"/>
        <v>G01NHB05EQ001-BQ02</v>
      </c>
      <c r="C142" s="33" t="s">
        <v>2239</v>
      </c>
      <c r="D142" s="34" t="str">
        <f t="shared" si="11"/>
        <v>ELY1 GRP5 COOL QUAL2 ANALOG2</v>
      </c>
      <c r="E142" s="31">
        <f t="shared" si="12"/>
        <v>28</v>
      </c>
      <c r="F142" s="32" t="str">
        <f t="shared" si="13"/>
        <v>ELECTROLYSIS SYSTEM ELECTROLYSIS ARRAY 1 ELECTROLYZER SYSTEM MODULE GROUP 5 HEAT EXCHANGING SYSTEMS HEAT EXCHANGING SYSTEM 1 CONDUCTIVITY WP O2 ANALOG PROCESS SIGNAL</v>
      </c>
      <c r="G142" s="29" t="s">
        <v>1614</v>
      </c>
      <c r="H142" s="29" t="s">
        <v>1615</v>
      </c>
      <c r="I142" s="29" t="str">
        <f t="shared" si="14"/>
        <v>01</v>
      </c>
      <c r="J142" s="29" t="s">
        <v>1616</v>
      </c>
      <c r="K142" s="29" t="s">
        <v>1976</v>
      </c>
      <c r="L142" s="29" t="s">
        <v>1977</v>
      </c>
      <c r="M142" s="29" t="s">
        <v>1919</v>
      </c>
      <c r="N142" s="29" t="s">
        <v>2231</v>
      </c>
      <c r="O142" s="29" t="s">
        <v>1894</v>
      </c>
      <c r="P142" s="29" t="s">
        <v>1979</v>
      </c>
      <c r="Q142" s="29" t="s">
        <v>1623</v>
      </c>
      <c r="R142" s="29" t="s">
        <v>1980</v>
      </c>
      <c r="S142" s="29" t="s">
        <v>1990</v>
      </c>
      <c r="T142" s="29" t="s">
        <v>1991</v>
      </c>
      <c r="U142" s="29" t="s">
        <v>905</v>
      </c>
      <c r="V142" s="29" t="s">
        <v>1083</v>
      </c>
      <c r="W142" s="35" t="s">
        <v>1628</v>
      </c>
      <c r="X142" s="35" t="s">
        <v>2232</v>
      </c>
      <c r="Y142" s="35" t="s">
        <v>1898</v>
      </c>
      <c r="Z142" s="35" t="s">
        <v>1992</v>
      </c>
      <c r="AA142" s="35" t="s">
        <v>1705</v>
      </c>
      <c r="AB142" s="29" t="s">
        <v>1990</v>
      </c>
      <c r="AC142" s="35" t="s">
        <v>1633</v>
      </c>
      <c r="AD142" s="35" t="s">
        <v>1668</v>
      </c>
      <c r="AE142" s="35" t="s">
        <v>1668</v>
      </c>
      <c r="AF142" s="35" t="s">
        <v>1635</v>
      </c>
      <c r="AG142" s="35" t="s">
        <v>1670</v>
      </c>
      <c r="AI142" s="35"/>
      <c r="AJ142" s="35" t="s">
        <v>1671</v>
      </c>
      <c r="AK142" s="35" t="s">
        <v>1672</v>
      </c>
      <c r="AL142" s="29" t="s">
        <v>1706</v>
      </c>
      <c r="AM142" s="35" t="s">
        <v>1702</v>
      </c>
      <c r="AN142" s="35" t="s">
        <v>1703</v>
      </c>
      <c r="AO142" s="35"/>
      <c r="AP142" s="35"/>
      <c r="AQ142" s="35"/>
      <c r="AS142" s="35"/>
      <c r="AU142" s="35"/>
      <c r="AV142" s="29" t="s">
        <v>1641</v>
      </c>
      <c r="AW142" s="35"/>
      <c r="AX142" s="29" t="s">
        <v>1674</v>
      </c>
      <c r="AY142" s="35"/>
      <c r="AZ142" s="35"/>
      <c r="BA142" s="35"/>
      <c r="BB142" s="29" t="s">
        <v>2233</v>
      </c>
      <c r="BC142" s="29" t="s">
        <v>1900</v>
      </c>
      <c r="BD142" s="29" t="s">
        <v>1918</v>
      </c>
      <c r="BE142" s="29" t="s">
        <v>1988</v>
      </c>
      <c r="BF142" s="29" t="s">
        <v>1915</v>
      </c>
      <c r="BG142" s="29" t="s">
        <v>2238</v>
      </c>
      <c r="BH142" s="29" t="s">
        <v>2235</v>
      </c>
      <c r="BI142" s="35"/>
      <c r="BJ142" s="35"/>
      <c r="BK142" s="29" t="str" cm="1">
        <f t="array" ref="BK142">_xlfn.UNIQUE(MID(BB142,16,14))</f>
        <v>U012UNA01UH151</v>
      </c>
    </row>
    <row r="143" spans="1:63" x14ac:dyDescent="0.3">
      <c r="A143" s="29" t="s">
        <v>2229</v>
      </c>
      <c r="B143" s="36" t="str">
        <f t="shared" si="10"/>
        <v>G01NHB05EQ001-BT01</v>
      </c>
      <c r="C143" s="33" t="s">
        <v>2240</v>
      </c>
      <c r="D143" s="34" t="str">
        <f t="shared" si="11"/>
        <v>ELY1 GRP5 COOL TEMP1 ANALOG1</v>
      </c>
      <c r="E143" s="31">
        <f t="shared" si="12"/>
        <v>28</v>
      </c>
      <c r="F143" s="32" t="str">
        <f t="shared" si="13"/>
        <v>ELECTROLYSIS SYSTEM ELECTROLYSIS ARRAY 1 ELECTROLYZER SYSTEM MODULE GROUP 5 HEAT EXCHANGING SYSTEMS HEAT EXCHANGING SYSTEM 1 TEMPERATURE WCR ANALOG PROCESS SIGNAL</v>
      </c>
      <c r="G143" s="29" t="s">
        <v>1614</v>
      </c>
      <c r="H143" s="29" t="s">
        <v>1615</v>
      </c>
      <c r="I143" s="29" t="str">
        <f t="shared" si="14"/>
        <v>01</v>
      </c>
      <c r="J143" s="29" t="s">
        <v>1616</v>
      </c>
      <c r="K143" s="29" t="s">
        <v>1976</v>
      </c>
      <c r="L143" s="29" t="s">
        <v>1977</v>
      </c>
      <c r="M143" s="29" t="s">
        <v>1919</v>
      </c>
      <c r="N143" s="29" t="s">
        <v>2231</v>
      </c>
      <c r="O143" s="29" t="s">
        <v>1894</v>
      </c>
      <c r="P143" s="29" t="s">
        <v>1979</v>
      </c>
      <c r="Q143" s="29" t="s">
        <v>1623</v>
      </c>
      <c r="R143" s="29" t="s">
        <v>1980</v>
      </c>
      <c r="S143" s="29" t="s">
        <v>1715</v>
      </c>
      <c r="T143" s="29" t="s">
        <v>1996</v>
      </c>
      <c r="U143" s="29" t="s">
        <v>193</v>
      </c>
      <c r="V143" s="29" t="s">
        <v>1083</v>
      </c>
      <c r="W143" s="35" t="s">
        <v>1628</v>
      </c>
      <c r="X143" s="35" t="s">
        <v>2232</v>
      </c>
      <c r="Y143" s="35" t="s">
        <v>1898</v>
      </c>
      <c r="Z143" s="35" t="s">
        <v>1719</v>
      </c>
      <c r="AA143" s="35" t="s">
        <v>1666</v>
      </c>
      <c r="AB143" s="29" t="s">
        <v>1715</v>
      </c>
      <c r="AC143" s="35" t="s">
        <v>1633</v>
      </c>
      <c r="AD143" s="35" t="s">
        <v>1668</v>
      </c>
      <c r="AE143" s="35" t="s">
        <v>1668</v>
      </c>
      <c r="AF143" s="35" t="s">
        <v>1635</v>
      </c>
      <c r="AG143" s="35" t="s">
        <v>1670</v>
      </c>
      <c r="AI143" s="35"/>
      <c r="AJ143" s="35" t="s">
        <v>1671</v>
      </c>
      <c r="AK143" s="35" t="s">
        <v>1672</v>
      </c>
      <c r="AL143" s="29" t="s">
        <v>1706</v>
      </c>
      <c r="AM143" s="35" t="s">
        <v>1721</v>
      </c>
      <c r="AN143" s="35" t="s">
        <v>1967</v>
      </c>
      <c r="AO143" s="35"/>
      <c r="AP143" s="35"/>
      <c r="AQ143" s="35"/>
      <c r="AS143" s="35"/>
      <c r="AU143" s="35"/>
      <c r="AW143" s="35"/>
      <c r="AY143" s="35"/>
      <c r="AZ143" s="35"/>
      <c r="BA143" s="35"/>
      <c r="BB143" s="29" t="s">
        <v>2233</v>
      </c>
      <c r="BC143" s="29" t="s">
        <v>1900</v>
      </c>
      <c r="BD143" s="29" t="s">
        <v>1804</v>
      </c>
      <c r="BE143" s="29" t="s">
        <v>1805</v>
      </c>
      <c r="BF143" s="29" t="s">
        <v>1919</v>
      </c>
      <c r="BG143" s="29" t="s">
        <v>2241</v>
      </c>
      <c r="BH143" s="29" t="s">
        <v>2235</v>
      </c>
      <c r="BI143" s="35"/>
      <c r="BJ143" s="35"/>
      <c r="BK143" s="29" t="str" cm="1">
        <f t="array" ref="BK143">_xlfn.UNIQUE(MID(BB143,16,14))</f>
        <v>U012UNA01UH151</v>
      </c>
    </row>
    <row r="144" spans="1:63" x14ac:dyDescent="0.3">
      <c r="A144" s="29" t="s">
        <v>2229</v>
      </c>
      <c r="B144" s="36" t="str">
        <f t="shared" si="10"/>
        <v>G01NHB05EQ001-BT02</v>
      </c>
      <c r="C144" s="33" t="s">
        <v>2242</v>
      </c>
      <c r="D144" s="34" t="str">
        <f t="shared" si="11"/>
        <v>ELY1 GRP5 COOL TEMP2 ANALOG1</v>
      </c>
      <c r="E144" s="31">
        <f t="shared" si="12"/>
        <v>28</v>
      </c>
      <c r="F144" s="32" t="str">
        <f t="shared" si="13"/>
        <v>ELECTROLYSIS SYSTEM ELECTROLYSIS ARRAY 1 ELECTROLYZER SYSTEM MODULE GROUP 5 HEAT EXCHANGING SYSTEMS HEAT EXCHANGING SYSTEM 1 TEMPERATURE WP H2 ANALOG PROCESS SIGNAL</v>
      </c>
      <c r="G144" s="29" t="s">
        <v>1614</v>
      </c>
      <c r="H144" s="29" t="s">
        <v>1615</v>
      </c>
      <c r="I144" s="29" t="str">
        <f t="shared" si="14"/>
        <v>01</v>
      </c>
      <c r="J144" s="29" t="s">
        <v>1616</v>
      </c>
      <c r="K144" s="29" t="s">
        <v>1976</v>
      </c>
      <c r="L144" s="29" t="s">
        <v>1977</v>
      </c>
      <c r="M144" s="29" t="s">
        <v>1919</v>
      </c>
      <c r="N144" s="29" t="s">
        <v>2231</v>
      </c>
      <c r="O144" s="29" t="s">
        <v>1894</v>
      </c>
      <c r="P144" s="29" t="s">
        <v>1979</v>
      </c>
      <c r="Q144" s="29" t="s">
        <v>1623</v>
      </c>
      <c r="R144" s="29" t="s">
        <v>1980</v>
      </c>
      <c r="S144" s="29" t="s">
        <v>1791</v>
      </c>
      <c r="T144" s="29" t="s">
        <v>1999</v>
      </c>
      <c r="U144" s="29" t="s">
        <v>193</v>
      </c>
      <c r="V144" s="29" t="s">
        <v>1083</v>
      </c>
      <c r="W144" s="35" t="s">
        <v>1628</v>
      </c>
      <c r="X144" s="35" t="s">
        <v>2232</v>
      </c>
      <c r="Y144" s="35" t="s">
        <v>1898</v>
      </c>
      <c r="Z144" s="35" t="s">
        <v>1793</v>
      </c>
      <c r="AA144" s="35" t="s">
        <v>1666</v>
      </c>
      <c r="AB144" s="29" t="s">
        <v>1791</v>
      </c>
      <c r="AC144" s="35" t="s">
        <v>1633</v>
      </c>
      <c r="AD144" s="35" t="s">
        <v>1668</v>
      </c>
      <c r="AE144" s="35" t="s">
        <v>1668</v>
      </c>
      <c r="AF144" s="35" t="s">
        <v>1635</v>
      </c>
      <c r="AG144" s="35" t="s">
        <v>1670</v>
      </c>
      <c r="AI144" s="35"/>
      <c r="AJ144" s="35" t="s">
        <v>1671</v>
      </c>
      <c r="AK144" s="35" t="s">
        <v>1638</v>
      </c>
      <c r="AL144" s="29" t="s">
        <v>1706</v>
      </c>
      <c r="AM144" s="35" t="s">
        <v>1721</v>
      </c>
      <c r="AN144" s="35" t="s">
        <v>1967</v>
      </c>
      <c r="AO144" s="35"/>
      <c r="AP144" s="35"/>
      <c r="AQ144" s="35"/>
      <c r="AS144" s="35"/>
      <c r="AT144" s="29" t="s">
        <v>2000</v>
      </c>
      <c r="AU144" s="35"/>
      <c r="AV144" s="29" t="s">
        <v>2001</v>
      </c>
      <c r="AW144" s="35"/>
      <c r="AY144" s="35"/>
      <c r="AZ144" s="35" t="s">
        <v>1642</v>
      </c>
      <c r="BA144" s="35" t="s">
        <v>2002</v>
      </c>
      <c r="BB144" s="29" t="s">
        <v>2195</v>
      </c>
      <c r="BC144" s="29" t="s">
        <v>2004</v>
      </c>
      <c r="BD144" s="29" t="s">
        <v>2005</v>
      </c>
      <c r="BE144" s="29" t="s">
        <v>2006</v>
      </c>
      <c r="BF144" s="29" t="s">
        <v>1909</v>
      </c>
      <c r="BG144" s="29" t="s">
        <v>2243</v>
      </c>
      <c r="BH144" s="29" t="s">
        <v>2235</v>
      </c>
      <c r="BI144" s="35"/>
      <c r="BJ144" s="35"/>
      <c r="BK144" s="29" t="str" cm="1">
        <f t="array" ref="BK144">_xlfn.UNIQUE(MID(BB144,16,14))</f>
        <v>U012UNA01UH100</v>
      </c>
    </row>
    <row r="145" spans="1:63" x14ac:dyDescent="0.3">
      <c r="A145" s="29" t="s">
        <v>2229</v>
      </c>
      <c r="B145" s="36" t="str">
        <f t="shared" si="10"/>
        <v>G01NHB05EQ001-BT03</v>
      </c>
      <c r="C145" s="33" t="s">
        <v>2244</v>
      </c>
      <c r="D145" s="34" t="str">
        <f t="shared" si="11"/>
        <v>ELY1 GRP5 COOL TEMP3 ANALOG1</v>
      </c>
      <c r="E145" s="31">
        <f t="shared" si="12"/>
        <v>28</v>
      </c>
      <c r="F145" s="32" t="str">
        <f t="shared" si="13"/>
        <v>ELECTROLYSIS SYSTEM ELECTROLYSIS ARRAY 1 ELECTROLYZER SYSTEM MODULE GROUP 5 HEAT EXCHANGING SYSTEMS HEAT EXCHANGING SYSTEM 1 TEMPERATURE WP O2 ANALOG PROCESS SIGNAL</v>
      </c>
      <c r="G145" s="29" t="s">
        <v>1614</v>
      </c>
      <c r="H145" s="29" t="s">
        <v>1615</v>
      </c>
      <c r="I145" s="29" t="str">
        <f t="shared" si="14"/>
        <v>01</v>
      </c>
      <c r="J145" s="29" t="s">
        <v>1616</v>
      </c>
      <c r="K145" s="29" t="s">
        <v>1976</v>
      </c>
      <c r="L145" s="29" t="s">
        <v>1977</v>
      </c>
      <c r="M145" s="29" t="s">
        <v>1919</v>
      </c>
      <c r="N145" s="29" t="s">
        <v>2231</v>
      </c>
      <c r="O145" s="29" t="s">
        <v>1894</v>
      </c>
      <c r="P145" s="29" t="s">
        <v>1979</v>
      </c>
      <c r="Q145" s="29" t="s">
        <v>1623</v>
      </c>
      <c r="R145" s="29" t="s">
        <v>1980</v>
      </c>
      <c r="S145" s="29" t="s">
        <v>1796</v>
      </c>
      <c r="T145" s="29" t="s">
        <v>2009</v>
      </c>
      <c r="U145" s="29" t="s">
        <v>193</v>
      </c>
      <c r="V145" s="29" t="s">
        <v>1083</v>
      </c>
      <c r="W145" s="35" t="s">
        <v>1628</v>
      </c>
      <c r="X145" s="35" t="s">
        <v>2232</v>
      </c>
      <c r="Y145" s="35" t="s">
        <v>1898</v>
      </c>
      <c r="Z145" s="35" t="s">
        <v>1798</v>
      </c>
      <c r="AA145" s="35" t="s">
        <v>1666</v>
      </c>
      <c r="AB145" s="29" t="s">
        <v>1796</v>
      </c>
      <c r="AC145" s="35" t="s">
        <v>1633</v>
      </c>
      <c r="AD145" s="35" t="s">
        <v>1668</v>
      </c>
      <c r="AE145" s="35" t="s">
        <v>1668</v>
      </c>
      <c r="AF145" s="35" t="s">
        <v>1635</v>
      </c>
      <c r="AG145" s="35" t="s">
        <v>1670</v>
      </c>
      <c r="AI145" s="35"/>
      <c r="AJ145" s="35" t="s">
        <v>1671</v>
      </c>
      <c r="AK145" s="35" t="s">
        <v>1638</v>
      </c>
      <c r="AL145" s="29" t="s">
        <v>1706</v>
      </c>
      <c r="AM145" s="35" t="s">
        <v>1721</v>
      </c>
      <c r="AN145" s="35" t="s">
        <v>1967</v>
      </c>
      <c r="AO145" s="35"/>
      <c r="AP145" s="35"/>
      <c r="AQ145" s="35"/>
      <c r="AS145" s="35"/>
      <c r="AT145" s="29" t="s">
        <v>2000</v>
      </c>
      <c r="AU145" s="35"/>
      <c r="AV145" s="29" t="s">
        <v>2001</v>
      </c>
      <c r="AW145" s="35"/>
      <c r="AY145" s="35"/>
      <c r="AZ145" s="35" t="s">
        <v>1642</v>
      </c>
      <c r="BA145" s="35" t="s">
        <v>2002</v>
      </c>
      <c r="BB145" s="29" t="s">
        <v>2195</v>
      </c>
      <c r="BC145" s="29" t="s">
        <v>2004</v>
      </c>
      <c r="BD145" s="29" t="s">
        <v>2010</v>
      </c>
      <c r="BE145" s="29" t="s">
        <v>2011</v>
      </c>
      <c r="BF145" s="29" t="s">
        <v>1915</v>
      </c>
      <c r="BG145" s="29" t="s">
        <v>2245</v>
      </c>
      <c r="BH145" s="29" t="s">
        <v>2235</v>
      </c>
      <c r="BI145" s="35"/>
      <c r="BJ145" s="35"/>
      <c r="BK145" s="29" t="str" cm="1">
        <f t="array" ref="BK145">_xlfn.UNIQUE(MID(BB145,16,14))</f>
        <v>U012UNA01UH100</v>
      </c>
    </row>
    <row r="146" spans="1:63" x14ac:dyDescent="0.3">
      <c r="A146" s="29" t="s">
        <v>2229</v>
      </c>
      <c r="B146" s="36" t="str">
        <f t="shared" si="10"/>
        <v>G01NHB05EQ001-QN01</v>
      </c>
      <c r="C146" s="33" t="s">
        <v>2246</v>
      </c>
      <c r="D146" s="34" t="str">
        <f t="shared" si="11"/>
        <v>ELY1 GRP5 COOL CV1 ANALOG1</v>
      </c>
      <c r="E146" s="31">
        <f t="shared" si="12"/>
        <v>26</v>
      </c>
      <c r="F146" s="32" t="str">
        <f t="shared" si="13"/>
        <v>ELECTROLYSIS SYSTEM ELECTROLYSIS ARRAY 1 ELECTROLYZER SYSTEM MODULE GROUP 5 HEAT EXCHANGING SYSTEMS HEAT EXCHANGING SYSTEM 1 COOLING WATER - CONTROL VALVE ANALOG PROCESS SIGNAL</v>
      </c>
      <c r="G146" s="29" t="s">
        <v>1614</v>
      </c>
      <c r="H146" s="29" t="s">
        <v>1615</v>
      </c>
      <c r="I146" s="29" t="str">
        <f t="shared" si="14"/>
        <v>01</v>
      </c>
      <c r="J146" s="29" t="s">
        <v>1616</v>
      </c>
      <c r="K146" s="29" t="s">
        <v>1976</v>
      </c>
      <c r="L146" s="29" t="s">
        <v>1977</v>
      </c>
      <c r="M146" s="29" t="s">
        <v>1919</v>
      </c>
      <c r="N146" s="29" t="s">
        <v>2231</v>
      </c>
      <c r="O146" s="29" t="s">
        <v>1894</v>
      </c>
      <c r="P146" s="29" t="s">
        <v>1979</v>
      </c>
      <c r="Q146" s="29" t="s">
        <v>1623</v>
      </c>
      <c r="R146" s="29" t="s">
        <v>1980</v>
      </c>
      <c r="S146" s="29" t="s">
        <v>1800</v>
      </c>
      <c r="T146" s="29" t="s">
        <v>2014</v>
      </c>
      <c r="U146" s="29" t="s">
        <v>193</v>
      </c>
      <c r="V146" s="29" t="s">
        <v>1083</v>
      </c>
      <c r="W146" s="35" t="s">
        <v>1628</v>
      </c>
      <c r="X146" s="35" t="s">
        <v>2232</v>
      </c>
      <c r="Y146" s="35" t="s">
        <v>1898</v>
      </c>
      <c r="Z146" s="35" t="s">
        <v>1802</v>
      </c>
      <c r="AA146" s="35" t="s">
        <v>1666</v>
      </c>
      <c r="AB146" s="29" t="s">
        <v>2015</v>
      </c>
      <c r="AC146" s="35" t="s">
        <v>1633</v>
      </c>
      <c r="AD146" s="35" t="s">
        <v>1668</v>
      </c>
      <c r="AE146" s="35" t="s">
        <v>1668</v>
      </c>
      <c r="AF146" s="35" t="s">
        <v>1635</v>
      </c>
      <c r="AG146" s="35" t="s">
        <v>1670</v>
      </c>
      <c r="AI146" s="35"/>
      <c r="AJ146" s="35" t="s">
        <v>1671</v>
      </c>
      <c r="AK146" s="35" t="s">
        <v>1672</v>
      </c>
      <c r="AL146" s="29" t="s">
        <v>1803</v>
      </c>
      <c r="AM146" s="35"/>
      <c r="AN146" s="35"/>
      <c r="AO146" s="35"/>
      <c r="AP146" s="35"/>
      <c r="AQ146" s="35"/>
      <c r="AS146" s="35"/>
      <c r="AU146" s="35"/>
      <c r="AW146" s="35"/>
      <c r="AY146" s="35"/>
      <c r="AZ146" s="35"/>
      <c r="BA146" s="35"/>
      <c r="BB146" s="29" t="s">
        <v>2233</v>
      </c>
      <c r="BC146" s="29" t="s">
        <v>1900</v>
      </c>
      <c r="BD146" s="29" t="s">
        <v>1804</v>
      </c>
      <c r="BE146" s="29" t="s">
        <v>1805</v>
      </c>
      <c r="BF146" s="29" t="s">
        <v>2016</v>
      </c>
      <c r="BG146" s="29" t="s">
        <v>2247</v>
      </c>
      <c r="BH146" s="29" t="s">
        <v>2235</v>
      </c>
      <c r="BI146" s="35"/>
      <c r="BJ146" s="35"/>
      <c r="BK146" s="29" t="str" cm="1">
        <f t="array" ref="BK146">_xlfn.UNIQUE(MID(BB146,16,14))</f>
        <v>U012UNA01UH151</v>
      </c>
    </row>
    <row r="147" spans="1:63" x14ac:dyDescent="0.3">
      <c r="A147" s="29" t="s">
        <v>2248</v>
      </c>
      <c r="B147" s="36" t="str">
        <f t="shared" si="10"/>
        <v>G01NHB05HT001-BT01</v>
      </c>
      <c r="C147" s="33" t="s">
        <v>2249</v>
      </c>
      <c r="D147" s="34" t="str">
        <f t="shared" si="11"/>
        <v>ELY1 GRP5 MOD1 TEMP1 ANALOG1</v>
      </c>
      <c r="E147" s="31">
        <f t="shared" si="12"/>
        <v>28</v>
      </c>
      <c r="F147" s="32" t="str">
        <f t="shared" si="13"/>
        <v>ELECTROLYSIS SYSTEM ELECTROLYSIS ARRAY 1 ELECTROLYZER SYSTEM MODULE GROUP 5 ELECTROLYSIS MODULES MODULE 1 TEMPERATURE MODULE OUTLET O2 ANALOG PROCESS SIGNAL</v>
      </c>
      <c r="G147" s="29" t="s">
        <v>1614</v>
      </c>
      <c r="H147" s="29" t="s">
        <v>1615</v>
      </c>
      <c r="I147" s="29" t="str">
        <f t="shared" si="14"/>
        <v>01</v>
      </c>
      <c r="J147" s="29" t="s">
        <v>1616</v>
      </c>
      <c r="K147" s="29" t="s">
        <v>1976</v>
      </c>
      <c r="L147" s="29" t="s">
        <v>1977</v>
      </c>
      <c r="M147" s="29" t="s">
        <v>1919</v>
      </c>
      <c r="N147" s="29" t="s">
        <v>2231</v>
      </c>
      <c r="O147" s="29" t="s">
        <v>2020</v>
      </c>
      <c r="P147" s="29" t="s">
        <v>2021</v>
      </c>
      <c r="Q147" s="29" t="s">
        <v>1623</v>
      </c>
      <c r="R147" s="29" t="s">
        <v>2022</v>
      </c>
      <c r="S147" s="29" t="s">
        <v>1715</v>
      </c>
      <c r="T147" s="29" t="s">
        <v>2023</v>
      </c>
      <c r="U147" s="29" t="s">
        <v>193</v>
      </c>
      <c r="V147" s="29" t="s">
        <v>1083</v>
      </c>
      <c r="W147" s="35" t="s">
        <v>1628</v>
      </c>
      <c r="X147" s="35" t="s">
        <v>2232</v>
      </c>
      <c r="Y147" s="35" t="s">
        <v>2024</v>
      </c>
      <c r="Z147" s="35" t="s">
        <v>1719</v>
      </c>
      <c r="AA147" s="35" t="s">
        <v>1666</v>
      </c>
      <c r="AB147" s="29" t="s">
        <v>1715</v>
      </c>
      <c r="AC147" s="35" t="s">
        <v>1633</v>
      </c>
      <c r="AD147" s="35" t="s">
        <v>1668</v>
      </c>
      <c r="AE147" s="35" t="s">
        <v>1668</v>
      </c>
      <c r="AF147" s="35" t="s">
        <v>1635</v>
      </c>
      <c r="AG147" s="35" t="s">
        <v>1670</v>
      </c>
      <c r="AI147" s="35"/>
      <c r="AJ147" s="35" t="s">
        <v>1671</v>
      </c>
      <c r="AK147" s="35" t="s">
        <v>1672</v>
      </c>
      <c r="AL147" s="29" t="s">
        <v>1720</v>
      </c>
      <c r="AM147" s="35" t="s">
        <v>1721</v>
      </c>
      <c r="AN147" s="35" t="s">
        <v>1967</v>
      </c>
      <c r="AO147" s="35"/>
      <c r="AP147" s="35"/>
      <c r="AQ147" s="35"/>
      <c r="AR147" s="29" t="s">
        <v>1756</v>
      </c>
      <c r="AS147" s="35"/>
      <c r="AT147" s="29" t="s">
        <v>1640</v>
      </c>
      <c r="AU147" s="35"/>
      <c r="AW147" s="35"/>
      <c r="AY147" s="35"/>
      <c r="AZ147" s="35"/>
      <c r="BA147" s="35"/>
      <c r="BB147" s="29" t="s">
        <v>2233</v>
      </c>
      <c r="BC147" s="29" t="s">
        <v>1900</v>
      </c>
      <c r="BD147" s="29" t="s">
        <v>1804</v>
      </c>
      <c r="BE147" s="29" t="s">
        <v>1805</v>
      </c>
      <c r="BF147" s="29" t="s">
        <v>1922</v>
      </c>
      <c r="BG147" s="29" t="s">
        <v>2250</v>
      </c>
      <c r="BH147" s="29" t="s">
        <v>2235</v>
      </c>
      <c r="BI147" s="35"/>
      <c r="BJ147" s="35"/>
      <c r="BK147" s="29" t="str" cm="1">
        <f t="array" ref="BK147">_xlfn.UNIQUE(MID(BB147,16,14))</f>
        <v>U012UNA01UH151</v>
      </c>
    </row>
    <row r="148" spans="1:63" x14ac:dyDescent="0.3">
      <c r="A148" s="29" t="s">
        <v>2248</v>
      </c>
      <c r="B148" s="36" t="str">
        <f t="shared" si="10"/>
        <v>G01NHB05HT001-BT02</v>
      </c>
      <c r="C148" s="33" t="s">
        <v>2251</v>
      </c>
      <c r="D148" s="34" t="str">
        <f t="shared" si="11"/>
        <v>ELY1 GRP5 MOD1 TEMP2 ANALOG1</v>
      </c>
      <c r="E148" s="31">
        <f t="shared" si="12"/>
        <v>28</v>
      </c>
      <c r="F148" s="32" t="str">
        <f t="shared" si="13"/>
        <v>ELECTROLYSIS SYSTEM ELECTROLYSIS ARRAY 1 ELECTROLYZER SYSTEM MODULE GROUP 5 ELECTROLYSIS MODULES MODULE 1 TEMPERATURE MODULE OUTLET H2 ANALOG PROCESS SIGNAL</v>
      </c>
      <c r="G148" s="29" t="s">
        <v>1614</v>
      </c>
      <c r="H148" s="29" t="s">
        <v>1615</v>
      </c>
      <c r="I148" s="29" t="str">
        <f t="shared" si="14"/>
        <v>01</v>
      </c>
      <c r="J148" s="29" t="s">
        <v>1616</v>
      </c>
      <c r="K148" s="29" t="s">
        <v>1976</v>
      </c>
      <c r="L148" s="29" t="s">
        <v>1977</v>
      </c>
      <c r="M148" s="29" t="s">
        <v>1919</v>
      </c>
      <c r="N148" s="29" t="s">
        <v>2231</v>
      </c>
      <c r="O148" s="29" t="s">
        <v>2020</v>
      </c>
      <c r="P148" s="29" t="s">
        <v>2021</v>
      </c>
      <c r="Q148" s="29" t="s">
        <v>1623</v>
      </c>
      <c r="R148" s="29" t="s">
        <v>2022</v>
      </c>
      <c r="S148" s="29" t="s">
        <v>1791</v>
      </c>
      <c r="T148" s="29" t="s">
        <v>2027</v>
      </c>
      <c r="U148" s="29" t="s">
        <v>193</v>
      </c>
      <c r="V148" s="29" t="s">
        <v>1083</v>
      </c>
      <c r="W148" s="35" t="s">
        <v>1628</v>
      </c>
      <c r="X148" s="35" t="s">
        <v>2232</v>
      </c>
      <c r="Y148" s="35" t="s">
        <v>2024</v>
      </c>
      <c r="Z148" s="35" t="s">
        <v>1793</v>
      </c>
      <c r="AA148" s="35" t="s">
        <v>1666</v>
      </c>
      <c r="AB148" s="29" t="s">
        <v>1791</v>
      </c>
      <c r="AC148" s="35" t="s">
        <v>1633</v>
      </c>
      <c r="AD148" s="35" t="s">
        <v>1668</v>
      </c>
      <c r="AE148" s="35" t="s">
        <v>1668</v>
      </c>
      <c r="AF148" s="35" t="s">
        <v>1635</v>
      </c>
      <c r="AG148" s="35" t="s">
        <v>1670</v>
      </c>
      <c r="AI148" s="35"/>
      <c r="AJ148" s="35" t="s">
        <v>1671</v>
      </c>
      <c r="AK148" s="35" t="s">
        <v>1672</v>
      </c>
      <c r="AL148" s="29" t="s">
        <v>1720</v>
      </c>
      <c r="AM148" s="35" t="s">
        <v>1721</v>
      </c>
      <c r="AN148" s="35" t="s">
        <v>1967</v>
      </c>
      <c r="AO148" s="35"/>
      <c r="AP148" s="35"/>
      <c r="AQ148" s="35"/>
      <c r="AR148" s="29" t="s">
        <v>1756</v>
      </c>
      <c r="AS148" s="35"/>
      <c r="AT148" s="29" t="s">
        <v>1640</v>
      </c>
      <c r="AU148" s="35"/>
      <c r="AW148" s="35"/>
      <c r="AY148" s="35"/>
      <c r="AZ148" s="35"/>
      <c r="BA148" s="35"/>
      <c r="BB148" s="29" t="s">
        <v>2233</v>
      </c>
      <c r="BC148" s="29" t="s">
        <v>1900</v>
      </c>
      <c r="BD148" s="29" t="s">
        <v>1804</v>
      </c>
      <c r="BE148" s="29" t="s">
        <v>1805</v>
      </c>
      <c r="BF148" s="29" t="s">
        <v>1931</v>
      </c>
      <c r="BG148" s="29" t="s">
        <v>2252</v>
      </c>
      <c r="BH148" s="29" t="s">
        <v>2235</v>
      </c>
      <c r="BI148" s="35"/>
      <c r="BJ148" s="35"/>
      <c r="BK148" s="29" t="str" cm="1">
        <f t="array" ref="BK148">_xlfn.UNIQUE(MID(BB148,16,14))</f>
        <v>U012UNA01UH151</v>
      </c>
    </row>
    <row r="149" spans="1:63" x14ac:dyDescent="0.3">
      <c r="A149" s="29" t="s">
        <v>2253</v>
      </c>
      <c r="B149" s="36" t="str">
        <f t="shared" si="10"/>
        <v>G01NHB05HT002-BT01</v>
      </c>
      <c r="C149" s="33" t="s">
        <v>2254</v>
      </c>
      <c r="D149" s="34" t="str">
        <f t="shared" si="11"/>
        <v>ELY1 GRP5 MOD2 TEMP1 ANALOG1</v>
      </c>
      <c r="E149" s="31">
        <f t="shared" si="12"/>
        <v>28</v>
      </c>
      <c r="F149" s="32" t="str">
        <f t="shared" si="13"/>
        <v>ELECTROLYSIS SYSTEM ELECTROLYSIS ARRAY 1 ELECTROLYZER SYSTEM MODULE GROUP 5 ELECTROLYSIS MODULES MODULE 2 TEMPERATURE MODULE OUTLET O2 ANALOG PROCESS SIGNAL</v>
      </c>
      <c r="G149" s="29" t="s">
        <v>1614</v>
      </c>
      <c r="H149" s="29" t="s">
        <v>1615</v>
      </c>
      <c r="I149" s="29" t="str">
        <f t="shared" si="14"/>
        <v>01</v>
      </c>
      <c r="J149" s="29" t="s">
        <v>1616</v>
      </c>
      <c r="K149" s="29" t="s">
        <v>1976</v>
      </c>
      <c r="L149" s="29" t="s">
        <v>1977</v>
      </c>
      <c r="M149" s="29" t="s">
        <v>1919</v>
      </c>
      <c r="N149" s="29" t="s">
        <v>2231</v>
      </c>
      <c r="O149" s="29" t="s">
        <v>2020</v>
      </c>
      <c r="P149" s="29" t="s">
        <v>2021</v>
      </c>
      <c r="Q149" s="29" t="s">
        <v>1872</v>
      </c>
      <c r="R149" s="29" t="s">
        <v>2031</v>
      </c>
      <c r="S149" s="29" t="s">
        <v>1715</v>
      </c>
      <c r="T149" s="29" t="s">
        <v>2023</v>
      </c>
      <c r="U149" s="29" t="s">
        <v>193</v>
      </c>
      <c r="V149" s="29" t="s">
        <v>1083</v>
      </c>
      <c r="W149" s="35" t="s">
        <v>1628</v>
      </c>
      <c r="X149" s="35" t="s">
        <v>2232</v>
      </c>
      <c r="Y149" s="35" t="s">
        <v>2032</v>
      </c>
      <c r="Z149" s="35" t="s">
        <v>1719</v>
      </c>
      <c r="AA149" s="35" t="s">
        <v>1666</v>
      </c>
      <c r="AB149" s="29" t="s">
        <v>1715</v>
      </c>
      <c r="AC149" s="35" t="s">
        <v>1633</v>
      </c>
      <c r="AD149" s="35" t="s">
        <v>1668</v>
      </c>
      <c r="AE149" s="35" t="s">
        <v>1668</v>
      </c>
      <c r="AF149" s="35" t="s">
        <v>1635</v>
      </c>
      <c r="AG149" s="35" t="s">
        <v>1670</v>
      </c>
      <c r="AI149" s="35"/>
      <c r="AJ149" s="35" t="s">
        <v>1671</v>
      </c>
      <c r="AK149" s="35" t="s">
        <v>1672</v>
      </c>
      <c r="AL149" s="29" t="s">
        <v>1720</v>
      </c>
      <c r="AM149" s="35" t="s">
        <v>1721</v>
      </c>
      <c r="AN149" s="35" t="s">
        <v>1967</v>
      </c>
      <c r="AO149" s="35"/>
      <c r="AP149" s="35"/>
      <c r="AQ149" s="35"/>
      <c r="AR149" s="29" t="s">
        <v>1756</v>
      </c>
      <c r="AS149" s="35"/>
      <c r="AT149" s="29" t="s">
        <v>1640</v>
      </c>
      <c r="AU149" s="35"/>
      <c r="AW149" s="35"/>
      <c r="AY149" s="35"/>
      <c r="AZ149" s="35"/>
      <c r="BA149" s="35"/>
      <c r="BB149" s="29" t="s">
        <v>2233</v>
      </c>
      <c r="BC149" s="29" t="s">
        <v>1900</v>
      </c>
      <c r="BD149" s="29" t="s">
        <v>1804</v>
      </c>
      <c r="BE149" s="29" t="s">
        <v>1805</v>
      </c>
      <c r="BF149" s="29" t="s">
        <v>1936</v>
      </c>
      <c r="BG149" s="29" t="s">
        <v>2255</v>
      </c>
      <c r="BH149" s="29" t="s">
        <v>2235</v>
      </c>
      <c r="BI149" s="35"/>
      <c r="BJ149" s="35"/>
      <c r="BK149" s="29" t="str" cm="1">
        <f t="array" ref="BK149">_xlfn.UNIQUE(MID(BB149,16,14))</f>
        <v>U012UNA01UH151</v>
      </c>
    </row>
    <row r="150" spans="1:63" x14ac:dyDescent="0.3">
      <c r="A150" s="29" t="s">
        <v>2253</v>
      </c>
      <c r="B150" s="36" t="str">
        <f t="shared" si="10"/>
        <v>G01NHB05HT002-BT02</v>
      </c>
      <c r="C150" s="33" t="s">
        <v>2256</v>
      </c>
      <c r="D150" s="34" t="str">
        <f t="shared" si="11"/>
        <v>ELY1 GRP5 MOD2 TEMP2 ANALOG1</v>
      </c>
      <c r="E150" s="31">
        <f t="shared" si="12"/>
        <v>28</v>
      </c>
      <c r="F150" s="32" t="str">
        <f t="shared" si="13"/>
        <v>ELECTROLYSIS SYSTEM ELECTROLYSIS ARRAY 1 ELECTROLYZER SYSTEM MODULE GROUP 5 ELECTROLYSIS MODULES MODULE 2 TEMPERATURE MODULE OUTLET H2 ANALOG PROCESS SIGNAL</v>
      </c>
      <c r="G150" s="29" t="s">
        <v>1614</v>
      </c>
      <c r="H150" s="29" t="s">
        <v>1615</v>
      </c>
      <c r="I150" s="29" t="str">
        <f t="shared" si="14"/>
        <v>01</v>
      </c>
      <c r="J150" s="29" t="s">
        <v>1616</v>
      </c>
      <c r="K150" s="29" t="s">
        <v>1976</v>
      </c>
      <c r="L150" s="29" t="s">
        <v>1977</v>
      </c>
      <c r="M150" s="29" t="s">
        <v>1919</v>
      </c>
      <c r="N150" s="29" t="s">
        <v>2231</v>
      </c>
      <c r="O150" s="29" t="s">
        <v>2020</v>
      </c>
      <c r="P150" s="29" t="s">
        <v>2021</v>
      </c>
      <c r="Q150" s="29" t="s">
        <v>1872</v>
      </c>
      <c r="R150" s="29" t="s">
        <v>2031</v>
      </c>
      <c r="S150" s="29" t="s">
        <v>1791</v>
      </c>
      <c r="T150" s="29" t="s">
        <v>2027</v>
      </c>
      <c r="U150" s="29" t="s">
        <v>193</v>
      </c>
      <c r="V150" s="29" t="s">
        <v>1083</v>
      </c>
      <c r="W150" s="35" t="s">
        <v>1628</v>
      </c>
      <c r="X150" s="35" t="s">
        <v>2232</v>
      </c>
      <c r="Y150" s="35" t="s">
        <v>2032</v>
      </c>
      <c r="Z150" s="35" t="s">
        <v>1793</v>
      </c>
      <c r="AA150" s="35" t="s">
        <v>1666</v>
      </c>
      <c r="AB150" s="29" t="s">
        <v>1791</v>
      </c>
      <c r="AC150" s="35" t="s">
        <v>1633</v>
      </c>
      <c r="AD150" s="35" t="s">
        <v>1668</v>
      </c>
      <c r="AE150" s="35" t="s">
        <v>1668</v>
      </c>
      <c r="AF150" s="35" t="s">
        <v>1635</v>
      </c>
      <c r="AG150" s="35" t="s">
        <v>1670</v>
      </c>
      <c r="AI150" s="35"/>
      <c r="AJ150" s="35" t="s">
        <v>1671</v>
      </c>
      <c r="AK150" s="35" t="s">
        <v>1672</v>
      </c>
      <c r="AL150" s="29" t="s">
        <v>1720</v>
      </c>
      <c r="AM150" s="35" t="s">
        <v>1721</v>
      </c>
      <c r="AN150" s="35" t="s">
        <v>1967</v>
      </c>
      <c r="AO150" s="35"/>
      <c r="AP150" s="35"/>
      <c r="AQ150" s="35"/>
      <c r="AR150" s="29" t="s">
        <v>1756</v>
      </c>
      <c r="AS150" s="35"/>
      <c r="AT150" s="29" t="s">
        <v>1640</v>
      </c>
      <c r="AU150" s="35"/>
      <c r="AW150" s="35"/>
      <c r="AY150" s="35"/>
      <c r="AZ150" s="35"/>
      <c r="BA150" s="35"/>
      <c r="BB150" s="29" t="s">
        <v>2233</v>
      </c>
      <c r="BC150" s="29" t="s">
        <v>1900</v>
      </c>
      <c r="BD150" s="29" t="s">
        <v>1804</v>
      </c>
      <c r="BE150" s="29" t="s">
        <v>1805</v>
      </c>
      <c r="BF150" s="29" t="s">
        <v>2035</v>
      </c>
      <c r="BG150" s="29" t="s">
        <v>2257</v>
      </c>
      <c r="BH150" s="29" t="s">
        <v>2235</v>
      </c>
      <c r="BI150" s="35"/>
      <c r="BJ150" s="35"/>
      <c r="BK150" s="29" t="str" cm="1">
        <f t="array" ref="BK150">_xlfn.UNIQUE(MID(BB150,16,14))</f>
        <v>U012UNA01UH151</v>
      </c>
    </row>
    <row r="151" spans="1:63" x14ac:dyDescent="0.3">
      <c r="A151" s="29" t="s">
        <v>2258</v>
      </c>
      <c r="B151" s="36" t="str">
        <f t="shared" si="10"/>
        <v>G01NHB05HT003-BT01</v>
      </c>
      <c r="C151" s="33" t="s">
        <v>2259</v>
      </c>
      <c r="D151" s="34" t="str">
        <f t="shared" si="11"/>
        <v>ELY1 GRP5 MOD3 TEMP1 ANALOG1</v>
      </c>
      <c r="E151" s="31">
        <f t="shared" si="12"/>
        <v>28</v>
      </c>
      <c r="F151" s="32" t="str">
        <f t="shared" si="13"/>
        <v>ELECTROLYSIS SYSTEM ELECTROLYSIS ARRAY 1 ELECTROLYZER SYSTEM MODULE GROUP 5 ELECTROLYSIS MODULES MODULE 3 TEMPERATURE MODULE OUTLET O2 ANALOG PROCESS SIGNAL</v>
      </c>
      <c r="G151" s="29" t="s">
        <v>1614</v>
      </c>
      <c r="H151" s="29" t="s">
        <v>1615</v>
      </c>
      <c r="I151" s="29" t="str">
        <f t="shared" si="14"/>
        <v>01</v>
      </c>
      <c r="J151" s="29" t="s">
        <v>1616</v>
      </c>
      <c r="K151" s="29" t="s">
        <v>1976</v>
      </c>
      <c r="L151" s="29" t="s">
        <v>1977</v>
      </c>
      <c r="M151" s="29" t="s">
        <v>1919</v>
      </c>
      <c r="N151" s="29" t="s">
        <v>2231</v>
      </c>
      <c r="O151" s="29" t="s">
        <v>2020</v>
      </c>
      <c r="P151" s="29" t="s">
        <v>2021</v>
      </c>
      <c r="Q151" s="29" t="s">
        <v>1830</v>
      </c>
      <c r="R151" s="29" t="s">
        <v>2039</v>
      </c>
      <c r="S151" s="29" t="s">
        <v>1715</v>
      </c>
      <c r="T151" s="29" t="s">
        <v>2023</v>
      </c>
      <c r="U151" s="29" t="s">
        <v>193</v>
      </c>
      <c r="V151" s="29" t="s">
        <v>1083</v>
      </c>
      <c r="W151" s="35" t="s">
        <v>1628</v>
      </c>
      <c r="X151" s="35" t="s">
        <v>2232</v>
      </c>
      <c r="Y151" s="35" t="s">
        <v>2040</v>
      </c>
      <c r="Z151" s="35" t="s">
        <v>1719</v>
      </c>
      <c r="AA151" s="35" t="s">
        <v>1666</v>
      </c>
      <c r="AB151" s="29" t="s">
        <v>1715</v>
      </c>
      <c r="AC151" s="35" t="s">
        <v>1633</v>
      </c>
      <c r="AD151" s="35" t="s">
        <v>1668</v>
      </c>
      <c r="AE151" s="35" t="s">
        <v>1668</v>
      </c>
      <c r="AF151" s="35" t="s">
        <v>1635</v>
      </c>
      <c r="AG151" s="35" t="s">
        <v>1670</v>
      </c>
      <c r="AI151" s="35"/>
      <c r="AJ151" s="35" t="s">
        <v>1671</v>
      </c>
      <c r="AK151" s="35" t="s">
        <v>1672</v>
      </c>
      <c r="AL151" s="29" t="s">
        <v>1720</v>
      </c>
      <c r="AM151" s="35" t="s">
        <v>1721</v>
      </c>
      <c r="AN151" s="35" t="s">
        <v>1967</v>
      </c>
      <c r="AO151" s="35"/>
      <c r="AP151" s="35"/>
      <c r="AQ151" s="35"/>
      <c r="AR151" s="29" t="s">
        <v>1756</v>
      </c>
      <c r="AS151" s="35"/>
      <c r="AT151" s="29" t="s">
        <v>1640</v>
      </c>
      <c r="AU151" s="35"/>
      <c r="AW151" s="35"/>
      <c r="AY151" s="35"/>
      <c r="AZ151" s="35"/>
      <c r="BA151" s="35"/>
      <c r="BB151" s="29" t="s">
        <v>2233</v>
      </c>
      <c r="BC151" s="29" t="s">
        <v>1900</v>
      </c>
      <c r="BD151" s="29" t="s">
        <v>1804</v>
      </c>
      <c r="BE151" s="29" t="s">
        <v>1805</v>
      </c>
      <c r="BF151" s="29" t="s">
        <v>1969</v>
      </c>
      <c r="BG151" s="29" t="s">
        <v>2260</v>
      </c>
      <c r="BH151" s="29" t="s">
        <v>2235</v>
      </c>
      <c r="BI151" s="35"/>
      <c r="BJ151" s="35"/>
      <c r="BK151" s="29" t="str" cm="1">
        <f t="array" ref="BK151">_xlfn.UNIQUE(MID(BB151,16,14))</f>
        <v>U012UNA01UH151</v>
      </c>
    </row>
    <row r="152" spans="1:63" x14ac:dyDescent="0.3">
      <c r="A152" s="29" t="s">
        <v>2258</v>
      </c>
      <c r="B152" s="36" t="str">
        <f t="shared" si="10"/>
        <v>G01NHB05HT003-BT02</v>
      </c>
      <c r="C152" s="33" t="s">
        <v>2261</v>
      </c>
      <c r="D152" s="34" t="str">
        <f t="shared" si="11"/>
        <v>ELY1 GRP5 MOD3 TEMP2 ANALOG1</v>
      </c>
      <c r="E152" s="31">
        <f t="shared" si="12"/>
        <v>28</v>
      </c>
      <c r="F152" s="32" t="str">
        <f t="shared" si="13"/>
        <v>ELECTROLYSIS SYSTEM ELECTROLYSIS ARRAY 1 ELECTROLYZER SYSTEM MODULE GROUP 5 ELECTROLYSIS MODULES MODULE 3 TEMPERATURE MODULE OUTLET H2 ANALOG PROCESS SIGNAL</v>
      </c>
      <c r="G152" s="29" t="s">
        <v>1614</v>
      </c>
      <c r="H152" s="29" t="s">
        <v>1615</v>
      </c>
      <c r="I152" s="29" t="str">
        <f t="shared" si="14"/>
        <v>01</v>
      </c>
      <c r="J152" s="29" t="s">
        <v>1616</v>
      </c>
      <c r="K152" s="29" t="s">
        <v>1976</v>
      </c>
      <c r="L152" s="29" t="s">
        <v>1977</v>
      </c>
      <c r="M152" s="29" t="s">
        <v>1919</v>
      </c>
      <c r="N152" s="29" t="s">
        <v>2231</v>
      </c>
      <c r="O152" s="29" t="s">
        <v>2020</v>
      </c>
      <c r="P152" s="29" t="s">
        <v>2021</v>
      </c>
      <c r="Q152" s="29" t="s">
        <v>1830</v>
      </c>
      <c r="R152" s="29" t="s">
        <v>2039</v>
      </c>
      <c r="S152" s="29" t="s">
        <v>1791</v>
      </c>
      <c r="T152" s="29" t="s">
        <v>2027</v>
      </c>
      <c r="U152" s="29" t="s">
        <v>193</v>
      </c>
      <c r="V152" s="29" t="s">
        <v>1083</v>
      </c>
      <c r="W152" s="35" t="s">
        <v>1628</v>
      </c>
      <c r="X152" s="35" t="s">
        <v>2232</v>
      </c>
      <c r="Y152" s="35" t="s">
        <v>2040</v>
      </c>
      <c r="Z152" s="35" t="s">
        <v>1793</v>
      </c>
      <c r="AA152" s="35" t="s">
        <v>1666</v>
      </c>
      <c r="AB152" s="29" t="s">
        <v>1791</v>
      </c>
      <c r="AC152" s="35" t="s">
        <v>1633</v>
      </c>
      <c r="AD152" s="35" t="s">
        <v>1668</v>
      </c>
      <c r="AE152" s="35" t="s">
        <v>1668</v>
      </c>
      <c r="AF152" s="35" t="s">
        <v>1635</v>
      </c>
      <c r="AG152" s="35" t="s">
        <v>1670</v>
      </c>
      <c r="AI152" s="35"/>
      <c r="AJ152" s="35" t="s">
        <v>1671</v>
      </c>
      <c r="AK152" s="35" t="s">
        <v>1672</v>
      </c>
      <c r="AL152" s="29" t="s">
        <v>1720</v>
      </c>
      <c r="AM152" s="35" t="s">
        <v>1721</v>
      </c>
      <c r="AN152" s="35" t="s">
        <v>1967</v>
      </c>
      <c r="AO152" s="35"/>
      <c r="AP152" s="35"/>
      <c r="AQ152" s="35"/>
      <c r="AR152" s="29" t="s">
        <v>1756</v>
      </c>
      <c r="AS152" s="35"/>
      <c r="AT152" s="29" t="s">
        <v>1640</v>
      </c>
      <c r="AU152" s="35"/>
      <c r="AW152" s="35"/>
      <c r="AY152" s="35"/>
      <c r="AZ152" s="35"/>
      <c r="BA152" s="35"/>
      <c r="BB152" s="29" t="s">
        <v>2233</v>
      </c>
      <c r="BC152" s="29" t="s">
        <v>1900</v>
      </c>
      <c r="BD152" s="29" t="s">
        <v>1804</v>
      </c>
      <c r="BE152" s="29" t="s">
        <v>1805</v>
      </c>
      <c r="BF152" s="29" t="s">
        <v>1973</v>
      </c>
      <c r="BG152" s="29" t="s">
        <v>2262</v>
      </c>
      <c r="BH152" s="29" t="s">
        <v>2235</v>
      </c>
      <c r="BI152" s="35"/>
      <c r="BJ152" s="35"/>
      <c r="BK152" s="29" t="str" cm="1">
        <f t="array" ref="BK152">_xlfn.UNIQUE(MID(BB152,16,14))</f>
        <v>U012UNA01UH151</v>
      </c>
    </row>
    <row r="153" spans="1:63" x14ac:dyDescent="0.3">
      <c r="A153" s="29" t="s">
        <v>2263</v>
      </c>
      <c r="B153" s="36" t="str">
        <f t="shared" si="10"/>
        <v>G01NHB05HT004-BT01</v>
      </c>
      <c r="C153" s="33" t="s">
        <v>2264</v>
      </c>
      <c r="D153" s="34" t="str">
        <f t="shared" si="11"/>
        <v>ELY1 GRP5 MOD4 TEMP1 ANALOG1</v>
      </c>
      <c r="E153" s="31">
        <f t="shared" si="12"/>
        <v>28</v>
      </c>
      <c r="F153" s="32" t="str">
        <f t="shared" si="13"/>
        <v>ELECTROLYSIS SYSTEM ELECTROLYSIS ARRAY 1 ELECTROLYZER SYSTEM MODULE GROUP 5 ELECTROLYSIS MODULES MODULE 4 TEMPERATURE MODULE OUTLET O2 ANALOG PROCESS SIGNAL</v>
      </c>
      <c r="G153" s="29" t="s">
        <v>1614</v>
      </c>
      <c r="H153" s="29" t="s">
        <v>1615</v>
      </c>
      <c r="I153" s="29" t="str">
        <f t="shared" si="14"/>
        <v>01</v>
      </c>
      <c r="J153" s="29" t="s">
        <v>1616</v>
      </c>
      <c r="K153" s="29" t="s">
        <v>1976</v>
      </c>
      <c r="L153" s="29" t="s">
        <v>1977</v>
      </c>
      <c r="M153" s="29" t="s">
        <v>1919</v>
      </c>
      <c r="N153" s="29" t="s">
        <v>2231</v>
      </c>
      <c r="O153" s="29" t="s">
        <v>2020</v>
      </c>
      <c r="P153" s="29" t="s">
        <v>2021</v>
      </c>
      <c r="Q153" s="29" t="s">
        <v>1838</v>
      </c>
      <c r="R153" s="29" t="s">
        <v>2046</v>
      </c>
      <c r="S153" s="29" t="s">
        <v>1715</v>
      </c>
      <c r="T153" s="29" t="s">
        <v>2023</v>
      </c>
      <c r="U153" s="29" t="s">
        <v>193</v>
      </c>
      <c r="V153" s="29" t="s">
        <v>1083</v>
      </c>
      <c r="W153" s="35" t="s">
        <v>1628</v>
      </c>
      <c r="X153" s="35" t="s">
        <v>2232</v>
      </c>
      <c r="Y153" s="35" t="s">
        <v>2047</v>
      </c>
      <c r="Z153" s="35" t="s">
        <v>1719</v>
      </c>
      <c r="AA153" s="35" t="s">
        <v>1666</v>
      </c>
      <c r="AB153" s="29" t="s">
        <v>1715</v>
      </c>
      <c r="AC153" s="35" t="s">
        <v>1633</v>
      </c>
      <c r="AD153" s="35" t="s">
        <v>1668</v>
      </c>
      <c r="AE153" s="35" t="s">
        <v>1668</v>
      </c>
      <c r="AF153" s="35" t="s">
        <v>1635</v>
      </c>
      <c r="AG153" s="35" t="s">
        <v>1670</v>
      </c>
      <c r="AI153" s="35"/>
      <c r="AJ153" s="35" t="s">
        <v>1671</v>
      </c>
      <c r="AK153" s="35" t="s">
        <v>1672</v>
      </c>
      <c r="AL153" s="29" t="s">
        <v>1720</v>
      </c>
      <c r="AM153" s="35" t="s">
        <v>1721</v>
      </c>
      <c r="AN153" s="35" t="s">
        <v>1967</v>
      </c>
      <c r="AO153" s="35"/>
      <c r="AP153" s="35"/>
      <c r="AQ153" s="35"/>
      <c r="AR153" s="29" t="s">
        <v>1756</v>
      </c>
      <c r="AS153" s="35"/>
      <c r="AT153" s="29" t="s">
        <v>1640</v>
      </c>
      <c r="AU153" s="35"/>
      <c r="AW153" s="35"/>
      <c r="AY153" s="35"/>
      <c r="AZ153" s="35"/>
      <c r="BA153" s="35"/>
      <c r="BB153" s="29" t="s">
        <v>2233</v>
      </c>
      <c r="BC153" s="29" t="s">
        <v>1900</v>
      </c>
      <c r="BD153" s="29" t="s">
        <v>1804</v>
      </c>
      <c r="BE153" s="29" t="s">
        <v>1805</v>
      </c>
      <c r="BF153" s="29" t="s">
        <v>2048</v>
      </c>
      <c r="BG153" s="29" t="s">
        <v>2265</v>
      </c>
      <c r="BH153" s="29" t="s">
        <v>2235</v>
      </c>
      <c r="BI153" s="35"/>
      <c r="BJ153" s="35"/>
      <c r="BK153" s="29" t="str" cm="1">
        <f t="array" ref="BK153">_xlfn.UNIQUE(MID(BB153,16,14))</f>
        <v>U012UNA01UH151</v>
      </c>
    </row>
    <row r="154" spans="1:63" x14ac:dyDescent="0.3">
      <c r="A154" s="29" t="s">
        <v>2263</v>
      </c>
      <c r="B154" s="36" t="str">
        <f t="shared" si="10"/>
        <v>G01NHB05HT004-BT02</v>
      </c>
      <c r="C154" s="33" t="s">
        <v>2266</v>
      </c>
      <c r="D154" s="34" t="str">
        <f t="shared" si="11"/>
        <v>ELY1 GRP5 MOD4 TEMP2 ANALOG1</v>
      </c>
      <c r="E154" s="31">
        <f t="shared" si="12"/>
        <v>28</v>
      </c>
      <c r="F154" s="32" t="str">
        <f t="shared" si="13"/>
        <v>ELECTROLYSIS SYSTEM ELECTROLYSIS ARRAY 1 ELECTROLYZER SYSTEM MODULE GROUP 5 ELECTROLYSIS MODULES MODULE 4 TEMPERATURE MODULE OUTLET H2 ANALOG PROCESS SIGNAL</v>
      </c>
      <c r="G154" s="29" t="s">
        <v>1614</v>
      </c>
      <c r="H154" s="29" t="s">
        <v>1615</v>
      </c>
      <c r="I154" s="29" t="str">
        <f t="shared" si="14"/>
        <v>01</v>
      </c>
      <c r="J154" s="29" t="s">
        <v>1616</v>
      </c>
      <c r="K154" s="29" t="s">
        <v>1976</v>
      </c>
      <c r="L154" s="29" t="s">
        <v>1977</v>
      </c>
      <c r="M154" s="29" t="s">
        <v>1919</v>
      </c>
      <c r="N154" s="29" t="s">
        <v>2231</v>
      </c>
      <c r="O154" s="29" t="s">
        <v>2020</v>
      </c>
      <c r="P154" s="29" t="s">
        <v>2021</v>
      </c>
      <c r="Q154" s="29" t="s">
        <v>1838</v>
      </c>
      <c r="R154" s="29" t="s">
        <v>2046</v>
      </c>
      <c r="S154" s="29" t="s">
        <v>1791</v>
      </c>
      <c r="T154" s="29" t="s">
        <v>2027</v>
      </c>
      <c r="U154" s="29" t="s">
        <v>193</v>
      </c>
      <c r="V154" s="29" t="s">
        <v>1083</v>
      </c>
      <c r="W154" s="35" t="s">
        <v>1628</v>
      </c>
      <c r="X154" s="35" t="s">
        <v>2232</v>
      </c>
      <c r="Y154" s="35" t="s">
        <v>2047</v>
      </c>
      <c r="Z154" s="35" t="s">
        <v>1793</v>
      </c>
      <c r="AA154" s="35" t="s">
        <v>1666</v>
      </c>
      <c r="AB154" s="29" t="s">
        <v>1791</v>
      </c>
      <c r="AC154" s="35" t="s">
        <v>1633</v>
      </c>
      <c r="AD154" s="35" t="s">
        <v>1668</v>
      </c>
      <c r="AE154" s="35" t="s">
        <v>1668</v>
      </c>
      <c r="AF154" s="35" t="s">
        <v>1635</v>
      </c>
      <c r="AG154" s="35" t="s">
        <v>1670</v>
      </c>
      <c r="AI154" s="35"/>
      <c r="AJ154" s="35" t="s">
        <v>1671</v>
      </c>
      <c r="AK154" s="35" t="s">
        <v>1672</v>
      </c>
      <c r="AL154" s="29" t="s">
        <v>1720</v>
      </c>
      <c r="AM154" s="35" t="s">
        <v>1721</v>
      </c>
      <c r="AN154" s="35" t="s">
        <v>1967</v>
      </c>
      <c r="AO154" s="35"/>
      <c r="AP154" s="35"/>
      <c r="AQ154" s="35"/>
      <c r="AR154" s="29" t="s">
        <v>1756</v>
      </c>
      <c r="AS154" s="35"/>
      <c r="AT154" s="29" t="s">
        <v>1640</v>
      </c>
      <c r="AU154" s="35"/>
      <c r="AW154" s="35"/>
      <c r="AY154" s="35"/>
      <c r="AZ154" s="35"/>
      <c r="BA154" s="35"/>
      <c r="BB154" s="29" t="s">
        <v>2233</v>
      </c>
      <c r="BC154" s="29" t="s">
        <v>1900</v>
      </c>
      <c r="BD154" s="29" t="s">
        <v>1804</v>
      </c>
      <c r="BE154" s="29" t="s">
        <v>1805</v>
      </c>
      <c r="BF154" s="29" t="s">
        <v>2051</v>
      </c>
      <c r="BG154" s="29" t="s">
        <v>2267</v>
      </c>
      <c r="BH154" s="29" t="s">
        <v>2235</v>
      </c>
      <c r="BI154" s="35"/>
      <c r="BJ154" s="35"/>
      <c r="BK154" s="29" t="str" cm="1">
        <f t="array" ref="BK154">_xlfn.UNIQUE(MID(BB154,16,14))</f>
        <v>U012UNA01UH151</v>
      </c>
    </row>
    <row r="155" spans="1:63" x14ac:dyDescent="0.3">
      <c r="A155" s="29" t="s">
        <v>2268</v>
      </c>
      <c r="B155" s="36" t="str">
        <f t="shared" si="10"/>
        <v>G01NHB05KF001-BA01</v>
      </c>
      <c r="C155" s="33" t="s">
        <v>2269</v>
      </c>
      <c r="D155" s="34" t="str">
        <f t="shared" si="11"/>
        <v>ELY1 GRP5 CTRL U1 CELL VOLT1 ANALOG1</v>
      </c>
      <c r="E155" s="31">
        <f t="shared" si="12"/>
        <v>36</v>
      </c>
      <c r="F155" s="32" t="str">
        <f t="shared" si="13"/>
        <v>ELECTROLYSIS SYSTEM ELECTROLYSIS ARRAY 1 ELECTROLYZER SYSTEM MODULE GROUP 5 CONTROL UNITS CELL VOLTAGE MEASUREMENT CELL-VOLTAGE-MEASUREMENT - MODULE 1 CELL -VOLTAGE MODULE 1</v>
      </c>
      <c r="G155" s="29" t="s">
        <v>1614</v>
      </c>
      <c r="H155" s="29" t="s">
        <v>1615</v>
      </c>
      <c r="I155" s="29" t="str">
        <f t="shared" si="14"/>
        <v>01</v>
      </c>
      <c r="J155" s="29" t="s">
        <v>1616</v>
      </c>
      <c r="K155" s="29" t="s">
        <v>1976</v>
      </c>
      <c r="L155" s="29" t="s">
        <v>1977</v>
      </c>
      <c r="M155" s="29" t="s">
        <v>1919</v>
      </c>
      <c r="N155" s="29" t="s">
        <v>2231</v>
      </c>
      <c r="O155" s="29" t="s">
        <v>1771</v>
      </c>
      <c r="P155" s="29" t="s">
        <v>2055</v>
      </c>
      <c r="Q155" s="29" t="s">
        <v>1623</v>
      </c>
      <c r="R155" s="29" t="s">
        <v>2056</v>
      </c>
      <c r="S155" s="29" t="s">
        <v>2057</v>
      </c>
      <c r="T155" s="29" t="s">
        <v>2058</v>
      </c>
      <c r="U155" s="29" t="s">
        <v>193</v>
      </c>
      <c r="V155" s="29" t="s">
        <v>2059</v>
      </c>
      <c r="W155" s="35" t="s">
        <v>1628</v>
      </c>
      <c r="X155" s="35" t="s">
        <v>2232</v>
      </c>
      <c r="Y155" s="35" t="s">
        <v>1775</v>
      </c>
      <c r="Z155" s="35" t="s">
        <v>2060</v>
      </c>
      <c r="AA155" s="35" t="s">
        <v>1666</v>
      </c>
      <c r="AB155" s="29" t="s">
        <v>2061</v>
      </c>
      <c r="AC155" s="35" t="s">
        <v>1633</v>
      </c>
      <c r="AD155" s="35" t="s">
        <v>2062</v>
      </c>
      <c r="AE155" s="35" t="s">
        <v>2062</v>
      </c>
      <c r="AF155" s="35" t="s">
        <v>1669</v>
      </c>
      <c r="AG155" s="35" t="s">
        <v>1728</v>
      </c>
      <c r="AI155" s="35"/>
      <c r="AJ155" s="35" t="s">
        <v>1671</v>
      </c>
      <c r="AK155" s="35" t="s">
        <v>1672</v>
      </c>
      <c r="AL155" s="29" t="s">
        <v>2063</v>
      </c>
      <c r="AM155" s="35" t="s">
        <v>1867</v>
      </c>
      <c r="AN155" s="35" t="s">
        <v>2064</v>
      </c>
      <c r="AO155" s="35"/>
      <c r="AP155" s="35"/>
      <c r="AQ155" s="35"/>
      <c r="AR155" s="29" t="s">
        <v>1756</v>
      </c>
      <c r="AS155" s="35"/>
      <c r="AT155" s="29" t="s">
        <v>1640</v>
      </c>
      <c r="AU155" s="35"/>
      <c r="AV155" s="29" t="s">
        <v>1641</v>
      </c>
      <c r="AW155" s="35"/>
      <c r="AX155" s="29" t="s">
        <v>1674</v>
      </c>
      <c r="AY155" s="35"/>
      <c r="AZ155" s="35"/>
      <c r="BA155" s="35"/>
      <c r="BB155" s="29" t="s">
        <v>2270</v>
      </c>
      <c r="BC155" s="29" t="s">
        <v>2066</v>
      </c>
      <c r="BF155" s="29" t="s">
        <v>1619</v>
      </c>
      <c r="BG155" s="29" t="s">
        <v>2271</v>
      </c>
      <c r="BH155" s="29" t="s">
        <v>2235</v>
      </c>
      <c r="BI155" s="35"/>
      <c r="BJ155" s="35"/>
      <c r="BK155" s="29" t="str" cm="1">
        <f t="array" ref="BK155">_xlfn.UNIQUE(MID(BB155,16,14))</f>
        <v>U012UNA01UH152</v>
      </c>
    </row>
    <row r="156" spans="1:63" x14ac:dyDescent="0.3">
      <c r="A156" s="29" t="s">
        <v>2268</v>
      </c>
      <c r="B156" s="36" t="str">
        <f t="shared" si="10"/>
        <v>G01NHB05KF001-BA02</v>
      </c>
      <c r="C156" s="33" t="s">
        <v>2272</v>
      </c>
      <c r="D156" s="34" t="str">
        <f t="shared" si="11"/>
        <v>ELY1 GRP5 CTRL U1 CELL VOLT2 ANALOG1</v>
      </c>
      <c r="E156" s="31">
        <f t="shared" si="12"/>
        <v>36</v>
      </c>
      <c r="F156" s="32" t="str">
        <f t="shared" si="13"/>
        <v>ELECTROLYSIS SYSTEM ELECTROLYSIS ARRAY 1 ELECTROLYZER SYSTEM MODULE GROUP 5 CONTROL UNITS CELL VOLTAGE MEASUREMENT CELL-VOLTAGE-MEASUREMENT - MODULE 2 CELL -VOLTAGE MODULE 2</v>
      </c>
      <c r="G156" s="29" t="s">
        <v>1614</v>
      </c>
      <c r="H156" s="29" t="s">
        <v>1615</v>
      </c>
      <c r="I156" s="29" t="str">
        <f t="shared" si="14"/>
        <v>01</v>
      </c>
      <c r="J156" s="29" t="s">
        <v>1616</v>
      </c>
      <c r="K156" s="29" t="s">
        <v>1976</v>
      </c>
      <c r="L156" s="29" t="s">
        <v>1977</v>
      </c>
      <c r="M156" s="29" t="s">
        <v>1919</v>
      </c>
      <c r="N156" s="29" t="s">
        <v>2231</v>
      </c>
      <c r="O156" s="29" t="s">
        <v>1771</v>
      </c>
      <c r="P156" s="29" t="s">
        <v>2055</v>
      </c>
      <c r="Q156" s="29" t="s">
        <v>1623</v>
      </c>
      <c r="R156" s="29" t="s">
        <v>2056</v>
      </c>
      <c r="S156" s="29" t="s">
        <v>2069</v>
      </c>
      <c r="T156" s="29" t="s">
        <v>2070</v>
      </c>
      <c r="U156" s="29" t="s">
        <v>193</v>
      </c>
      <c r="V156" s="29" t="s">
        <v>2071</v>
      </c>
      <c r="W156" s="35" t="s">
        <v>1628</v>
      </c>
      <c r="X156" s="35" t="s">
        <v>2232</v>
      </c>
      <c r="Y156" s="35" t="s">
        <v>1775</v>
      </c>
      <c r="Z156" s="35" t="s">
        <v>2072</v>
      </c>
      <c r="AA156" s="35" t="s">
        <v>1666</v>
      </c>
      <c r="AB156" s="29" t="s">
        <v>2073</v>
      </c>
      <c r="AC156" s="35" t="s">
        <v>1633</v>
      </c>
      <c r="AD156" s="35" t="s">
        <v>2062</v>
      </c>
      <c r="AE156" s="35" t="s">
        <v>2062</v>
      </c>
      <c r="AF156" s="35" t="s">
        <v>1669</v>
      </c>
      <c r="AG156" s="35" t="s">
        <v>1728</v>
      </c>
      <c r="AI156" s="35"/>
      <c r="AJ156" s="35" t="s">
        <v>1671</v>
      </c>
      <c r="AK156" s="35" t="s">
        <v>1672</v>
      </c>
      <c r="AL156" s="29" t="s">
        <v>2063</v>
      </c>
      <c r="AM156" s="35" t="s">
        <v>1867</v>
      </c>
      <c r="AN156" s="35" t="s">
        <v>2064</v>
      </c>
      <c r="AO156" s="35"/>
      <c r="AP156" s="35"/>
      <c r="AQ156" s="35"/>
      <c r="AR156" s="29" t="s">
        <v>1756</v>
      </c>
      <c r="AS156" s="35"/>
      <c r="AT156" s="29" t="s">
        <v>1640</v>
      </c>
      <c r="AU156" s="35"/>
      <c r="AV156" s="29" t="s">
        <v>1641</v>
      </c>
      <c r="AW156" s="35"/>
      <c r="AX156" s="29" t="s">
        <v>1674</v>
      </c>
      <c r="AY156" s="35"/>
      <c r="AZ156" s="35"/>
      <c r="BA156" s="35"/>
      <c r="BB156" s="29" t="s">
        <v>2270</v>
      </c>
      <c r="BC156" s="29" t="s">
        <v>2066</v>
      </c>
      <c r="BF156" s="29" t="s">
        <v>1905</v>
      </c>
      <c r="BG156" s="29" t="s">
        <v>2271</v>
      </c>
      <c r="BH156" s="29" t="s">
        <v>2235</v>
      </c>
      <c r="BI156" s="35"/>
      <c r="BJ156" s="35"/>
      <c r="BK156" s="29" t="str" cm="1">
        <f t="array" ref="BK156">_xlfn.UNIQUE(MID(BB156,16,14))</f>
        <v>U012UNA01UH152</v>
      </c>
    </row>
    <row r="157" spans="1:63" x14ac:dyDescent="0.3">
      <c r="A157" s="29" t="s">
        <v>2268</v>
      </c>
      <c r="B157" s="36" t="str">
        <f t="shared" si="10"/>
        <v>G01NHB05KF001-BA03</v>
      </c>
      <c r="C157" s="33" t="s">
        <v>2273</v>
      </c>
      <c r="D157" s="34" t="str">
        <f t="shared" si="11"/>
        <v>ELY1 GRP5 CTRL U1 CELL VOLT3 ANALOG1</v>
      </c>
      <c r="E157" s="31">
        <f t="shared" si="12"/>
        <v>36</v>
      </c>
      <c r="F157" s="32" t="str">
        <f t="shared" si="13"/>
        <v>ELECTROLYSIS SYSTEM ELECTROLYSIS ARRAY 1 ELECTROLYZER SYSTEM MODULE GROUP 5 CONTROL UNITS CELL VOLTAGE MEASUREMENT CELL-VOLTAGE-MEASUREMENT - MODULE 3 CELL -VOLTAGE MODULE 3</v>
      </c>
      <c r="G157" s="29" t="s">
        <v>1614</v>
      </c>
      <c r="H157" s="29" t="s">
        <v>1615</v>
      </c>
      <c r="I157" s="29" t="str">
        <f t="shared" si="14"/>
        <v>01</v>
      </c>
      <c r="J157" s="29" t="s">
        <v>1616</v>
      </c>
      <c r="K157" s="29" t="s">
        <v>1976</v>
      </c>
      <c r="L157" s="29" t="s">
        <v>1977</v>
      </c>
      <c r="M157" s="29" t="s">
        <v>1919</v>
      </c>
      <c r="N157" s="29" t="s">
        <v>2231</v>
      </c>
      <c r="O157" s="29" t="s">
        <v>1771</v>
      </c>
      <c r="P157" s="29" t="s">
        <v>2055</v>
      </c>
      <c r="Q157" s="29" t="s">
        <v>1623</v>
      </c>
      <c r="R157" s="29" t="s">
        <v>2056</v>
      </c>
      <c r="S157" s="29" t="s">
        <v>2075</v>
      </c>
      <c r="T157" s="29" t="s">
        <v>2076</v>
      </c>
      <c r="U157" s="29" t="s">
        <v>193</v>
      </c>
      <c r="V157" s="29" t="s">
        <v>2077</v>
      </c>
      <c r="W157" s="35" t="s">
        <v>1628</v>
      </c>
      <c r="X157" s="35" t="s">
        <v>2232</v>
      </c>
      <c r="Y157" s="35" t="s">
        <v>1775</v>
      </c>
      <c r="Z157" s="35" t="s">
        <v>2078</v>
      </c>
      <c r="AA157" s="35" t="s">
        <v>1666</v>
      </c>
      <c r="AB157" s="29" t="s">
        <v>2079</v>
      </c>
      <c r="AC157" s="35" t="s">
        <v>1633</v>
      </c>
      <c r="AD157" s="35" t="s">
        <v>2062</v>
      </c>
      <c r="AE157" s="35" t="s">
        <v>2062</v>
      </c>
      <c r="AF157" s="35" t="s">
        <v>1669</v>
      </c>
      <c r="AG157" s="35" t="s">
        <v>1728</v>
      </c>
      <c r="AI157" s="35"/>
      <c r="AJ157" s="35" t="s">
        <v>1671</v>
      </c>
      <c r="AK157" s="35" t="s">
        <v>1672</v>
      </c>
      <c r="AL157" s="29" t="s">
        <v>2063</v>
      </c>
      <c r="AM157" s="35" t="s">
        <v>1867</v>
      </c>
      <c r="AN157" s="35" t="s">
        <v>2064</v>
      </c>
      <c r="AO157" s="35"/>
      <c r="AP157" s="35"/>
      <c r="AQ157" s="35"/>
      <c r="AR157" s="29" t="s">
        <v>1756</v>
      </c>
      <c r="AS157" s="35"/>
      <c r="AT157" s="29" t="s">
        <v>1640</v>
      </c>
      <c r="AU157" s="35"/>
      <c r="AV157" s="29" t="s">
        <v>1641</v>
      </c>
      <c r="AW157" s="35"/>
      <c r="AX157" s="29" t="s">
        <v>1674</v>
      </c>
      <c r="AY157" s="35"/>
      <c r="AZ157" s="35"/>
      <c r="BA157" s="35"/>
      <c r="BB157" s="29" t="s">
        <v>2274</v>
      </c>
      <c r="BC157" s="29" t="s">
        <v>2066</v>
      </c>
      <c r="BF157" s="29" t="s">
        <v>1619</v>
      </c>
      <c r="BG157" s="29" t="s">
        <v>2271</v>
      </c>
      <c r="BH157" s="29" t="s">
        <v>2235</v>
      </c>
      <c r="BI157" s="35"/>
      <c r="BJ157" s="35"/>
      <c r="BK157" s="29" t="str" cm="1">
        <f t="array" ref="BK157">_xlfn.UNIQUE(MID(BB157,16,14))</f>
        <v>U012UNA01UH152</v>
      </c>
    </row>
    <row r="158" spans="1:63" x14ac:dyDescent="0.3">
      <c r="A158" s="29" t="s">
        <v>2268</v>
      </c>
      <c r="B158" s="36" t="str">
        <f t="shared" si="10"/>
        <v>G01NHB05KF001-BA04</v>
      </c>
      <c r="C158" s="33" t="s">
        <v>2275</v>
      </c>
      <c r="D158" s="34" t="str">
        <f t="shared" si="11"/>
        <v>ELY1 GRP5 CTRL U1 CELL VOLT4 ANALOG1</v>
      </c>
      <c r="E158" s="31">
        <f t="shared" si="12"/>
        <v>36</v>
      </c>
      <c r="F158" s="32" t="str">
        <f t="shared" si="13"/>
        <v>ELECTROLYSIS SYSTEM ELECTROLYSIS ARRAY 1 ELECTROLYZER SYSTEM MODULE GROUP 5 CONTROL UNITS CELL VOLTAGE MEASUREMENT CELL-VOLTAGE-MEASUREMENT - MODULE 4 CELL -VOLTAGE MODULE 4</v>
      </c>
      <c r="G158" s="29" t="s">
        <v>1614</v>
      </c>
      <c r="H158" s="29" t="s">
        <v>1615</v>
      </c>
      <c r="I158" s="29" t="str">
        <f t="shared" si="14"/>
        <v>01</v>
      </c>
      <c r="J158" s="29" t="s">
        <v>1616</v>
      </c>
      <c r="K158" s="29" t="s">
        <v>1976</v>
      </c>
      <c r="L158" s="29" t="s">
        <v>1977</v>
      </c>
      <c r="M158" s="29" t="s">
        <v>1919</v>
      </c>
      <c r="N158" s="29" t="s">
        <v>2231</v>
      </c>
      <c r="O158" s="29" t="s">
        <v>1771</v>
      </c>
      <c r="P158" s="29" t="s">
        <v>2055</v>
      </c>
      <c r="Q158" s="29" t="s">
        <v>1623</v>
      </c>
      <c r="R158" s="29" t="s">
        <v>2056</v>
      </c>
      <c r="S158" s="29" t="s">
        <v>2082</v>
      </c>
      <c r="T158" s="29" t="s">
        <v>2083</v>
      </c>
      <c r="U158" s="29" t="s">
        <v>193</v>
      </c>
      <c r="V158" s="29" t="s">
        <v>2084</v>
      </c>
      <c r="W158" s="35" t="s">
        <v>1628</v>
      </c>
      <c r="X158" s="35" t="s">
        <v>2232</v>
      </c>
      <c r="Y158" s="35" t="s">
        <v>1775</v>
      </c>
      <c r="Z158" s="35" t="s">
        <v>2085</v>
      </c>
      <c r="AA158" s="35" t="s">
        <v>1666</v>
      </c>
      <c r="AB158" s="29" t="s">
        <v>2086</v>
      </c>
      <c r="AC158" s="35" t="s">
        <v>1633</v>
      </c>
      <c r="AD158" s="35" t="s">
        <v>2062</v>
      </c>
      <c r="AE158" s="35" t="s">
        <v>2062</v>
      </c>
      <c r="AF158" s="35" t="s">
        <v>1669</v>
      </c>
      <c r="AG158" s="35" t="s">
        <v>1728</v>
      </c>
      <c r="AI158" s="35"/>
      <c r="AJ158" s="35" t="s">
        <v>1671</v>
      </c>
      <c r="AK158" s="35" t="s">
        <v>1672</v>
      </c>
      <c r="AL158" s="29" t="s">
        <v>2063</v>
      </c>
      <c r="AM158" s="35" t="s">
        <v>1867</v>
      </c>
      <c r="AN158" s="35" t="s">
        <v>2064</v>
      </c>
      <c r="AO158" s="35"/>
      <c r="AP158" s="35"/>
      <c r="AQ158" s="35"/>
      <c r="AR158" s="29" t="s">
        <v>1756</v>
      </c>
      <c r="AS158" s="35"/>
      <c r="AT158" s="29" t="s">
        <v>1640</v>
      </c>
      <c r="AU158" s="35"/>
      <c r="AV158" s="29" t="s">
        <v>1641</v>
      </c>
      <c r="AW158" s="35"/>
      <c r="AX158" s="29" t="s">
        <v>1674</v>
      </c>
      <c r="AY158" s="35"/>
      <c r="AZ158" s="35"/>
      <c r="BA158" s="35"/>
      <c r="BB158" s="29" t="s">
        <v>2274</v>
      </c>
      <c r="BC158" s="29" t="s">
        <v>2066</v>
      </c>
      <c r="BF158" s="29" t="s">
        <v>1905</v>
      </c>
      <c r="BG158" s="29" t="s">
        <v>2271</v>
      </c>
      <c r="BH158" s="29" t="s">
        <v>2235</v>
      </c>
      <c r="BI158" s="35"/>
      <c r="BJ158" s="35"/>
      <c r="BK158" s="29" t="str" cm="1">
        <f t="array" ref="BK158">_xlfn.UNIQUE(MID(BB158,16,14))</f>
        <v>U012UNA01UH152</v>
      </c>
    </row>
    <row r="159" spans="1:63" x14ac:dyDescent="0.3">
      <c r="A159" s="29" t="s">
        <v>2276</v>
      </c>
      <c r="B159" s="36" t="str">
        <f t="shared" si="10"/>
        <v>G01NHB06EQ001-BQ01</v>
      </c>
      <c r="C159" s="33" t="s">
        <v>2277</v>
      </c>
      <c r="D159" s="34" t="str">
        <f t="shared" si="11"/>
        <v>ELY1 GRP6 COOL QUAL1 ANALOG1</v>
      </c>
      <c r="E159" s="31">
        <f t="shared" si="12"/>
        <v>28</v>
      </c>
      <c r="F159" s="32" t="str">
        <f t="shared" si="13"/>
        <v>ELECTROLYSIS SYSTEM ELECTROLYSIS ARRAY 1 ELECTROLYZER SYSTEM MODULE GROUP 6 HEAT EXCHANGING SYSTEMS HEAT EXCHANGING SYSTEM 1 CONDUCTIVITY WP H2 ANALOG PROCESS SIGNAL</v>
      </c>
      <c r="G159" s="29" t="s">
        <v>1614</v>
      </c>
      <c r="H159" s="29" t="s">
        <v>1615</v>
      </c>
      <c r="I159" s="29" t="str">
        <f t="shared" si="14"/>
        <v>01</v>
      </c>
      <c r="J159" s="29" t="s">
        <v>1616</v>
      </c>
      <c r="K159" s="29" t="s">
        <v>1976</v>
      </c>
      <c r="L159" s="29" t="s">
        <v>1977</v>
      </c>
      <c r="M159" s="29" t="s">
        <v>1922</v>
      </c>
      <c r="N159" s="29" t="s">
        <v>2278</v>
      </c>
      <c r="O159" s="29" t="s">
        <v>1894</v>
      </c>
      <c r="P159" s="29" t="s">
        <v>1979</v>
      </c>
      <c r="Q159" s="29" t="s">
        <v>1623</v>
      </c>
      <c r="R159" s="29" t="s">
        <v>1980</v>
      </c>
      <c r="S159" s="29" t="s">
        <v>1687</v>
      </c>
      <c r="T159" s="29" t="s">
        <v>1981</v>
      </c>
      <c r="U159" s="29" t="s">
        <v>193</v>
      </c>
      <c r="V159" s="29" t="s">
        <v>1083</v>
      </c>
      <c r="W159" s="35" t="s">
        <v>1628</v>
      </c>
      <c r="X159" s="35" t="s">
        <v>2279</v>
      </c>
      <c r="Y159" s="35" t="s">
        <v>1898</v>
      </c>
      <c r="Z159" s="35" t="s">
        <v>1689</v>
      </c>
      <c r="AA159" s="35" t="s">
        <v>1666</v>
      </c>
      <c r="AB159" s="29" t="s">
        <v>1687</v>
      </c>
      <c r="AC159" s="35" t="s">
        <v>1633</v>
      </c>
      <c r="AD159" s="35" t="s">
        <v>1668</v>
      </c>
      <c r="AE159" s="35" t="s">
        <v>1668</v>
      </c>
      <c r="AF159" s="35" t="s">
        <v>1635</v>
      </c>
      <c r="AG159" s="35" t="s">
        <v>1670</v>
      </c>
      <c r="AI159" s="35"/>
      <c r="AJ159" s="35" t="s">
        <v>1671</v>
      </c>
      <c r="AK159" s="35" t="s">
        <v>1672</v>
      </c>
      <c r="AL159" s="29" t="s">
        <v>1671</v>
      </c>
      <c r="AM159" s="35" t="s">
        <v>1702</v>
      </c>
      <c r="AN159" s="35" t="s">
        <v>1703</v>
      </c>
      <c r="AO159" s="35"/>
      <c r="AP159" s="35"/>
      <c r="AQ159" s="35"/>
      <c r="AR159" s="29" t="s">
        <v>1756</v>
      </c>
      <c r="AS159" s="35"/>
      <c r="AT159" s="29" t="s">
        <v>1640</v>
      </c>
      <c r="AU159" s="35"/>
      <c r="AW159" s="35"/>
      <c r="AY159" s="35"/>
      <c r="AZ159" s="35"/>
      <c r="BA159" s="35"/>
      <c r="BB159" s="29" t="s">
        <v>2280</v>
      </c>
      <c r="BC159" s="29" t="s">
        <v>1900</v>
      </c>
      <c r="BD159" s="29" t="s">
        <v>1804</v>
      </c>
      <c r="BE159" s="29" t="s">
        <v>1984</v>
      </c>
      <c r="BF159" s="29" t="s">
        <v>1619</v>
      </c>
      <c r="BG159" s="29" t="s">
        <v>2281</v>
      </c>
      <c r="BH159" s="29" t="s">
        <v>2282</v>
      </c>
      <c r="BI159" s="35"/>
      <c r="BJ159" s="35"/>
      <c r="BK159" s="29" t="str" cm="1">
        <f t="array" ref="BK159">_xlfn.UNIQUE(MID(BB159,16,14))</f>
        <v>U012UNA01UH161</v>
      </c>
    </row>
    <row r="160" spans="1:63" x14ac:dyDescent="0.3">
      <c r="A160" s="29" t="s">
        <v>2276</v>
      </c>
      <c r="B160" s="36" t="str">
        <f t="shared" si="10"/>
        <v>G01NHB06EQ001-BQ01</v>
      </c>
      <c r="C160" s="33" t="s">
        <v>2283</v>
      </c>
      <c r="D160" s="34" t="str">
        <f t="shared" si="11"/>
        <v>ELY1 GRP6 COOL QUAL1 ANALOG2</v>
      </c>
      <c r="E160" s="31">
        <f t="shared" si="12"/>
        <v>28</v>
      </c>
      <c r="F160" s="32" t="str">
        <f t="shared" si="13"/>
        <v>ELECTROLYSIS SYSTEM ELECTROLYSIS ARRAY 1 ELECTROLYZER SYSTEM MODULE GROUP 6 HEAT EXCHANGING SYSTEMS HEAT EXCHANGING SYSTEM 1 CONDUCTIVITY WP H2 ANALOG PROCESS SIGNAL</v>
      </c>
      <c r="G160" s="29" t="s">
        <v>1614</v>
      </c>
      <c r="H160" s="29" t="s">
        <v>1615</v>
      </c>
      <c r="I160" s="29" t="str">
        <f t="shared" si="14"/>
        <v>01</v>
      </c>
      <c r="J160" s="29" t="s">
        <v>1616</v>
      </c>
      <c r="K160" s="29" t="s">
        <v>1976</v>
      </c>
      <c r="L160" s="29" t="s">
        <v>1977</v>
      </c>
      <c r="M160" s="29" t="s">
        <v>1922</v>
      </c>
      <c r="N160" s="29" t="s">
        <v>2278</v>
      </c>
      <c r="O160" s="29" t="s">
        <v>1894</v>
      </c>
      <c r="P160" s="29" t="s">
        <v>1979</v>
      </c>
      <c r="Q160" s="29" t="s">
        <v>1623</v>
      </c>
      <c r="R160" s="29" t="s">
        <v>1980</v>
      </c>
      <c r="S160" s="29" t="s">
        <v>1687</v>
      </c>
      <c r="T160" s="29" t="s">
        <v>1981</v>
      </c>
      <c r="U160" s="29" t="s">
        <v>905</v>
      </c>
      <c r="V160" s="29" t="s">
        <v>1083</v>
      </c>
      <c r="W160" s="35" t="s">
        <v>1628</v>
      </c>
      <c r="X160" s="35" t="s">
        <v>2279</v>
      </c>
      <c r="Y160" s="35" t="s">
        <v>1898</v>
      </c>
      <c r="Z160" s="35" t="s">
        <v>1689</v>
      </c>
      <c r="AA160" s="35" t="s">
        <v>1705</v>
      </c>
      <c r="AB160" s="29" t="s">
        <v>1687</v>
      </c>
      <c r="AC160" s="35" t="s">
        <v>1633</v>
      </c>
      <c r="AD160" s="35" t="s">
        <v>1668</v>
      </c>
      <c r="AE160" s="35" t="s">
        <v>1668</v>
      </c>
      <c r="AF160" s="35" t="s">
        <v>1635</v>
      </c>
      <c r="AG160" s="35" t="s">
        <v>1670</v>
      </c>
      <c r="AI160" s="35"/>
      <c r="AJ160" s="35" t="s">
        <v>1671</v>
      </c>
      <c r="AK160" s="35" t="s">
        <v>1672</v>
      </c>
      <c r="AL160" s="29" t="s">
        <v>1706</v>
      </c>
      <c r="AM160" s="35" t="s">
        <v>1702</v>
      </c>
      <c r="AN160" s="35" t="s">
        <v>1703</v>
      </c>
      <c r="AO160" s="35"/>
      <c r="AP160" s="35"/>
      <c r="AQ160" s="35"/>
      <c r="AS160" s="35"/>
      <c r="AU160" s="35"/>
      <c r="AV160" s="29" t="s">
        <v>1641</v>
      </c>
      <c r="AW160" s="35"/>
      <c r="AX160" s="29" t="s">
        <v>1674</v>
      </c>
      <c r="AY160" s="35"/>
      <c r="AZ160" s="35"/>
      <c r="BA160" s="35"/>
      <c r="BB160" s="29" t="s">
        <v>2280</v>
      </c>
      <c r="BC160" s="29" t="s">
        <v>1900</v>
      </c>
      <c r="BD160" s="29" t="s">
        <v>1918</v>
      </c>
      <c r="BE160" s="29" t="s">
        <v>1988</v>
      </c>
      <c r="BF160" s="29" t="s">
        <v>1905</v>
      </c>
      <c r="BG160" s="29" t="s">
        <v>2281</v>
      </c>
      <c r="BH160" s="29" t="s">
        <v>2282</v>
      </c>
      <c r="BI160" s="35"/>
      <c r="BJ160" s="35"/>
      <c r="BK160" s="29" t="str" cm="1">
        <f t="array" ref="BK160">_xlfn.UNIQUE(MID(BB160,16,14))</f>
        <v>U012UNA01UH161</v>
      </c>
    </row>
    <row r="161" spans="1:63" x14ac:dyDescent="0.3">
      <c r="A161" s="29" t="s">
        <v>2276</v>
      </c>
      <c r="B161" s="36" t="str">
        <f t="shared" si="10"/>
        <v>G01NHB06EQ001-BQ02</v>
      </c>
      <c r="C161" s="33" t="s">
        <v>2284</v>
      </c>
      <c r="D161" s="34" t="str">
        <f t="shared" si="11"/>
        <v>ELY1 GRP6 COOL QUAL2 ANALOG1</v>
      </c>
      <c r="E161" s="31">
        <f t="shared" si="12"/>
        <v>28</v>
      </c>
      <c r="F161" s="32" t="str">
        <f t="shared" si="13"/>
        <v>ELECTROLYSIS SYSTEM ELECTROLYSIS ARRAY 1 ELECTROLYZER SYSTEM MODULE GROUP 6 HEAT EXCHANGING SYSTEMS HEAT EXCHANGING SYSTEM 1 CONDUCTIVITY WP O2 ANALOG PROCESS SIGNAL</v>
      </c>
      <c r="G161" s="29" t="s">
        <v>1614</v>
      </c>
      <c r="H161" s="29" t="s">
        <v>1615</v>
      </c>
      <c r="I161" s="29" t="str">
        <f t="shared" si="14"/>
        <v>01</v>
      </c>
      <c r="J161" s="29" t="s">
        <v>1616</v>
      </c>
      <c r="K161" s="29" t="s">
        <v>1976</v>
      </c>
      <c r="L161" s="29" t="s">
        <v>1977</v>
      </c>
      <c r="M161" s="29" t="s">
        <v>1922</v>
      </c>
      <c r="N161" s="29" t="s">
        <v>2278</v>
      </c>
      <c r="O161" s="29" t="s">
        <v>1894</v>
      </c>
      <c r="P161" s="29" t="s">
        <v>1979</v>
      </c>
      <c r="Q161" s="29" t="s">
        <v>1623</v>
      </c>
      <c r="R161" s="29" t="s">
        <v>1980</v>
      </c>
      <c r="S161" s="29" t="s">
        <v>1990</v>
      </c>
      <c r="T161" s="29" t="s">
        <v>1991</v>
      </c>
      <c r="U161" s="29" t="s">
        <v>193</v>
      </c>
      <c r="V161" s="29" t="s">
        <v>1083</v>
      </c>
      <c r="W161" s="35" t="s">
        <v>1628</v>
      </c>
      <c r="X161" s="35" t="s">
        <v>2279</v>
      </c>
      <c r="Y161" s="35" t="s">
        <v>1898</v>
      </c>
      <c r="Z161" s="35" t="s">
        <v>1992</v>
      </c>
      <c r="AA161" s="35" t="s">
        <v>1666</v>
      </c>
      <c r="AB161" s="29" t="s">
        <v>1990</v>
      </c>
      <c r="AC161" s="35" t="s">
        <v>1633</v>
      </c>
      <c r="AD161" s="35" t="s">
        <v>1668</v>
      </c>
      <c r="AE161" s="35" t="s">
        <v>1668</v>
      </c>
      <c r="AF161" s="35" t="s">
        <v>1635</v>
      </c>
      <c r="AG161" s="35" t="s">
        <v>1670</v>
      </c>
      <c r="AI161" s="35"/>
      <c r="AJ161" s="35" t="s">
        <v>1671</v>
      </c>
      <c r="AK161" s="35" t="s">
        <v>1672</v>
      </c>
      <c r="AL161" s="29" t="s">
        <v>1671</v>
      </c>
      <c r="AM161" s="35" t="s">
        <v>1702</v>
      </c>
      <c r="AN161" s="35" t="s">
        <v>1703</v>
      </c>
      <c r="AO161" s="35"/>
      <c r="AP161" s="35"/>
      <c r="AQ161" s="35"/>
      <c r="AR161" s="29" t="s">
        <v>1756</v>
      </c>
      <c r="AS161" s="35"/>
      <c r="AT161" s="29" t="s">
        <v>1640</v>
      </c>
      <c r="AU161" s="35"/>
      <c r="AW161" s="35"/>
      <c r="AY161" s="35"/>
      <c r="AZ161" s="35"/>
      <c r="BA161" s="35"/>
      <c r="BB161" s="29" t="s">
        <v>2280</v>
      </c>
      <c r="BC161" s="29" t="s">
        <v>1900</v>
      </c>
      <c r="BD161" s="29" t="s">
        <v>1804</v>
      </c>
      <c r="BE161" s="29" t="s">
        <v>1984</v>
      </c>
      <c r="BF161" s="29" t="s">
        <v>1909</v>
      </c>
      <c r="BG161" s="29" t="s">
        <v>2285</v>
      </c>
      <c r="BH161" s="29" t="s">
        <v>2282</v>
      </c>
      <c r="BI161" s="35"/>
      <c r="BJ161" s="35"/>
      <c r="BK161" s="29" t="str" cm="1">
        <f t="array" ref="BK161">_xlfn.UNIQUE(MID(BB161,16,14))</f>
        <v>U012UNA01UH161</v>
      </c>
    </row>
    <row r="162" spans="1:63" x14ac:dyDescent="0.3">
      <c r="A162" s="29" t="s">
        <v>2276</v>
      </c>
      <c r="B162" s="36" t="str">
        <f t="shared" si="10"/>
        <v>G01NHB06EQ001-BQ02</v>
      </c>
      <c r="C162" s="33" t="s">
        <v>2286</v>
      </c>
      <c r="D162" s="34" t="str">
        <f t="shared" si="11"/>
        <v>ELY1 GRP6 COOL QUAL2 ANALOG2</v>
      </c>
      <c r="E162" s="31">
        <f t="shared" si="12"/>
        <v>28</v>
      </c>
      <c r="F162" s="32" t="str">
        <f t="shared" si="13"/>
        <v>ELECTROLYSIS SYSTEM ELECTROLYSIS ARRAY 1 ELECTROLYZER SYSTEM MODULE GROUP 6 HEAT EXCHANGING SYSTEMS HEAT EXCHANGING SYSTEM 1 CONDUCTIVITY WP O2 ANALOG PROCESS SIGNAL</v>
      </c>
      <c r="G162" s="29" t="s">
        <v>1614</v>
      </c>
      <c r="H162" s="29" t="s">
        <v>1615</v>
      </c>
      <c r="I162" s="29" t="str">
        <f t="shared" si="14"/>
        <v>01</v>
      </c>
      <c r="J162" s="29" t="s">
        <v>1616</v>
      </c>
      <c r="K162" s="29" t="s">
        <v>1976</v>
      </c>
      <c r="L162" s="29" t="s">
        <v>1977</v>
      </c>
      <c r="M162" s="29" t="s">
        <v>1922</v>
      </c>
      <c r="N162" s="29" t="s">
        <v>2278</v>
      </c>
      <c r="O162" s="29" t="s">
        <v>1894</v>
      </c>
      <c r="P162" s="29" t="s">
        <v>1979</v>
      </c>
      <c r="Q162" s="29" t="s">
        <v>1623</v>
      </c>
      <c r="R162" s="29" t="s">
        <v>1980</v>
      </c>
      <c r="S162" s="29" t="s">
        <v>1990</v>
      </c>
      <c r="T162" s="29" t="s">
        <v>1991</v>
      </c>
      <c r="U162" s="29" t="s">
        <v>905</v>
      </c>
      <c r="V162" s="29" t="s">
        <v>1083</v>
      </c>
      <c r="W162" s="35" t="s">
        <v>1628</v>
      </c>
      <c r="X162" s="35" t="s">
        <v>2279</v>
      </c>
      <c r="Y162" s="35" t="s">
        <v>1898</v>
      </c>
      <c r="Z162" s="35" t="s">
        <v>1992</v>
      </c>
      <c r="AA162" s="35" t="s">
        <v>1705</v>
      </c>
      <c r="AB162" s="29" t="s">
        <v>1990</v>
      </c>
      <c r="AC162" s="35" t="s">
        <v>1633</v>
      </c>
      <c r="AD162" s="35" t="s">
        <v>1668</v>
      </c>
      <c r="AE162" s="35" t="s">
        <v>1668</v>
      </c>
      <c r="AF162" s="35" t="s">
        <v>1635</v>
      </c>
      <c r="AG162" s="35" t="s">
        <v>1670</v>
      </c>
      <c r="AI162" s="35"/>
      <c r="AJ162" s="35" t="s">
        <v>1671</v>
      </c>
      <c r="AK162" s="35" t="s">
        <v>1672</v>
      </c>
      <c r="AL162" s="29" t="s">
        <v>1706</v>
      </c>
      <c r="AM162" s="35" t="s">
        <v>1702</v>
      </c>
      <c r="AN162" s="35" t="s">
        <v>1703</v>
      </c>
      <c r="AO162" s="35"/>
      <c r="AP162" s="35"/>
      <c r="AQ162" s="35"/>
      <c r="AS162" s="35"/>
      <c r="AU162" s="35"/>
      <c r="AV162" s="29" t="s">
        <v>1641</v>
      </c>
      <c r="AW162" s="35"/>
      <c r="AX162" s="29" t="s">
        <v>1674</v>
      </c>
      <c r="AY162" s="35"/>
      <c r="AZ162" s="35"/>
      <c r="BA162" s="35"/>
      <c r="BB162" s="29" t="s">
        <v>2280</v>
      </c>
      <c r="BC162" s="29" t="s">
        <v>1900</v>
      </c>
      <c r="BD162" s="29" t="s">
        <v>1918</v>
      </c>
      <c r="BE162" s="29" t="s">
        <v>1988</v>
      </c>
      <c r="BF162" s="29" t="s">
        <v>1915</v>
      </c>
      <c r="BG162" s="29" t="s">
        <v>2285</v>
      </c>
      <c r="BH162" s="29" t="s">
        <v>2282</v>
      </c>
      <c r="BI162" s="35"/>
      <c r="BJ162" s="35"/>
      <c r="BK162" s="29" t="str" cm="1">
        <f t="array" ref="BK162">_xlfn.UNIQUE(MID(BB162,16,14))</f>
        <v>U012UNA01UH161</v>
      </c>
    </row>
    <row r="163" spans="1:63" x14ac:dyDescent="0.3">
      <c r="A163" s="29" t="s">
        <v>2276</v>
      </c>
      <c r="B163" s="36" t="str">
        <f t="shared" si="10"/>
        <v>G01NHB06EQ001-BT01</v>
      </c>
      <c r="C163" s="33" t="s">
        <v>2287</v>
      </c>
      <c r="D163" s="34" t="str">
        <f t="shared" si="11"/>
        <v>ELY1 GRP6 COOL TEMP1 ANALOG1</v>
      </c>
      <c r="E163" s="31">
        <f t="shared" si="12"/>
        <v>28</v>
      </c>
      <c r="F163" s="32" t="str">
        <f t="shared" si="13"/>
        <v>ELECTROLYSIS SYSTEM ELECTROLYSIS ARRAY 1 ELECTROLYZER SYSTEM MODULE GROUP 6 HEAT EXCHANGING SYSTEMS HEAT EXCHANGING SYSTEM 1 TEMPERATURE WCR ANALOG PROCESS SIGNAL</v>
      </c>
      <c r="G163" s="29" t="s">
        <v>1614</v>
      </c>
      <c r="H163" s="29" t="s">
        <v>1615</v>
      </c>
      <c r="I163" s="29" t="str">
        <f t="shared" si="14"/>
        <v>01</v>
      </c>
      <c r="J163" s="29" t="s">
        <v>1616</v>
      </c>
      <c r="K163" s="29" t="s">
        <v>1976</v>
      </c>
      <c r="L163" s="29" t="s">
        <v>1977</v>
      </c>
      <c r="M163" s="29" t="s">
        <v>1922</v>
      </c>
      <c r="N163" s="29" t="s">
        <v>2278</v>
      </c>
      <c r="O163" s="29" t="s">
        <v>1894</v>
      </c>
      <c r="P163" s="29" t="s">
        <v>1979</v>
      </c>
      <c r="Q163" s="29" t="s">
        <v>1623</v>
      </c>
      <c r="R163" s="29" t="s">
        <v>1980</v>
      </c>
      <c r="S163" s="29" t="s">
        <v>1715</v>
      </c>
      <c r="T163" s="29" t="s">
        <v>1996</v>
      </c>
      <c r="U163" s="29" t="s">
        <v>193</v>
      </c>
      <c r="V163" s="29" t="s">
        <v>1083</v>
      </c>
      <c r="W163" s="35" t="s">
        <v>1628</v>
      </c>
      <c r="X163" s="35" t="s">
        <v>2279</v>
      </c>
      <c r="Y163" s="35" t="s">
        <v>1898</v>
      </c>
      <c r="Z163" s="35" t="s">
        <v>1719</v>
      </c>
      <c r="AA163" s="35" t="s">
        <v>1666</v>
      </c>
      <c r="AB163" s="29" t="s">
        <v>1715</v>
      </c>
      <c r="AC163" s="35" t="s">
        <v>1633</v>
      </c>
      <c r="AD163" s="35" t="s">
        <v>1668</v>
      </c>
      <c r="AE163" s="35" t="s">
        <v>1668</v>
      </c>
      <c r="AF163" s="35" t="s">
        <v>1635</v>
      </c>
      <c r="AG163" s="35" t="s">
        <v>1670</v>
      </c>
      <c r="AI163" s="35"/>
      <c r="AJ163" s="35" t="s">
        <v>1671</v>
      </c>
      <c r="AK163" s="35" t="s">
        <v>1672</v>
      </c>
      <c r="AL163" s="29" t="s">
        <v>1706</v>
      </c>
      <c r="AM163" s="35" t="s">
        <v>1721</v>
      </c>
      <c r="AN163" s="35" t="s">
        <v>1967</v>
      </c>
      <c r="AO163" s="35"/>
      <c r="AP163" s="35"/>
      <c r="AQ163" s="35"/>
      <c r="AS163" s="35"/>
      <c r="AU163" s="35"/>
      <c r="AW163" s="35"/>
      <c r="AY163" s="35"/>
      <c r="AZ163" s="35"/>
      <c r="BA163" s="35"/>
      <c r="BB163" s="29" t="s">
        <v>2280</v>
      </c>
      <c r="BC163" s="29" t="s">
        <v>1900</v>
      </c>
      <c r="BD163" s="29" t="s">
        <v>1804</v>
      </c>
      <c r="BE163" s="29" t="s">
        <v>1805</v>
      </c>
      <c r="BF163" s="29" t="s">
        <v>1919</v>
      </c>
      <c r="BG163" s="29" t="s">
        <v>2288</v>
      </c>
      <c r="BH163" s="29" t="s">
        <v>2282</v>
      </c>
      <c r="BI163" s="35"/>
      <c r="BJ163" s="35"/>
      <c r="BK163" s="29" t="str" cm="1">
        <f t="array" ref="BK163">_xlfn.UNIQUE(MID(BB163,16,14))</f>
        <v>U012UNA01UH161</v>
      </c>
    </row>
    <row r="164" spans="1:63" x14ac:dyDescent="0.3">
      <c r="A164" s="29" t="s">
        <v>2276</v>
      </c>
      <c r="B164" s="36" t="str">
        <f t="shared" si="10"/>
        <v>G01NHB06EQ001-BT02</v>
      </c>
      <c r="C164" s="33" t="s">
        <v>2289</v>
      </c>
      <c r="D164" s="34" t="str">
        <f t="shared" si="11"/>
        <v>ELY1 GRP6 COOL TEMP2 ANALOG1</v>
      </c>
      <c r="E164" s="31">
        <f t="shared" si="12"/>
        <v>28</v>
      </c>
      <c r="F164" s="32" t="str">
        <f t="shared" si="13"/>
        <v>ELECTROLYSIS SYSTEM ELECTROLYSIS ARRAY 1 ELECTROLYZER SYSTEM MODULE GROUP 6 HEAT EXCHANGING SYSTEMS HEAT EXCHANGING SYSTEM 1 TEMPERATURE WP H2 ANALOG PROCESS SIGNAL</v>
      </c>
      <c r="G164" s="29" t="s">
        <v>1614</v>
      </c>
      <c r="H164" s="29" t="s">
        <v>1615</v>
      </c>
      <c r="I164" s="29" t="str">
        <f t="shared" si="14"/>
        <v>01</v>
      </c>
      <c r="J164" s="29" t="s">
        <v>1616</v>
      </c>
      <c r="K164" s="29" t="s">
        <v>1976</v>
      </c>
      <c r="L164" s="29" t="s">
        <v>1977</v>
      </c>
      <c r="M164" s="29" t="s">
        <v>1922</v>
      </c>
      <c r="N164" s="29" t="s">
        <v>2278</v>
      </c>
      <c r="O164" s="29" t="s">
        <v>1894</v>
      </c>
      <c r="P164" s="29" t="s">
        <v>1979</v>
      </c>
      <c r="Q164" s="29" t="s">
        <v>1623</v>
      </c>
      <c r="R164" s="29" t="s">
        <v>1980</v>
      </c>
      <c r="S164" s="29" t="s">
        <v>1791</v>
      </c>
      <c r="T164" s="29" t="s">
        <v>1999</v>
      </c>
      <c r="U164" s="29" t="s">
        <v>193</v>
      </c>
      <c r="V164" s="29" t="s">
        <v>1083</v>
      </c>
      <c r="W164" s="35" t="s">
        <v>1628</v>
      </c>
      <c r="X164" s="35" t="s">
        <v>2279</v>
      </c>
      <c r="Y164" s="35" t="s">
        <v>1898</v>
      </c>
      <c r="Z164" s="35" t="s">
        <v>1793</v>
      </c>
      <c r="AA164" s="35" t="s">
        <v>1666</v>
      </c>
      <c r="AB164" s="29" t="s">
        <v>1791</v>
      </c>
      <c r="AC164" s="35" t="s">
        <v>1633</v>
      </c>
      <c r="AD164" s="35" t="s">
        <v>1668</v>
      </c>
      <c r="AE164" s="35" t="s">
        <v>1668</v>
      </c>
      <c r="AF164" s="35" t="s">
        <v>1635</v>
      </c>
      <c r="AG164" s="35" t="s">
        <v>1670</v>
      </c>
      <c r="AI164" s="35"/>
      <c r="AJ164" s="35" t="s">
        <v>1671</v>
      </c>
      <c r="AK164" s="35" t="s">
        <v>1638</v>
      </c>
      <c r="AL164" s="29" t="s">
        <v>1706</v>
      </c>
      <c r="AM164" s="35" t="s">
        <v>1721</v>
      </c>
      <c r="AN164" s="35" t="s">
        <v>1967</v>
      </c>
      <c r="AO164" s="35"/>
      <c r="AP164" s="35"/>
      <c r="AQ164" s="35"/>
      <c r="AS164" s="35"/>
      <c r="AT164" s="29" t="s">
        <v>2000</v>
      </c>
      <c r="AU164" s="35"/>
      <c r="AV164" s="29" t="s">
        <v>2001</v>
      </c>
      <c r="AW164" s="35"/>
      <c r="AY164" s="35"/>
      <c r="AZ164" s="35" t="s">
        <v>1642</v>
      </c>
      <c r="BA164" s="35" t="s">
        <v>2002</v>
      </c>
      <c r="BB164" s="29" t="s">
        <v>2195</v>
      </c>
      <c r="BC164" s="29" t="s">
        <v>2004</v>
      </c>
      <c r="BD164" s="29" t="s">
        <v>2005</v>
      </c>
      <c r="BE164" s="29" t="s">
        <v>2006</v>
      </c>
      <c r="BF164" s="29" t="s">
        <v>1919</v>
      </c>
      <c r="BG164" s="29" t="s">
        <v>2290</v>
      </c>
      <c r="BH164" s="29" t="s">
        <v>2282</v>
      </c>
      <c r="BI164" s="35"/>
      <c r="BJ164" s="35"/>
      <c r="BK164" s="29" t="str" cm="1">
        <f t="array" ref="BK164">_xlfn.UNIQUE(MID(BB164,16,14))</f>
        <v>U012UNA01UH100</v>
      </c>
    </row>
    <row r="165" spans="1:63" x14ac:dyDescent="0.3">
      <c r="A165" s="29" t="s">
        <v>2276</v>
      </c>
      <c r="B165" s="36" t="str">
        <f t="shared" si="10"/>
        <v>G01NHB06EQ001-BT03</v>
      </c>
      <c r="C165" s="33" t="s">
        <v>2291</v>
      </c>
      <c r="D165" s="34" t="str">
        <f t="shared" si="11"/>
        <v>ELY1 GRP6 COOL TEMP3 ANALOG1</v>
      </c>
      <c r="E165" s="31">
        <f t="shared" si="12"/>
        <v>28</v>
      </c>
      <c r="F165" s="32" t="str">
        <f t="shared" si="13"/>
        <v>ELECTROLYSIS SYSTEM ELECTROLYSIS ARRAY 1 ELECTROLYZER SYSTEM MODULE GROUP 6 HEAT EXCHANGING SYSTEMS HEAT EXCHANGING SYSTEM 1 TEMPERATURE WP O2 ANALOG PROCESS SIGNAL</v>
      </c>
      <c r="G165" s="29" t="s">
        <v>1614</v>
      </c>
      <c r="H165" s="29" t="s">
        <v>1615</v>
      </c>
      <c r="I165" s="29" t="str">
        <f t="shared" si="14"/>
        <v>01</v>
      </c>
      <c r="J165" s="29" t="s">
        <v>1616</v>
      </c>
      <c r="K165" s="29" t="s">
        <v>1976</v>
      </c>
      <c r="L165" s="29" t="s">
        <v>1977</v>
      </c>
      <c r="M165" s="29" t="s">
        <v>1922</v>
      </c>
      <c r="N165" s="29" t="s">
        <v>2278</v>
      </c>
      <c r="O165" s="29" t="s">
        <v>1894</v>
      </c>
      <c r="P165" s="29" t="s">
        <v>1979</v>
      </c>
      <c r="Q165" s="29" t="s">
        <v>1623</v>
      </c>
      <c r="R165" s="29" t="s">
        <v>1980</v>
      </c>
      <c r="S165" s="29" t="s">
        <v>1796</v>
      </c>
      <c r="T165" s="29" t="s">
        <v>2009</v>
      </c>
      <c r="U165" s="29" t="s">
        <v>193</v>
      </c>
      <c r="V165" s="29" t="s">
        <v>1083</v>
      </c>
      <c r="W165" s="35" t="s">
        <v>1628</v>
      </c>
      <c r="X165" s="35" t="s">
        <v>2279</v>
      </c>
      <c r="Y165" s="35" t="s">
        <v>1898</v>
      </c>
      <c r="Z165" s="35" t="s">
        <v>1798</v>
      </c>
      <c r="AA165" s="35" t="s">
        <v>1666</v>
      </c>
      <c r="AB165" s="29" t="s">
        <v>1796</v>
      </c>
      <c r="AC165" s="35" t="s">
        <v>1633</v>
      </c>
      <c r="AD165" s="35" t="s">
        <v>1668</v>
      </c>
      <c r="AE165" s="35" t="s">
        <v>1668</v>
      </c>
      <c r="AF165" s="35" t="s">
        <v>1635</v>
      </c>
      <c r="AG165" s="35" t="s">
        <v>1670</v>
      </c>
      <c r="AI165" s="35"/>
      <c r="AJ165" s="35" t="s">
        <v>1671</v>
      </c>
      <c r="AK165" s="35" t="s">
        <v>1638</v>
      </c>
      <c r="AL165" s="29" t="s">
        <v>1706</v>
      </c>
      <c r="AM165" s="35" t="s">
        <v>1721</v>
      </c>
      <c r="AN165" s="35" t="s">
        <v>1967</v>
      </c>
      <c r="AO165" s="35"/>
      <c r="AP165" s="35"/>
      <c r="AQ165" s="35"/>
      <c r="AS165" s="35"/>
      <c r="AT165" s="29" t="s">
        <v>2000</v>
      </c>
      <c r="AU165" s="35"/>
      <c r="AV165" s="29" t="s">
        <v>2001</v>
      </c>
      <c r="AW165" s="35"/>
      <c r="AY165" s="35"/>
      <c r="AZ165" s="35" t="s">
        <v>1642</v>
      </c>
      <c r="BA165" s="35" t="s">
        <v>2002</v>
      </c>
      <c r="BB165" s="29" t="s">
        <v>2195</v>
      </c>
      <c r="BC165" s="29" t="s">
        <v>2004</v>
      </c>
      <c r="BD165" s="29" t="s">
        <v>2010</v>
      </c>
      <c r="BE165" s="29" t="s">
        <v>2011</v>
      </c>
      <c r="BF165" s="29" t="s">
        <v>1922</v>
      </c>
      <c r="BG165" s="29" t="s">
        <v>2292</v>
      </c>
      <c r="BH165" s="29" t="s">
        <v>2282</v>
      </c>
      <c r="BI165" s="35"/>
      <c r="BJ165" s="35"/>
      <c r="BK165" s="29" t="str" cm="1">
        <f t="array" ref="BK165">_xlfn.UNIQUE(MID(BB165,16,14))</f>
        <v>U012UNA01UH100</v>
      </c>
    </row>
    <row r="166" spans="1:63" x14ac:dyDescent="0.3">
      <c r="A166" s="29" t="s">
        <v>2276</v>
      </c>
      <c r="B166" s="36" t="str">
        <f t="shared" si="10"/>
        <v>G01NHB06EQ001-QN01</v>
      </c>
      <c r="C166" s="33" t="s">
        <v>2293</v>
      </c>
      <c r="D166" s="34" t="str">
        <f t="shared" si="11"/>
        <v>ELY1 GRP6 COOL CV1 ANALOG1</v>
      </c>
      <c r="E166" s="31">
        <f t="shared" si="12"/>
        <v>26</v>
      </c>
      <c r="F166" s="32" t="str">
        <f t="shared" si="13"/>
        <v>ELECTROLYSIS SYSTEM ELECTROLYSIS ARRAY 1 ELECTROLYZER SYSTEM MODULE GROUP 6 HEAT EXCHANGING SYSTEMS HEAT EXCHANGING SYSTEM 1 COOLING WATER - CONTROL VALVE ANALOG PROCESS SIGNAL</v>
      </c>
      <c r="G166" s="29" t="s">
        <v>1614</v>
      </c>
      <c r="H166" s="29" t="s">
        <v>1615</v>
      </c>
      <c r="I166" s="29" t="str">
        <f t="shared" si="14"/>
        <v>01</v>
      </c>
      <c r="J166" s="29" t="s">
        <v>1616</v>
      </c>
      <c r="K166" s="29" t="s">
        <v>1976</v>
      </c>
      <c r="L166" s="29" t="s">
        <v>1977</v>
      </c>
      <c r="M166" s="29" t="s">
        <v>1922</v>
      </c>
      <c r="N166" s="29" t="s">
        <v>2278</v>
      </c>
      <c r="O166" s="29" t="s">
        <v>1894</v>
      </c>
      <c r="P166" s="29" t="s">
        <v>1979</v>
      </c>
      <c r="Q166" s="29" t="s">
        <v>1623</v>
      </c>
      <c r="R166" s="29" t="s">
        <v>1980</v>
      </c>
      <c r="S166" s="29" t="s">
        <v>1800</v>
      </c>
      <c r="T166" s="29" t="s">
        <v>2014</v>
      </c>
      <c r="U166" s="29" t="s">
        <v>193</v>
      </c>
      <c r="V166" s="29" t="s">
        <v>1083</v>
      </c>
      <c r="W166" s="35" t="s">
        <v>1628</v>
      </c>
      <c r="X166" s="35" t="s">
        <v>2279</v>
      </c>
      <c r="Y166" s="35" t="s">
        <v>1898</v>
      </c>
      <c r="Z166" s="35" t="s">
        <v>1802</v>
      </c>
      <c r="AA166" s="35" t="s">
        <v>1666</v>
      </c>
      <c r="AB166" s="29" t="s">
        <v>2015</v>
      </c>
      <c r="AC166" s="35" t="s">
        <v>1633</v>
      </c>
      <c r="AD166" s="35" t="s">
        <v>1668</v>
      </c>
      <c r="AE166" s="35" t="s">
        <v>1668</v>
      </c>
      <c r="AF166" s="35" t="s">
        <v>1635</v>
      </c>
      <c r="AG166" s="35" t="s">
        <v>1670</v>
      </c>
      <c r="AI166" s="35"/>
      <c r="AJ166" s="35" t="s">
        <v>1671</v>
      </c>
      <c r="AK166" s="35" t="s">
        <v>1672</v>
      </c>
      <c r="AL166" s="29" t="s">
        <v>1803</v>
      </c>
      <c r="AM166" s="35"/>
      <c r="AN166" s="35"/>
      <c r="AO166" s="35"/>
      <c r="AP166" s="35"/>
      <c r="AQ166" s="35"/>
      <c r="AS166" s="35"/>
      <c r="AU166" s="35"/>
      <c r="AW166" s="35"/>
      <c r="AY166" s="35"/>
      <c r="AZ166" s="35"/>
      <c r="BA166" s="35"/>
      <c r="BB166" s="29" t="s">
        <v>2280</v>
      </c>
      <c r="BC166" s="29" t="s">
        <v>1900</v>
      </c>
      <c r="BD166" s="29" t="s">
        <v>1804</v>
      </c>
      <c r="BE166" s="29" t="s">
        <v>1805</v>
      </c>
      <c r="BF166" s="29" t="s">
        <v>2016</v>
      </c>
      <c r="BG166" s="29" t="s">
        <v>2294</v>
      </c>
      <c r="BH166" s="29" t="s">
        <v>2282</v>
      </c>
      <c r="BI166" s="35"/>
      <c r="BJ166" s="35"/>
      <c r="BK166" s="29" t="str" cm="1">
        <f t="array" ref="BK166">_xlfn.UNIQUE(MID(BB166,16,14))</f>
        <v>U012UNA01UH161</v>
      </c>
    </row>
    <row r="167" spans="1:63" x14ac:dyDescent="0.3">
      <c r="A167" s="29" t="s">
        <v>2295</v>
      </c>
      <c r="B167" s="36" t="str">
        <f t="shared" si="10"/>
        <v>G01NHB06HT001-BT01</v>
      </c>
      <c r="C167" s="33" t="s">
        <v>2296</v>
      </c>
      <c r="D167" s="34" t="str">
        <f t="shared" si="11"/>
        <v>ELY1 GRP6 MOD1 TEMP1 ANALOG1</v>
      </c>
      <c r="E167" s="31">
        <f t="shared" si="12"/>
        <v>28</v>
      </c>
      <c r="F167" s="32" t="str">
        <f t="shared" si="13"/>
        <v>ELECTROLYSIS SYSTEM ELECTROLYSIS ARRAY 1 ELECTROLYZER SYSTEM MODULE GROUP 6 ELECTROLYSIS MODULES MODULE 1 TEMPERATURE MODULE OUTLET O2 ANALOG PROCESS SIGNAL</v>
      </c>
      <c r="G167" s="29" t="s">
        <v>1614</v>
      </c>
      <c r="H167" s="29" t="s">
        <v>1615</v>
      </c>
      <c r="I167" s="29" t="str">
        <f t="shared" si="14"/>
        <v>01</v>
      </c>
      <c r="J167" s="29" t="s">
        <v>1616</v>
      </c>
      <c r="K167" s="29" t="s">
        <v>1976</v>
      </c>
      <c r="L167" s="29" t="s">
        <v>1977</v>
      </c>
      <c r="M167" s="29" t="s">
        <v>1922</v>
      </c>
      <c r="N167" s="29" t="s">
        <v>2278</v>
      </c>
      <c r="O167" s="29" t="s">
        <v>2020</v>
      </c>
      <c r="P167" s="29" t="s">
        <v>2021</v>
      </c>
      <c r="Q167" s="29" t="s">
        <v>1623</v>
      </c>
      <c r="R167" s="29" t="s">
        <v>2022</v>
      </c>
      <c r="S167" s="29" t="s">
        <v>1715</v>
      </c>
      <c r="T167" s="29" t="s">
        <v>2023</v>
      </c>
      <c r="U167" s="29" t="s">
        <v>193</v>
      </c>
      <c r="V167" s="29" t="s">
        <v>1083</v>
      </c>
      <c r="W167" s="35" t="s">
        <v>1628</v>
      </c>
      <c r="X167" s="35" t="s">
        <v>2279</v>
      </c>
      <c r="Y167" s="35" t="s">
        <v>2024</v>
      </c>
      <c r="Z167" s="35" t="s">
        <v>1719</v>
      </c>
      <c r="AA167" s="35" t="s">
        <v>1666</v>
      </c>
      <c r="AB167" s="29" t="s">
        <v>1715</v>
      </c>
      <c r="AC167" s="35" t="s">
        <v>1633</v>
      </c>
      <c r="AD167" s="35" t="s">
        <v>1668</v>
      </c>
      <c r="AE167" s="35" t="s">
        <v>1668</v>
      </c>
      <c r="AF167" s="35" t="s">
        <v>1635</v>
      </c>
      <c r="AG167" s="35" t="s">
        <v>1670</v>
      </c>
      <c r="AI167" s="35"/>
      <c r="AJ167" s="35" t="s">
        <v>1671</v>
      </c>
      <c r="AK167" s="35" t="s">
        <v>1672</v>
      </c>
      <c r="AL167" s="29" t="s">
        <v>1720</v>
      </c>
      <c r="AM167" s="35" t="s">
        <v>1721</v>
      </c>
      <c r="AN167" s="35" t="s">
        <v>1967</v>
      </c>
      <c r="AO167" s="35"/>
      <c r="AP167" s="35"/>
      <c r="AQ167" s="35"/>
      <c r="AR167" s="29" t="s">
        <v>1756</v>
      </c>
      <c r="AS167" s="35"/>
      <c r="AT167" s="29" t="s">
        <v>1640</v>
      </c>
      <c r="AU167" s="35"/>
      <c r="AW167" s="35"/>
      <c r="AY167" s="35"/>
      <c r="AZ167" s="35"/>
      <c r="BA167" s="35"/>
      <c r="BB167" s="29" t="s">
        <v>2280</v>
      </c>
      <c r="BC167" s="29" t="s">
        <v>1900</v>
      </c>
      <c r="BD167" s="29" t="s">
        <v>1804</v>
      </c>
      <c r="BE167" s="29" t="s">
        <v>1805</v>
      </c>
      <c r="BF167" s="29" t="s">
        <v>1922</v>
      </c>
      <c r="BG167" s="29" t="s">
        <v>2297</v>
      </c>
      <c r="BH167" s="29" t="s">
        <v>2282</v>
      </c>
      <c r="BI167" s="35"/>
      <c r="BJ167" s="35"/>
      <c r="BK167" s="29" t="str" cm="1">
        <f t="array" ref="BK167">_xlfn.UNIQUE(MID(BB167,16,14))</f>
        <v>U012UNA01UH161</v>
      </c>
    </row>
    <row r="168" spans="1:63" x14ac:dyDescent="0.3">
      <c r="A168" s="29" t="s">
        <v>2295</v>
      </c>
      <c r="B168" s="36" t="str">
        <f t="shared" si="10"/>
        <v>G01NHB06HT001-BT02</v>
      </c>
      <c r="C168" s="33" t="s">
        <v>2298</v>
      </c>
      <c r="D168" s="34" t="str">
        <f t="shared" si="11"/>
        <v>ELY1 GRP6 MOD1 TEMP2 ANALOG1</v>
      </c>
      <c r="E168" s="31">
        <f t="shared" si="12"/>
        <v>28</v>
      </c>
      <c r="F168" s="32" t="str">
        <f t="shared" si="13"/>
        <v>ELECTROLYSIS SYSTEM ELECTROLYSIS ARRAY 1 ELECTROLYZER SYSTEM MODULE GROUP 6 ELECTROLYSIS MODULES MODULE 1 TEMPERATURE MODULE OUTLET H2 ANALOG PROCESS SIGNAL</v>
      </c>
      <c r="G168" s="29" t="s">
        <v>1614</v>
      </c>
      <c r="H168" s="29" t="s">
        <v>1615</v>
      </c>
      <c r="I168" s="29" t="str">
        <f t="shared" si="14"/>
        <v>01</v>
      </c>
      <c r="J168" s="29" t="s">
        <v>1616</v>
      </c>
      <c r="K168" s="29" t="s">
        <v>1976</v>
      </c>
      <c r="L168" s="29" t="s">
        <v>1977</v>
      </c>
      <c r="M168" s="29" t="s">
        <v>1922</v>
      </c>
      <c r="N168" s="29" t="s">
        <v>2278</v>
      </c>
      <c r="O168" s="29" t="s">
        <v>2020</v>
      </c>
      <c r="P168" s="29" t="s">
        <v>2021</v>
      </c>
      <c r="Q168" s="29" t="s">
        <v>1623</v>
      </c>
      <c r="R168" s="29" t="s">
        <v>2022</v>
      </c>
      <c r="S168" s="29" t="s">
        <v>1791</v>
      </c>
      <c r="T168" s="29" t="s">
        <v>2027</v>
      </c>
      <c r="U168" s="29" t="s">
        <v>193</v>
      </c>
      <c r="V168" s="29" t="s">
        <v>1083</v>
      </c>
      <c r="W168" s="35" t="s">
        <v>1628</v>
      </c>
      <c r="X168" s="35" t="s">
        <v>2279</v>
      </c>
      <c r="Y168" s="35" t="s">
        <v>2024</v>
      </c>
      <c r="Z168" s="35" t="s">
        <v>1793</v>
      </c>
      <c r="AA168" s="35" t="s">
        <v>1666</v>
      </c>
      <c r="AB168" s="29" t="s">
        <v>1791</v>
      </c>
      <c r="AC168" s="35" t="s">
        <v>1633</v>
      </c>
      <c r="AD168" s="35" t="s">
        <v>1668</v>
      </c>
      <c r="AE168" s="35" t="s">
        <v>1668</v>
      </c>
      <c r="AF168" s="35" t="s">
        <v>1635</v>
      </c>
      <c r="AG168" s="35" t="s">
        <v>1670</v>
      </c>
      <c r="AI168" s="35"/>
      <c r="AJ168" s="35" t="s">
        <v>1671</v>
      </c>
      <c r="AK168" s="35" t="s">
        <v>1672</v>
      </c>
      <c r="AL168" s="29" t="s">
        <v>1720</v>
      </c>
      <c r="AM168" s="35" t="s">
        <v>1721</v>
      </c>
      <c r="AN168" s="35" t="s">
        <v>1967</v>
      </c>
      <c r="AO168" s="35"/>
      <c r="AP168" s="35"/>
      <c r="AQ168" s="35"/>
      <c r="AR168" s="29" t="s">
        <v>1756</v>
      </c>
      <c r="AS168" s="35"/>
      <c r="AT168" s="29" t="s">
        <v>1640</v>
      </c>
      <c r="AU168" s="35"/>
      <c r="AW168" s="35"/>
      <c r="AY168" s="35"/>
      <c r="AZ168" s="35"/>
      <c r="BA168" s="35"/>
      <c r="BB168" s="29" t="s">
        <v>2280</v>
      </c>
      <c r="BC168" s="29" t="s">
        <v>1900</v>
      </c>
      <c r="BD168" s="29" t="s">
        <v>1804</v>
      </c>
      <c r="BE168" s="29" t="s">
        <v>1805</v>
      </c>
      <c r="BF168" s="29" t="s">
        <v>1931</v>
      </c>
      <c r="BG168" s="29" t="s">
        <v>2299</v>
      </c>
      <c r="BH168" s="29" t="s">
        <v>2282</v>
      </c>
      <c r="BI168" s="35"/>
      <c r="BJ168" s="35"/>
      <c r="BK168" s="29" t="str" cm="1">
        <f t="array" ref="BK168">_xlfn.UNIQUE(MID(BB168,16,14))</f>
        <v>U012UNA01UH161</v>
      </c>
    </row>
    <row r="169" spans="1:63" x14ac:dyDescent="0.3">
      <c r="A169" s="29" t="s">
        <v>2300</v>
      </c>
      <c r="B169" s="36" t="str">
        <f t="shared" si="10"/>
        <v>G01NHB06HT002-BT01</v>
      </c>
      <c r="C169" s="33" t="s">
        <v>2301</v>
      </c>
      <c r="D169" s="34" t="str">
        <f t="shared" si="11"/>
        <v>ELY1 GRP6 MOD2 TEMP1 ANALOG1</v>
      </c>
      <c r="E169" s="31">
        <f t="shared" si="12"/>
        <v>28</v>
      </c>
      <c r="F169" s="32" t="str">
        <f t="shared" si="13"/>
        <v>ELECTROLYSIS SYSTEM ELECTROLYSIS ARRAY 1 ELECTROLYZER SYSTEM MODULE GROUP 6 ELECTROLYSIS MODULES MODULE 2 TEMPERATURE MODULE OUTLET O2 ANALOG PROCESS SIGNAL</v>
      </c>
      <c r="G169" s="29" t="s">
        <v>1614</v>
      </c>
      <c r="H169" s="29" t="s">
        <v>1615</v>
      </c>
      <c r="I169" s="29" t="str">
        <f t="shared" si="14"/>
        <v>01</v>
      </c>
      <c r="J169" s="29" t="s">
        <v>1616</v>
      </c>
      <c r="K169" s="29" t="s">
        <v>1976</v>
      </c>
      <c r="L169" s="29" t="s">
        <v>1977</v>
      </c>
      <c r="M169" s="29" t="s">
        <v>1922</v>
      </c>
      <c r="N169" s="29" t="s">
        <v>2278</v>
      </c>
      <c r="O169" s="29" t="s">
        <v>2020</v>
      </c>
      <c r="P169" s="29" t="s">
        <v>2021</v>
      </c>
      <c r="Q169" s="29" t="s">
        <v>1872</v>
      </c>
      <c r="R169" s="29" t="s">
        <v>2031</v>
      </c>
      <c r="S169" s="29" t="s">
        <v>1715</v>
      </c>
      <c r="T169" s="29" t="s">
        <v>2023</v>
      </c>
      <c r="U169" s="29" t="s">
        <v>193</v>
      </c>
      <c r="V169" s="29" t="s">
        <v>1083</v>
      </c>
      <c r="W169" s="35" t="s">
        <v>1628</v>
      </c>
      <c r="X169" s="35" t="s">
        <v>2279</v>
      </c>
      <c r="Y169" s="35" t="s">
        <v>2032</v>
      </c>
      <c r="Z169" s="35" t="s">
        <v>1719</v>
      </c>
      <c r="AA169" s="35" t="s">
        <v>1666</v>
      </c>
      <c r="AB169" s="29" t="s">
        <v>1715</v>
      </c>
      <c r="AC169" s="35" t="s">
        <v>1633</v>
      </c>
      <c r="AD169" s="35" t="s">
        <v>1668</v>
      </c>
      <c r="AE169" s="35" t="s">
        <v>1668</v>
      </c>
      <c r="AF169" s="35" t="s">
        <v>1635</v>
      </c>
      <c r="AG169" s="35" t="s">
        <v>1670</v>
      </c>
      <c r="AI169" s="35"/>
      <c r="AJ169" s="35" t="s">
        <v>1671</v>
      </c>
      <c r="AK169" s="35" t="s">
        <v>1672</v>
      </c>
      <c r="AL169" s="29" t="s">
        <v>1720</v>
      </c>
      <c r="AM169" s="35" t="s">
        <v>1721</v>
      </c>
      <c r="AN169" s="35" t="s">
        <v>1967</v>
      </c>
      <c r="AO169" s="35"/>
      <c r="AP169" s="35"/>
      <c r="AQ169" s="35"/>
      <c r="AR169" s="29" t="s">
        <v>1756</v>
      </c>
      <c r="AS169" s="35"/>
      <c r="AT169" s="29" t="s">
        <v>1640</v>
      </c>
      <c r="AU169" s="35"/>
      <c r="AW169" s="35"/>
      <c r="AY169" s="35"/>
      <c r="AZ169" s="35"/>
      <c r="BA169" s="35"/>
      <c r="BB169" s="29" t="s">
        <v>2280</v>
      </c>
      <c r="BC169" s="29" t="s">
        <v>1900</v>
      </c>
      <c r="BD169" s="29" t="s">
        <v>1804</v>
      </c>
      <c r="BE169" s="29" t="s">
        <v>1805</v>
      </c>
      <c r="BF169" s="29" t="s">
        <v>1936</v>
      </c>
      <c r="BG169" s="29" t="s">
        <v>2302</v>
      </c>
      <c r="BH169" s="29" t="s">
        <v>2282</v>
      </c>
      <c r="BI169" s="35"/>
      <c r="BJ169" s="35"/>
      <c r="BK169" s="29" t="str" cm="1">
        <f t="array" ref="BK169">_xlfn.UNIQUE(MID(BB169,16,14))</f>
        <v>U012UNA01UH161</v>
      </c>
    </row>
    <row r="170" spans="1:63" x14ac:dyDescent="0.3">
      <c r="A170" s="29" t="s">
        <v>2300</v>
      </c>
      <c r="B170" s="36" t="str">
        <f t="shared" si="10"/>
        <v>G01NHB06HT002-BT02</v>
      </c>
      <c r="C170" s="33" t="s">
        <v>2303</v>
      </c>
      <c r="D170" s="34" t="str">
        <f t="shared" si="11"/>
        <v>ELY1 GRP6 MOD2 TEMP2 ANALOG1</v>
      </c>
      <c r="E170" s="31">
        <f t="shared" si="12"/>
        <v>28</v>
      </c>
      <c r="F170" s="32" t="str">
        <f t="shared" si="13"/>
        <v>ELECTROLYSIS SYSTEM ELECTROLYSIS ARRAY 1 ELECTROLYZER SYSTEM MODULE GROUP 6 ELECTROLYSIS MODULES MODULE 2 TEMPERATURE MODULE OUTLET H2 ANALOG PROCESS SIGNAL</v>
      </c>
      <c r="G170" s="29" t="s">
        <v>1614</v>
      </c>
      <c r="H170" s="29" t="s">
        <v>1615</v>
      </c>
      <c r="I170" s="29" t="str">
        <f t="shared" si="14"/>
        <v>01</v>
      </c>
      <c r="J170" s="29" t="s">
        <v>1616</v>
      </c>
      <c r="K170" s="29" t="s">
        <v>1976</v>
      </c>
      <c r="L170" s="29" t="s">
        <v>1977</v>
      </c>
      <c r="M170" s="29" t="s">
        <v>1922</v>
      </c>
      <c r="N170" s="29" t="s">
        <v>2278</v>
      </c>
      <c r="O170" s="29" t="s">
        <v>2020</v>
      </c>
      <c r="P170" s="29" t="s">
        <v>2021</v>
      </c>
      <c r="Q170" s="29" t="s">
        <v>1872</v>
      </c>
      <c r="R170" s="29" t="s">
        <v>2031</v>
      </c>
      <c r="S170" s="29" t="s">
        <v>1791</v>
      </c>
      <c r="T170" s="29" t="s">
        <v>2027</v>
      </c>
      <c r="U170" s="29" t="s">
        <v>193</v>
      </c>
      <c r="V170" s="29" t="s">
        <v>1083</v>
      </c>
      <c r="W170" s="35" t="s">
        <v>1628</v>
      </c>
      <c r="X170" s="35" t="s">
        <v>2279</v>
      </c>
      <c r="Y170" s="35" t="s">
        <v>2032</v>
      </c>
      <c r="Z170" s="35" t="s">
        <v>1793</v>
      </c>
      <c r="AA170" s="35" t="s">
        <v>1666</v>
      </c>
      <c r="AB170" s="29" t="s">
        <v>1791</v>
      </c>
      <c r="AC170" s="35" t="s">
        <v>1633</v>
      </c>
      <c r="AD170" s="35" t="s">
        <v>1668</v>
      </c>
      <c r="AE170" s="35" t="s">
        <v>1668</v>
      </c>
      <c r="AF170" s="35" t="s">
        <v>1635</v>
      </c>
      <c r="AG170" s="35" t="s">
        <v>1670</v>
      </c>
      <c r="AI170" s="35"/>
      <c r="AJ170" s="35" t="s">
        <v>1671</v>
      </c>
      <c r="AK170" s="35" t="s">
        <v>1672</v>
      </c>
      <c r="AL170" s="29" t="s">
        <v>1720</v>
      </c>
      <c r="AM170" s="35" t="s">
        <v>1721</v>
      </c>
      <c r="AN170" s="35" t="s">
        <v>1967</v>
      </c>
      <c r="AO170" s="35"/>
      <c r="AP170" s="35"/>
      <c r="AQ170" s="35"/>
      <c r="AR170" s="29" t="s">
        <v>1756</v>
      </c>
      <c r="AS170" s="35"/>
      <c r="AT170" s="29" t="s">
        <v>1640</v>
      </c>
      <c r="AU170" s="35"/>
      <c r="AW170" s="35"/>
      <c r="AY170" s="35"/>
      <c r="AZ170" s="35"/>
      <c r="BA170" s="35"/>
      <c r="BB170" s="29" t="s">
        <v>2280</v>
      </c>
      <c r="BC170" s="29" t="s">
        <v>1900</v>
      </c>
      <c r="BD170" s="29" t="s">
        <v>1804</v>
      </c>
      <c r="BE170" s="29" t="s">
        <v>1805</v>
      </c>
      <c r="BF170" s="29" t="s">
        <v>2035</v>
      </c>
      <c r="BG170" s="29" t="s">
        <v>2304</v>
      </c>
      <c r="BH170" s="29" t="s">
        <v>2282</v>
      </c>
      <c r="BI170" s="35"/>
      <c r="BJ170" s="35"/>
      <c r="BK170" s="29" t="str" cm="1">
        <f t="array" ref="BK170">_xlfn.UNIQUE(MID(BB170,16,14))</f>
        <v>U012UNA01UH161</v>
      </c>
    </row>
    <row r="171" spans="1:63" x14ac:dyDescent="0.3">
      <c r="A171" s="29" t="s">
        <v>2305</v>
      </c>
      <c r="B171" s="36" t="str">
        <f t="shared" si="10"/>
        <v>G01NHB06HT003-BT01</v>
      </c>
      <c r="C171" s="33" t="s">
        <v>2306</v>
      </c>
      <c r="D171" s="34" t="str">
        <f t="shared" si="11"/>
        <v>ELY1 GRP6 MOD3 TEMP1 ANALOG1</v>
      </c>
      <c r="E171" s="31">
        <f t="shared" si="12"/>
        <v>28</v>
      </c>
      <c r="F171" s="32" t="str">
        <f t="shared" si="13"/>
        <v>ELECTROLYSIS SYSTEM ELECTROLYSIS ARRAY 1 ELECTROLYZER SYSTEM MODULE GROUP 6 ELECTROLYSIS MODULES MODULE 3 TEMPERATURE MODULE OUTLET O2 ANALOG PROCESS SIGNAL</v>
      </c>
      <c r="G171" s="29" t="s">
        <v>1614</v>
      </c>
      <c r="H171" s="29" t="s">
        <v>1615</v>
      </c>
      <c r="I171" s="29" t="str">
        <f t="shared" si="14"/>
        <v>01</v>
      </c>
      <c r="J171" s="29" t="s">
        <v>1616</v>
      </c>
      <c r="K171" s="29" t="s">
        <v>1976</v>
      </c>
      <c r="L171" s="29" t="s">
        <v>1977</v>
      </c>
      <c r="M171" s="29" t="s">
        <v>1922</v>
      </c>
      <c r="N171" s="29" t="s">
        <v>2278</v>
      </c>
      <c r="O171" s="29" t="s">
        <v>2020</v>
      </c>
      <c r="P171" s="29" t="s">
        <v>2021</v>
      </c>
      <c r="Q171" s="29" t="s">
        <v>1830</v>
      </c>
      <c r="R171" s="29" t="s">
        <v>2039</v>
      </c>
      <c r="S171" s="29" t="s">
        <v>1715</v>
      </c>
      <c r="T171" s="29" t="s">
        <v>2023</v>
      </c>
      <c r="U171" s="29" t="s">
        <v>193</v>
      </c>
      <c r="V171" s="29" t="s">
        <v>1083</v>
      </c>
      <c r="W171" s="35" t="s">
        <v>1628</v>
      </c>
      <c r="X171" s="35" t="s">
        <v>2279</v>
      </c>
      <c r="Y171" s="35" t="s">
        <v>2040</v>
      </c>
      <c r="Z171" s="35" t="s">
        <v>1719</v>
      </c>
      <c r="AA171" s="35" t="s">
        <v>1666</v>
      </c>
      <c r="AB171" s="29" t="s">
        <v>1715</v>
      </c>
      <c r="AC171" s="35" t="s">
        <v>1633</v>
      </c>
      <c r="AD171" s="35" t="s">
        <v>1668</v>
      </c>
      <c r="AE171" s="35" t="s">
        <v>1668</v>
      </c>
      <c r="AF171" s="35" t="s">
        <v>1635</v>
      </c>
      <c r="AG171" s="35" t="s">
        <v>1670</v>
      </c>
      <c r="AI171" s="35"/>
      <c r="AJ171" s="35" t="s">
        <v>1671</v>
      </c>
      <c r="AK171" s="35" t="s">
        <v>1672</v>
      </c>
      <c r="AL171" s="29" t="s">
        <v>1720</v>
      </c>
      <c r="AM171" s="35" t="s">
        <v>1721</v>
      </c>
      <c r="AN171" s="35" t="s">
        <v>1967</v>
      </c>
      <c r="AO171" s="35"/>
      <c r="AP171" s="35"/>
      <c r="AQ171" s="35"/>
      <c r="AR171" s="29" t="s">
        <v>1756</v>
      </c>
      <c r="AS171" s="35"/>
      <c r="AT171" s="29" t="s">
        <v>1640</v>
      </c>
      <c r="AU171" s="35"/>
      <c r="AW171" s="35"/>
      <c r="AY171" s="35"/>
      <c r="AZ171" s="35"/>
      <c r="BA171" s="35"/>
      <c r="BB171" s="29" t="s">
        <v>2280</v>
      </c>
      <c r="BC171" s="29" t="s">
        <v>1900</v>
      </c>
      <c r="BD171" s="29" t="s">
        <v>1804</v>
      </c>
      <c r="BE171" s="29" t="s">
        <v>1805</v>
      </c>
      <c r="BF171" s="29" t="s">
        <v>1969</v>
      </c>
      <c r="BG171" s="29" t="s">
        <v>2307</v>
      </c>
      <c r="BH171" s="29" t="s">
        <v>2282</v>
      </c>
      <c r="BI171" s="35"/>
      <c r="BJ171" s="35"/>
      <c r="BK171" s="29" t="str" cm="1">
        <f t="array" ref="BK171">_xlfn.UNIQUE(MID(BB171,16,14))</f>
        <v>U012UNA01UH161</v>
      </c>
    </row>
    <row r="172" spans="1:63" x14ac:dyDescent="0.3">
      <c r="A172" s="29" t="s">
        <v>2305</v>
      </c>
      <c r="B172" s="36" t="str">
        <f t="shared" si="10"/>
        <v>G01NHB06HT003-BT02</v>
      </c>
      <c r="C172" s="33" t="s">
        <v>2308</v>
      </c>
      <c r="D172" s="34" t="str">
        <f t="shared" si="11"/>
        <v>ELY1 GRP6 MOD3 TEMP2 ANALOG1</v>
      </c>
      <c r="E172" s="31">
        <f t="shared" si="12"/>
        <v>28</v>
      </c>
      <c r="F172" s="32" t="str">
        <f t="shared" si="13"/>
        <v>ELECTROLYSIS SYSTEM ELECTROLYSIS ARRAY 1 ELECTROLYZER SYSTEM MODULE GROUP 6 ELECTROLYSIS MODULES MODULE 3 TEMPERATURE MODULE OUTLET H2 ANALOG PROCESS SIGNAL</v>
      </c>
      <c r="G172" s="29" t="s">
        <v>1614</v>
      </c>
      <c r="H172" s="29" t="s">
        <v>1615</v>
      </c>
      <c r="I172" s="29" t="str">
        <f t="shared" si="14"/>
        <v>01</v>
      </c>
      <c r="J172" s="29" t="s">
        <v>1616</v>
      </c>
      <c r="K172" s="29" t="s">
        <v>1976</v>
      </c>
      <c r="L172" s="29" t="s">
        <v>1977</v>
      </c>
      <c r="M172" s="29" t="s">
        <v>1922</v>
      </c>
      <c r="N172" s="29" t="s">
        <v>2278</v>
      </c>
      <c r="O172" s="29" t="s">
        <v>2020</v>
      </c>
      <c r="P172" s="29" t="s">
        <v>2021</v>
      </c>
      <c r="Q172" s="29" t="s">
        <v>1830</v>
      </c>
      <c r="R172" s="29" t="s">
        <v>2039</v>
      </c>
      <c r="S172" s="29" t="s">
        <v>1791</v>
      </c>
      <c r="T172" s="29" t="s">
        <v>2027</v>
      </c>
      <c r="U172" s="29" t="s">
        <v>193</v>
      </c>
      <c r="V172" s="29" t="s">
        <v>1083</v>
      </c>
      <c r="W172" s="35" t="s">
        <v>1628</v>
      </c>
      <c r="X172" s="35" t="s">
        <v>2279</v>
      </c>
      <c r="Y172" s="35" t="s">
        <v>2040</v>
      </c>
      <c r="Z172" s="35" t="s">
        <v>1793</v>
      </c>
      <c r="AA172" s="35" t="s">
        <v>1666</v>
      </c>
      <c r="AB172" s="29" t="s">
        <v>1791</v>
      </c>
      <c r="AC172" s="35" t="s">
        <v>1633</v>
      </c>
      <c r="AD172" s="35" t="s">
        <v>1668</v>
      </c>
      <c r="AE172" s="35" t="s">
        <v>1668</v>
      </c>
      <c r="AF172" s="35" t="s">
        <v>1635</v>
      </c>
      <c r="AG172" s="35" t="s">
        <v>1670</v>
      </c>
      <c r="AI172" s="35"/>
      <c r="AJ172" s="35" t="s">
        <v>1671</v>
      </c>
      <c r="AK172" s="35" t="s">
        <v>1672</v>
      </c>
      <c r="AL172" s="29" t="s">
        <v>1720</v>
      </c>
      <c r="AM172" s="35" t="s">
        <v>1721</v>
      </c>
      <c r="AN172" s="35" t="s">
        <v>1967</v>
      </c>
      <c r="AO172" s="35"/>
      <c r="AP172" s="35"/>
      <c r="AQ172" s="35"/>
      <c r="AR172" s="29" t="s">
        <v>1756</v>
      </c>
      <c r="AS172" s="35"/>
      <c r="AT172" s="29" t="s">
        <v>1640</v>
      </c>
      <c r="AU172" s="35"/>
      <c r="AW172" s="35"/>
      <c r="AY172" s="35"/>
      <c r="AZ172" s="35"/>
      <c r="BA172" s="35"/>
      <c r="BB172" s="29" t="s">
        <v>2280</v>
      </c>
      <c r="BC172" s="29" t="s">
        <v>1900</v>
      </c>
      <c r="BD172" s="29" t="s">
        <v>1804</v>
      </c>
      <c r="BE172" s="29" t="s">
        <v>1805</v>
      </c>
      <c r="BF172" s="29" t="s">
        <v>1973</v>
      </c>
      <c r="BG172" s="29" t="s">
        <v>2309</v>
      </c>
      <c r="BH172" s="29" t="s">
        <v>2282</v>
      </c>
      <c r="BI172" s="35"/>
      <c r="BJ172" s="35"/>
      <c r="BK172" s="29" t="str" cm="1">
        <f t="array" ref="BK172">_xlfn.UNIQUE(MID(BB172,16,14))</f>
        <v>U012UNA01UH161</v>
      </c>
    </row>
    <row r="173" spans="1:63" x14ac:dyDescent="0.3">
      <c r="A173" s="29" t="s">
        <v>2310</v>
      </c>
      <c r="B173" s="36" t="str">
        <f t="shared" si="10"/>
        <v>G01NHB06HT004-BT01</v>
      </c>
      <c r="C173" s="33" t="s">
        <v>2311</v>
      </c>
      <c r="D173" s="34" t="str">
        <f t="shared" si="11"/>
        <v>ELY1 GRP6 MOD4 TEMP1 ANALOG1</v>
      </c>
      <c r="E173" s="31">
        <f t="shared" si="12"/>
        <v>28</v>
      </c>
      <c r="F173" s="32" t="str">
        <f t="shared" si="13"/>
        <v>ELECTROLYSIS SYSTEM ELECTROLYSIS ARRAY 1 ELECTROLYZER SYSTEM MODULE GROUP 6 ELECTROLYSIS MODULES MODULE 4 TEMPERATURE MODULE OUTLET O2 ANALOG PROCESS SIGNAL</v>
      </c>
      <c r="G173" s="29" t="s">
        <v>1614</v>
      </c>
      <c r="H173" s="29" t="s">
        <v>1615</v>
      </c>
      <c r="I173" s="29" t="str">
        <f t="shared" si="14"/>
        <v>01</v>
      </c>
      <c r="J173" s="29" t="s">
        <v>1616</v>
      </c>
      <c r="K173" s="29" t="s">
        <v>1976</v>
      </c>
      <c r="L173" s="29" t="s">
        <v>1977</v>
      </c>
      <c r="M173" s="29" t="s">
        <v>1922</v>
      </c>
      <c r="N173" s="29" t="s">
        <v>2278</v>
      </c>
      <c r="O173" s="29" t="s">
        <v>2020</v>
      </c>
      <c r="P173" s="29" t="s">
        <v>2021</v>
      </c>
      <c r="Q173" s="29" t="s">
        <v>1838</v>
      </c>
      <c r="R173" s="29" t="s">
        <v>2046</v>
      </c>
      <c r="S173" s="29" t="s">
        <v>1715</v>
      </c>
      <c r="T173" s="29" t="s">
        <v>2023</v>
      </c>
      <c r="U173" s="29" t="s">
        <v>193</v>
      </c>
      <c r="V173" s="29" t="s">
        <v>1083</v>
      </c>
      <c r="W173" s="35" t="s">
        <v>1628</v>
      </c>
      <c r="X173" s="35" t="s">
        <v>2279</v>
      </c>
      <c r="Y173" s="35" t="s">
        <v>2047</v>
      </c>
      <c r="Z173" s="35" t="s">
        <v>1719</v>
      </c>
      <c r="AA173" s="35" t="s">
        <v>1666</v>
      </c>
      <c r="AB173" s="29" t="s">
        <v>1715</v>
      </c>
      <c r="AC173" s="35" t="s">
        <v>1633</v>
      </c>
      <c r="AD173" s="35" t="s">
        <v>1668</v>
      </c>
      <c r="AE173" s="35" t="s">
        <v>1668</v>
      </c>
      <c r="AF173" s="35" t="s">
        <v>1635</v>
      </c>
      <c r="AG173" s="35" t="s">
        <v>1670</v>
      </c>
      <c r="AI173" s="35"/>
      <c r="AJ173" s="35" t="s">
        <v>1671</v>
      </c>
      <c r="AK173" s="35" t="s">
        <v>1672</v>
      </c>
      <c r="AL173" s="29" t="s">
        <v>1720</v>
      </c>
      <c r="AM173" s="35" t="s">
        <v>1721</v>
      </c>
      <c r="AN173" s="35" t="s">
        <v>1967</v>
      </c>
      <c r="AO173" s="35"/>
      <c r="AP173" s="35"/>
      <c r="AQ173" s="35"/>
      <c r="AR173" s="29" t="s">
        <v>1756</v>
      </c>
      <c r="AS173" s="35"/>
      <c r="AT173" s="29" t="s">
        <v>1640</v>
      </c>
      <c r="AU173" s="35"/>
      <c r="AW173" s="35"/>
      <c r="AY173" s="35"/>
      <c r="AZ173" s="35"/>
      <c r="BA173" s="35"/>
      <c r="BB173" s="29" t="s">
        <v>2280</v>
      </c>
      <c r="BC173" s="29" t="s">
        <v>1900</v>
      </c>
      <c r="BD173" s="29" t="s">
        <v>1804</v>
      </c>
      <c r="BE173" s="29" t="s">
        <v>1805</v>
      </c>
      <c r="BF173" s="29" t="s">
        <v>2048</v>
      </c>
      <c r="BG173" s="29" t="s">
        <v>2312</v>
      </c>
      <c r="BH173" s="29" t="s">
        <v>2282</v>
      </c>
      <c r="BI173" s="35"/>
      <c r="BJ173" s="35"/>
      <c r="BK173" s="29" t="str" cm="1">
        <f t="array" ref="BK173">_xlfn.UNIQUE(MID(BB173,16,14))</f>
        <v>U012UNA01UH161</v>
      </c>
    </row>
    <row r="174" spans="1:63" x14ac:dyDescent="0.3">
      <c r="A174" s="29" t="s">
        <v>2310</v>
      </c>
      <c r="B174" s="36" t="str">
        <f t="shared" si="10"/>
        <v>G01NHB06HT004-BT02</v>
      </c>
      <c r="C174" s="33" t="s">
        <v>2313</v>
      </c>
      <c r="D174" s="34" t="str">
        <f t="shared" si="11"/>
        <v>ELY1 GRP6 MOD4 TEMP2 ANALOG1</v>
      </c>
      <c r="E174" s="31">
        <f t="shared" si="12"/>
        <v>28</v>
      </c>
      <c r="F174" s="32" t="str">
        <f t="shared" si="13"/>
        <v>ELECTROLYSIS SYSTEM ELECTROLYSIS ARRAY 1 ELECTROLYZER SYSTEM MODULE GROUP 6 ELECTROLYSIS MODULES MODULE 4 TEMPERATURE MODULE OUTLET H2 ANALOG PROCESS SIGNAL</v>
      </c>
      <c r="G174" s="29" t="s">
        <v>1614</v>
      </c>
      <c r="H174" s="29" t="s">
        <v>1615</v>
      </c>
      <c r="I174" s="29" t="str">
        <f t="shared" si="14"/>
        <v>01</v>
      </c>
      <c r="J174" s="29" t="s">
        <v>1616</v>
      </c>
      <c r="K174" s="29" t="s">
        <v>1976</v>
      </c>
      <c r="L174" s="29" t="s">
        <v>1977</v>
      </c>
      <c r="M174" s="29" t="s">
        <v>1922</v>
      </c>
      <c r="N174" s="29" t="s">
        <v>2278</v>
      </c>
      <c r="O174" s="29" t="s">
        <v>2020</v>
      </c>
      <c r="P174" s="29" t="s">
        <v>2021</v>
      </c>
      <c r="Q174" s="29" t="s">
        <v>1838</v>
      </c>
      <c r="R174" s="29" t="s">
        <v>2046</v>
      </c>
      <c r="S174" s="29" t="s">
        <v>1791</v>
      </c>
      <c r="T174" s="29" t="s">
        <v>2027</v>
      </c>
      <c r="U174" s="29" t="s">
        <v>193</v>
      </c>
      <c r="V174" s="29" t="s">
        <v>1083</v>
      </c>
      <c r="W174" s="35" t="s">
        <v>1628</v>
      </c>
      <c r="X174" s="35" t="s">
        <v>2279</v>
      </c>
      <c r="Y174" s="35" t="s">
        <v>2047</v>
      </c>
      <c r="Z174" s="35" t="s">
        <v>1793</v>
      </c>
      <c r="AA174" s="35" t="s">
        <v>1666</v>
      </c>
      <c r="AB174" s="29" t="s">
        <v>1791</v>
      </c>
      <c r="AC174" s="35" t="s">
        <v>1633</v>
      </c>
      <c r="AD174" s="35" t="s">
        <v>1668</v>
      </c>
      <c r="AE174" s="35" t="s">
        <v>1668</v>
      </c>
      <c r="AF174" s="35" t="s">
        <v>1635</v>
      </c>
      <c r="AG174" s="35" t="s">
        <v>1670</v>
      </c>
      <c r="AI174" s="35"/>
      <c r="AJ174" s="35" t="s">
        <v>1671</v>
      </c>
      <c r="AK174" s="35" t="s">
        <v>1672</v>
      </c>
      <c r="AL174" s="29" t="s">
        <v>1720</v>
      </c>
      <c r="AM174" s="35" t="s">
        <v>1721</v>
      </c>
      <c r="AN174" s="35" t="s">
        <v>1967</v>
      </c>
      <c r="AO174" s="35"/>
      <c r="AP174" s="35"/>
      <c r="AQ174" s="35"/>
      <c r="AR174" s="29" t="s">
        <v>1756</v>
      </c>
      <c r="AS174" s="35"/>
      <c r="AT174" s="29" t="s">
        <v>1640</v>
      </c>
      <c r="AU174" s="35"/>
      <c r="AW174" s="35"/>
      <c r="AY174" s="35"/>
      <c r="AZ174" s="35"/>
      <c r="BA174" s="35"/>
      <c r="BB174" s="29" t="s">
        <v>2280</v>
      </c>
      <c r="BC174" s="29" t="s">
        <v>1900</v>
      </c>
      <c r="BD174" s="29" t="s">
        <v>1804</v>
      </c>
      <c r="BE174" s="29" t="s">
        <v>1805</v>
      </c>
      <c r="BF174" s="29" t="s">
        <v>2051</v>
      </c>
      <c r="BG174" s="29" t="s">
        <v>2314</v>
      </c>
      <c r="BH174" s="29" t="s">
        <v>2282</v>
      </c>
      <c r="BI174" s="35"/>
      <c r="BJ174" s="35"/>
      <c r="BK174" s="29" t="str" cm="1">
        <f t="array" ref="BK174">_xlfn.UNIQUE(MID(BB174,16,14))</f>
        <v>U012UNA01UH161</v>
      </c>
    </row>
    <row r="175" spans="1:63" x14ac:dyDescent="0.3">
      <c r="A175" s="29" t="s">
        <v>2315</v>
      </c>
      <c r="B175" s="36" t="str">
        <f t="shared" si="10"/>
        <v>G01NHB06KF001-BA01</v>
      </c>
      <c r="C175" s="33" t="s">
        <v>2316</v>
      </c>
      <c r="D175" s="34" t="str">
        <f t="shared" si="11"/>
        <v>ELY1 GRP6 CTRL U1 CELL VOLT1 ANALOG1</v>
      </c>
      <c r="E175" s="31">
        <f t="shared" si="12"/>
        <v>36</v>
      </c>
      <c r="F175" s="32" t="str">
        <f t="shared" si="13"/>
        <v>ELECTROLYSIS SYSTEM ELECTROLYSIS ARRAY 1 ELECTROLYZER SYSTEM MODULE GROUP 6 CONTROL UNITS CELL VOLTAGE MEASUREMENT CELL-VOLTAGE-MEASUREMENT - MODULE 1 CELL -VOLTAGE MODULE 1</v>
      </c>
      <c r="G175" s="29" t="s">
        <v>1614</v>
      </c>
      <c r="H175" s="29" t="s">
        <v>1615</v>
      </c>
      <c r="I175" s="29" t="str">
        <f t="shared" si="14"/>
        <v>01</v>
      </c>
      <c r="J175" s="29" t="s">
        <v>1616</v>
      </c>
      <c r="K175" s="29" t="s">
        <v>1976</v>
      </c>
      <c r="L175" s="29" t="s">
        <v>1977</v>
      </c>
      <c r="M175" s="29" t="s">
        <v>1922</v>
      </c>
      <c r="N175" s="29" t="s">
        <v>2278</v>
      </c>
      <c r="O175" s="29" t="s">
        <v>1771</v>
      </c>
      <c r="P175" s="29" t="s">
        <v>2055</v>
      </c>
      <c r="Q175" s="29" t="s">
        <v>1623</v>
      </c>
      <c r="R175" s="29" t="s">
        <v>2056</v>
      </c>
      <c r="S175" s="29" t="s">
        <v>2057</v>
      </c>
      <c r="T175" s="29" t="s">
        <v>2058</v>
      </c>
      <c r="U175" s="29" t="s">
        <v>193</v>
      </c>
      <c r="V175" s="29" t="s">
        <v>2059</v>
      </c>
      <c r="W175" s="35" t="s">
        <v>1628</v>
      </c>
      <c r="X175" s="35" t="s">
        <v>2279</v>
      </c>
      <c r="Y175" s="35" t="s">
        <v>1775</v>
      </c>
      <c r="Z175" s="35" t="s">
        <v>2060</v>
      </c>
      <c r="AA175" s="35" t="s">
        <v>1666</v>
      </c>
      <c r="AB175" s="29" t="s">
        <v>2061</v>
      </c>
      <c r="AC175" s="35" t="s">
        <v>1633</v>
      </c>
      <c r="AD175" s="35" t="s">
        <v>2062</v>
      </c>
      <c r="AE175" s="35" t="s">
        <v>2062</v>
      </c>
      <c r="AF175" s="35" t="s">
        <v>1669</v>
      </c>
      <c r="AG175" s="35" t="s">
        <v>1728</v>
      </c>
      <c r="AI175" s="35"/>
      <c r="AJ175" s="35" t="s">
        <v>1671</v>
      </c>
      <c r="AK175" s="35" t="s">
        <v>1672</v>
      </c>
      <c r="AL175" s="29" t="s">
        <v>2063</v>
      </c>
      <c r="AM175" s="35" t="s">
        <v>1867</v>
      </c>
      <c r="AN175" s="35" t="s">
        <v>2064</v>
      </c>
      <c r="AO175" s="35"/>
      <c r="AP175" s="35"/>
      <c r="AQ175" s="35"/>
      <c r="AR175" s="29" t="s">
        <v>1756</v>
      </c>
      <c r="AS175" s="35"/>
      <c r="AT175" s="29" t="s">
        <v>1640</v>
      </c>
      <c r="AU175" s="35"/>
      <c r="AV175" s="29" t="s">
        <v>1641</v>
      </c>
      <c r="AW175" s="35"/>
      <c r="AX175" s="29" t="s">
        <v>1674</v>
      </c>
      <c r="AY175" s="35"/>
      <c r="AZ175" s="35"/>
      <c r="BA175" s="35"/>
      <c r="BB175" s="29" t="s">
        <v>2317</v>
      </c>
      <c r="BC175" s="29" t="s">
        <v>2066</v>
      </c>
      <c r="BF175" s="29" t="s">
        <v>1619</v>
      </c>
      <c r="BG175" s="29" t="s">
        <v>2318</v>
      </c>
      <c r="BH175" s="29" t="s">
        <v>2282</v>
      </c>
      <c r="BI175" s="35"/>
      <c r="BJ175" s="35"/>
      <c r="BK175" s="29" t="str" cm="1">
        <f t="array" ref="BK175">_xlfn.UNIQUE(MID(BB175,16,14))</f>
        <v>U012UNA01UH162</v>
      </c>
    </row>
    <row r="176" spans="1:63" x14ac:dyDescent="0.3">
      <c r="A176" s="29" t="s">
        <v>2315</v>
      </c>
      <c r="B176" s="36" t="str">
        <f t="shared" si="10"/>
        <v>G01NHB06KF001-BA02</v>
      </c>
      <c r="C176" s="33" t="s">
        <v>2319</v>
      </c>
      <c r="D176" s="34" t="str">
        <f t="shared" si="11"/>
        <v>ELY1 GRP6 CTRL U1 CELL VOLT2 ANALOG1</v>
      </c>
      <c r="E176" s="31">
        <f t="shared" si="12"/>
        <v>36</v>
      </c>
      <c r="F176" s="32" t="str">
        <f t="shared" si="13"/>
        <v>ELECTROLYSIS SYSTEM ELECTROLYSIS ARRAY 1 ELECTROLYZER SYSTEM MODULE GROUP 6 CONTROL UNITS CELL VOLTAGE MEASUREMENT CELL-VOLTAGE-MEASUREMENT - MODULE 2 CELL -VOLTAGE MODULE 2</v>
      </c>
      <c r="G176" s="29" t="s">
        <v>1614</v>
      </c>
      <c r="H176" s="29" t="s">
        <v>1615</v>
      </c>
      <c r="I176" s="29" t="str">
        <f t="shared" si="14"/>
        <v>01</v>
      </c>
      <c r="J176" s="29" t="s">
        <v>1616</v>
      </c>
      <c r="K176" s="29" t="s">
        <v>1976</v>
      </c>
      <c r="L176" s="29" t="s">
        <v>1977</v>
      </c>
      <c r="M176" s="29" t="s">
        <v>1922</v>
      </c>
      <c r="N176" s="29" t="s">
        <v>2278</v>
      </c>
      <c r="O176" s="29" t="s">
        <v>1771</v>
      </c>
      <c r="P176" s="29" t="s">
        <v>2055</v>
      </c>
      <c r="Q176" s="29" t="s">
        <v>1623</v>
      </c>
      <c r="R176" s="29" t="s">
        <v>2056</v>
      </c>
      <c r="S176" s="29" t="s">
        <v>2069</v>
      </c>
      <c r="T176" s="29" t="s">
        <v>2070</v>
      </c>
      <c r="U176" s="29" t="s">
        <v>193</v>
      </c>
      <c r="V176" s="29" t="s">
        <v>2071</v>
      </c>
      <c r="W176" s="35" t="s">
        <v>1628</v>
      </c>
      <c r="X176" s="35" t="s">
        <v>2279</v>
      </c>
      <c r="Y176" s="35" t="s">
        <v>1775</v>
      </c>
      <c r="Z176" s="35" t="s">
        <v>2072</v>
      </c>
      <c r="AA176" s="35" t="s">
        <v>1666</v>
      </c>
      <c r="AB176" s="29" t="s">
        <v>2073</v>
      </c>
      <c r="AC176" s="35" t="s">
        <v>1633</v>
      </c>
      <c r="AD176" s="35" t="s">
        <v>2062</v>
      </c>
      <c r="AE176" s="35" t="s">
        <v>2062</v>
      </c>
      <c r="AF176" s="35" t="s">
        <v>1669</v>
      </c>
      <c r="AG176" s="35" t="s">
        <v>1728</v>
      </c>
      <c r="AI176" s="35"/>
      <c r="AJ176" s="35" t="s">
        <v>1671</v>
      </c>
      <c r="AK176" s="35" t="s">
        <v>1672</v>
      </c>
      <c r="AL176" s="29" t="s">
        <v>2063</v>
      </c>
      <c r="AM176" s="35" t="s">
        <v>1867</v>
      </c>
      <c r="AN176" s="35" t="s">
        <v>2064</v>
      </c>
      <c r="AO176" s="35"/>
      <c r="AP176" s="35"/>
      <c r="AQ176" s="35"/>
      <c r="AR176" s="29" t="s">
        <v>1756</v>
      </c>
      <c r="AS176" s="35"/>
      <c r="AT176" s="29" t="s">
        <v>1640</v>
      </c>
      <c r="AU176" s="35"/>
      <c r="AV176" s="29" t="s">
        <v>1641</v>
      </c>
      <c r="AW176" s="35"/>
      <c r="AX176" s="29" t="s">
        <v>1674</v>
      </c>
      <c r="AY176" s="35"/>
      <c r="AZ176" s="35"/>
      <c r="BA176" s="35"/>
      <c r="BB176" s="29" t="s">
        <v>2317</v>
      </c>
      <c r="BC176" s="29" t="s">
        <v>2066</v>
      </c>
      <c r="BF176" s="29" t="s">
        <v>1905</v>
      </c>
      <c r="BG176" s="29" t="s">
        <v>2318</v>
      </c>
      <c r="BH176" s="29" t="s">
        <v>2282</v>
      </c>
      <c r="BI176" s="35"/>
      <c r="BJ176" s="35"/>
      <c r="BK176" s="29" t="str" cm="1">
        <f t="array" ref="BK176">_xlfn.UNIQUE(MID(BB176,16,14))</f>
        <v>U012UNA01UH162</v>
      </c>
    </row>
    <row r="177" spans="1:63" x14ac:dyDescent="0.3">
      <c r="A177" s="29" t="s">
        <v>2315</v>
      </c>
      <c r="B177" s="36" t="str">
        <f t="shared" si="10"/>
        <v>G01NHB06KF001-BA03</v>
      </c>
      <c r="C177" s="33" t="s">
        <v>2320</v>
      </c>
      <c r="D177" s="34" t="str">
        <f t="shared" si="11"/>
        <v>ELY1 GRP6 CTRL U1 CELL VOLT3 ANALOG1</v>
      </c>
      <c r="E177" s="31">
        <f t="shared" si="12"/>
        <v>36</v>
      </c>
      <c r="F177" s="32" t="str">
        <f t="shared" si="13"/>
        <v>ELECTROLYSIS SYSTEM ELECTROLYSIS ARRAY 1 ELECTROLYZER SYSTEM MODULE GROUP 6 CONTROL UNITS CELL VOLTAGE MEASUREMENT CELL-VOLTAGE-MEASUREMENT - MODULE 3 CELL -VOLTAGE MODULE 3</v>
      </c>
      <c r="G177" s="29" t="s">
        <v>1614</v>
      </c>
      <c r="H177" s="29" t="s">
        <v>1615</v>
      </c>
      <c r="I177" s="29" t="str">
        <f t="shared" si="14"/>
        <v>01</v>
      </c>
      <c r="J177" s="29" t="s">
        <v>1616</v>
      </c>
      <c r="K177" s="29" t="s">
        <v>1976</v>
      </c>
      <c r="L177" s="29" t="s">
        <v>1977</v>
      </c>
      <c r="M177" s="29" t="s">
        <v>1922</v>
      </c>
      <c r="N177" s="29" t="s">
        <v>2278</v>
      </c>
      <c r="O177" s="29" t="s">
        <v>1771</v>
      </c>
      <c r="P177" s="29" t="s">
        <v>2055</v>
      </c>
      <c r="Q177" s="29" t="s">
        <v>1623</v>
      </c>
      <c r="R177" s="29" t="s">
        <v>2056</v>
      </c>
      <c r="S177" s="29" t="s">
        <v>2075</v>
      </c>
      <c r="T177" s="29" t="s">
        <v>2076</v>
      </c>
      <c r="U177" s="29" t="s">
        <v>193</v>
      </c>
      <c r="V177" s="29" t="s">
        <v>2077</v>
      </c>
      <c r="W177" s="35" t="s">
        <v>1628</v>
      </c>
      <c r="X177" s="35" t="s">
        <v>2279</v>
      </c>
      <c r="Y177" s="35" t="s">
        <v>1775</v>
      </c>
      <c r="Z177" s="35" t="s">
        <v>2078</v>
      </c>
      <c r="AA177" s="35" t="s">
        <v>1666</v>
      </c>
      <c r="AB177" s="29" t="s">
        <v>2079</v>
      </c>
      <c r="AC177" s="35" t="s">
        <v>1633</v>
      </c>
      <c r="AD177" s="35" t="s">
        <v>2062</v>
      </c>
      <c r="AE177" s="35" t="s">
        <v>2062</v>
      </c>
      <c r="AF177" s="35" t="s">
        <v>1669</v>
      </c>
      <c r="AG177" s="35" t="s">
        <v>1728</v>
      </c>
      <c r="AI177" s="35"/>
      <c r="AJ177" s="35" t="s">
        <v>1671</v>
      </c>
      <c r="AK177" s="35" t="s">
        <v>1672</v>
      </c>
      <c r="AL177" s="29" t="s">
        <v>2063</v>
      </c>
      <c r="AM177" s="35" t="s">
        <v>1867</v>
      </c>
      <c r="AN177" s="35" t="s">
        <v>2064</v>
      </c>
      <c r="AO177" s="35"/>
      <c r="AP177" s="35"/>
      <c r="AQ177" s="35"/>
      <c r="AR177" s="29" t="s">
        <v>1756</v>
      </c>
      <c r="AS177" s="35"/>
      <c r="AT177" s="29" t="s">
        <v>1640</v>
      </c>
      <c r="AU177" s="35"/>
      <c r="AV177" s="29" t="s">
        <v>1641</v>
      </c>
      <c r="AW177" s="35"/>
      <c r="AX177" s="29" t="s">
        <v>1674</v>
      </c>
      <c r="AY177" s="35"/>
      <c r="AZ177" s="35"/>
      <c r="BA177" s="35"/>
      <c r="BB177" s="29" t="s">
        <v>2321</v>
      </c>
      <c r="BC177" s="29" t="s">
        <v>2066</v>
      </c>
      <c r="BF177" s="29" t="s">
        <v>1619</v>
      </c>
      <c r="BG177" s="29" t="s">
        <v>2318</v>
      </c>
      <c r="BH177" s="29" t="s">
        <v>2282</v>
      </c>
      <c r="BI177" s="35"/>
      <c r="BJ177" s="35"/>
      <c r="BK177" s="29" t="str" cm="1">
        <f t="array" ref="BK177">_xlfn.UNIQUE(MID(BB177,16,14))</f>
        <v>U012UNA01UH162</v>
      </c>
    </row>
    <row r="178" spans="1:63" x14ac:dyDescent="0.3">
      <c r="A178" s="29" t="s">
        <v>2315</v>
      </c>
      <c r="B178" s="36" t="str">
        <f t="shared" si="10"/>
        <v>G01NHB06KF001-BA04</v>
      </c>
      <c r="C178" s="33" t="s">
        <v>2322</v>
      </c>
      <c r="D178" s="34" t="str">
        <f t="shared" si="11"/>
        <v>ELY1 GRP6 CTRL U1 CELL VOLT4 ANALOG1</v>
      </c>
      <c r="E178" s="31">
        <f t="shared" si="12"/>
        <v>36</v>
      </c>
      <c r="F178" s="32" t="str">
        <f t="shared" si="13"/>
        <v>ELECTROLYSIS SYSTEM ELECTROLYSIS ARRAY 1 ELECTROLYZER SYSTEM MODULE GROUP 6 CONTROL UNITS CELL VOLTAGE MEASUREMENT CELL-VOLTAGE-MEASUREMENT - MODULE 4 CELL -VOLTAGE MODULE 4</v>
      </c>
      <c r="G178" s="29" t="s">
        <v>1614</v>
      </c>
      <c r="H178" s="29" t="s">
        <v>1615</v>
      </c>
      <c r="I178" s="29" t="str">
        <f t="shared" si="14"/>
        <v>01</v>
      </c>
      <c r="J178" s="29" t="s">
        <v>1616</v>
      </c>
      <c r="K178" s="29" t="s">
        <v>1976</v>
      </c>
      <c r="L178" s="29" t="s">
        <v>1977</v>
      </c>
      <c r="M178" s="29" t="s">
        <v>1922</v>
      </c>
      <c r="N178" s="29" t="s">
        <v>2278</v>
      </c>
      <c r="O178" s="29" t="s">
        <v>1771</v>
      </c>
      <c r="P178" s="29" t="s">
        <v>2055</v>
      </c>
      <c r="Q178" s="29" t="s">
        <v>1623</v>
      </c>
      <c r="R178" s="29" t="s">
        <v>2056</v>
      </c>
      <c r="S178" s="29" t="s">
        <v>2082</v>
      </c>
      <c r="T178" s="29" t="s">
        <v>2083</v>
      </c>
      <c r="U178" s="29" t="s">
        <v>193</v>
      </c>
      <c r="V178" s="29" t="s">
        <v>2084</v>
      </c>
      <c r="W178" s="35" t="s">
        <v>1628</v>
      </c>
      <c r="X178" s="35" t="s">
        <v>2279</v>
      </c>
      <c r="Y178" s="35" t="s">
        <v>1775</v>
      </c>
      <c r="Z178" s="35" t="s">
        <v>2085</v>
      </c>
      <c r="AA178" s="35" t="s">
        <v>1666</v>
      </c>
      <c r="AB178" s="29" t="s">
        <v>2086</v>
      </c>
      <c r="AC178" s="35" t="s">
        <v>1633</v>
      </c>
      <c r="AD178" s="35" t="s">
        <v>2062</v>
      </c>
      <c r="AE178" s="35" t="s">
        <v>2062</v>
      </c>
      <c r="AF178" s="35" t="s">
        <v>1669</v>
      </c>
      <c r="AG178" s="35" t="s">
        <v>1728</v>
      </c>
      <c r="AI178" s="35"/>
      <c r="AJ178" s="35" t="s">
        <v>1671</v>
      </c>
      <c r="AK178" s="35" t="s">
        <v>1672</v>
      </c>
      <c r="AL178" s="29" t="s">
        <v>2063</v>
      </c>
      <c r="AM178" s="35" t="s">
        <v>1867</v>
      </c>
      <c r="AN178" s="35" t="s">
        <v>2064</v>
      </c>
      <c r="AO178" s="35"/>
      <c r="AP178" s="35"/>
      <c r="AQ178" s="35"/>
      <c r="AR178" s="29" t="s">
        <v>1756</v>
      </c>
      <c r="AS178" s="35"/>
      <c r="AT178" s="29" t="s">
        <v>1640</v>
      </c>
      <c r="AU178" s="35"/>
      <c r="AV178" s="29" t="s">
        <v>1641</v>
      </c>
      <c r="AW178" s="35"/>
      <c r="AX178" s="29" t="s">
        <v>1674</v>
      </c>
      <c r="AY178" s="35"/>
      <c r="AZ178" s="35"/>
      <c r="BA178" s="35"/>
      <c r="BB178" s="29" t="s">
        <v>2321</v>
      </c>
      <c r="BC178" s="29" t="s">
        <v>2066</v>
      </c>
      <c r="BF178" s="29" t="s">
        <v>1905</v>
      </c>
      <c r="BG178" s="29" t="s">
        <v>2318</v>
      </c>
      <c r="BH178" s="29" t="s">
        <v>2282</v>
      </c>
      <c r="BI178" s="35"/>
      <c r="BJ178" s="35"/>
      <c r="BK178" s="29" t="str" cm="1">
        <f t="array" ref="BK178">_xlfn.UNIQUE(MID(BB178,16,14))</f>
        <v>U012UNA01UH162</v>
      </c>
    </row>
    <row r="179" spans="1:63" x14ac:dyDescent="0.3">
      <c r="A179" s="29" t="s">
        <v>2323</v>
      </c>
      <c r="B179" s="36" t="str">
        <f t="shared" si="10"/>
        <v>G01NHC01BL001-BL01</v>
      </c>
      <c r="C179" s="33" t="s">
        <v>2324</v>
      </c>
      <c r="D179" s="34" t="str">
        <f t="shared" si="11"/>
        <v>ELY1 H2 TRT LVL MEAS LVL1 ANALOG1</v>
      </c>
      <c r="E179" s="31">
        <f t="shared" si="12"/>
        <v>33</v>
      </c>
      <c r="F179" s="32" t="str">
        <f t="shared" si="13"/>
        <v>ELECTROLYSIS SYSTEM ELECTROLYSIS ARRAY 1 H2 TREATMENT H2 TREATMENT SYSTEM LEVEL MEASUREMENT SYSTEM LEVEL MEASUREMENT SYSTEM 1 H2 WATER LEVEL MEASUREMENT ANALOG PROCESS SIGNAL</v>
      </c>
      <c r="G179" s="29" t="s">
        <v>1614</v>
      </c>
      <c r="H179" s="29" t="s">
        <v>1615</v>
      </c>
      <c r="I179" s="29" t="str">
        <f t="shared" si="14"/>
        <v>01</v>
      </c>
      <c r="J179" s="29" t="s">
        <v>1616</v>
      </c>
      <c r="K179" s="29" t="s">
        <v>1617</v>
      </c>
      <c r="L179" s="29" t="s">
        <v>1618</v>
      </c>
      <c r="M179" s="29" t="s">
        <v>1619</v>
      </c>
      <c r="N179" s="29" t="s">
        <v>1620</v>
      </c>
      <c r="O179" s="29" t="s">
        <v>2325</v>
      </c>
      <c r="P179" s="29" t="s">
        <v>2326</v>
      </c>
      <c r="Q179" s="29" t="s">
        <v>1623</v>
      </c>
      <c r="R179" s="29" t="s">
        <v>2327</v>
      </c>
      <c r="S179" s="29" t="s">
        <v>1660</v>
      </c>
      <c r="T179" s="29" t="s">
        <v>2328</v>
      </c>
      <c r="U179" s="29" t="s">
        <v>193</v>
      </c>
      <c r="V179" s="29" t="s">
        <v>1083</v>
      </c>
      <c r="W179" s="35" t="s">
        <v>1628</v>
      </c>
      <c r="X179" s="35" t="s">
        <v>1629</v>
      </c>
      <c r="Y179" s="35" t="s">
        <v>2329</v>
      </c>
      <c r="Z179" s="35" t="s">
        <v>1665</v>
      </c>
      <c r="AA179" s="35" t="s">
        <v>1666</v>
      </c>
      <c r="AB179" s="29" t="s">
        <v>1660</v>
      </c>
      <c r="AC179" s="35" t="s">
        <v>1633</v>
      </c>
      <c r="AD179" s="35" t="s">
        <v>1668</v>
      </c>
      <c r="AE179" s="35" t="s">
        <v>1668</v>
      </c>
      <c r="AF179" s="35" t="s">
        <v>1635</v>
      </c>
      <c r="AG179" s="35" t="s">
        <v>1670</v>
      </c>
      <c r="AI179" s="35"/>
      <c r="AJ179" s="35" t="s">
        <v>1671</v>
      </c>
      <c r="AK179" s="35" t="s">
        <v>1638</v>
      </c>
      <c r="AL179" s="29" t="s">
        <v>2330</v>
      </c>
      <c r="AM179" s="35" t="s">
        <v>2331</v>
      </c>
      <c r="AN179" s="35" t="s">
        <v>2332</v>
      </c>
      <c r="AO179" s="35"/>
      <c r="AP179" s="35"/>
      <c r="AQ179" s="35"/>
      <c r="AS179" s="35"/>
      <c r="AU179" s="35"/>
      <c r="AW179" s="35"/>
      <c r="AY179" s="35"/>
      <c r="AZ179" s="35" t="s">
        <v>1642</v>
      </c>
      <c r="BA179" s="35" t="s">
        <v>2002</v>
      </c>
      <c r="BB179" s="29" t="s">
        <v>2333</v>
      </c>
      <c r="BC179" s="29" t="s">
        <v>2004</v>
      </c>
      <c r="BD179" s="29" t="s">
        <v>1804</v>
      </c>
      <c r="BE179" s="29" t="s">
        <v>1984</v>
      </c>
      <c r="BF179" s="29" t="s">
        <v>1619</v>
      </c>
      <c r="BG179" s="29" t="s">
        <v>2334</v>
      </c>
      <c r="BH179" s="29" t="s">
        <v>2335</v>
      </c>
      <c r="BI179" s="35"/>
      <c r="BJ179" s="35"/>
      <c r="BK179" s="29" t="str" cm="1">
        <f t="array" ref="BK179">_xlfn.UNIQUE(MID(BB179,16,14))</f>
        <v>U012UNA01UH100</v>
      </c>
    </row>
    <row r="180" spans="1:63" x14ac:dyDescent="0.3">
      <c r="A180" s="29" t="s">
        <v>2323</v>
      </c>
      <c r="B180" s="36" t="str">
        <f t="shared" si="10"/>
        <v>G01NHC01BL001-BL02</v>
      </c>
      <c r="C180" s="33" t="s">
        <v>2336</v>
      </c>
      <c r="D180" s="34" t="str">
        <f t="shared" si="11"/>
        <v>ELY1 H2 TRT LVL MEAS LVL2 ANALOG1</v>
      </c>
      <c r="E180" s="31">
        <f t="shared" si="12"/>
        <v>33</v>
      </c>
      <c r="F180" s="32" t="str">
        <f t="shared" si="13"/>
        <v>ELECTROLYSIS SYSTEM ELECTROLYSIS ARRAY 1 H2 TREATMENT H2 TREATMENT SYSTEM LEVEL MEASUREMENT SYSTEM LEVEL MEASUREMENT SYSTEM 1 H2 WATER LEVEL MEASUREMENT ANALOG PROCESS SIGNAL</v>
      </c>
      <c r="G180" s="29" t="s">
        <v>1614</v>
      </c>
      <c r="H180" s="29" t="s">
        <v>1615</v>
      </c>
      <c r="I180" s="29" t="str">
        <f t="shared" si="14"/>
        <v>01</v>
      </c>
      <c r="J180" s="29" t="s">
        <v>1616</v>
      </c>
      <c r="K180" s="29" t="s">
        <v>1617</v>
      </c>
      <c r="L180" s="29" t="s">
        <v>1618</v>
      </c>
      <c r="M180" s="29" t="s">
        <v>1619</v>
      </c>
      <c r="N180" s="29" t="s">
        <v>1620</v>
      </c>
      <c r="O180" s="29" t="s">
        <v>2325</v>
      </c>
      <c r="P180" s="29" t="s">
        <v>2326</v>
      </c>
      <c r="Q180" s="29" t="s">
        <v>1623</v>
      </c>
      <c r="R180" s="29" t="s">
        <v>2327</v>
      </c>
      <c r="S180" s="29" t="s">
        <v>2337</v>
      </c>
      <c r="T180" s="29" t="s">
        <v>2328</v>
      </c>
      <c r="U180" s="29" t="s">
        <v>193</v>
      </c>
      <c r="V180" s="29" t="s">
        <v>1083</v>
      </c>
      <c r="W180" s="35" t="s">
        <v>1628</v>
      </c>
      <c r="X180" s="35" t="s">
        <v>1629</v>
      </c>
      <c r="Y180" s="35" t="s">
        <v>2329</v>
      </c>
      <c r="Z180" s="35" t="s">
        <v>2338</v>
      </c>
      <c r="AA180" s="35" t="s">
        <v>1666</v>
      </c>
      <c r="AB180" s="29" t="s">
        <v>2337</v>
      </c>
      <c r="AC180" s="35" t="s">
        <v>1633</v>
      </c>
      <c r="AD180" s="35" t="s">
        <v>1668</v>
      </c>
      <c r="AE180" s="35" t="s">
        <v>1668</v>
      </c>
      <c r="AF180" s="35" t="s">
        <v>1635</v>
      </c>
      <c r="AG180" s="35" t="s">
        <v>1670</v>
      </c>
      <c r="AI180" s="35"/>
      <c r="AJ180" s="35" t="s">
        <v>1671</v>
      </c>
      <c r="AK180" s="35" t="s">
        <v>1672</v>
      </c>
      <c r="AL180" s="29" t="s">
        <v>1673</v>
      </c>
      <c r="AM180" s="35" t="s">
        <v>2331</v>
      </c>
      <c r="AN180" s="35" t="s">
        <v>2332</v>
      </c>
      <c r="AO180" s="35"/>
      <c r="AP180" s="35"/>
      <c r="AQ180" s="35"/>
      <c r="AR180" s="29" t="s">
        <v>1756</v>
      </c>
      <c r="AS180" s="35"/>
      <c r="AT180" s="29" t="s">
        <v>1640</v>
      </c>
      <c r="AU180" s="35"/>
      <c r="AV180" s="29" t="s">
        <v>1641</v>
      </c>
      <c r="AW180" s="35"/>
      <c r="AX180" s="29" t="s">
        <v>1674</v>
      </c>
      <c r="AY180" s="35"/>
      <c r="AZ180" s="35" t="s">
        <v>2339</v>
      </c>
      <c r="BA180" s="35"/>
      <c r="BB180" s="29" t="s">
        <v>2340</v>
      </c>
      <c r="BC180" s="29" t="s">
        <v>1900</v>
      </c>
      <c r="BD180" s="29" t="s">
        <v>1804</v>
      </c>
      <c r="BE180" s="29" t="s">
        <v>1805</v>
      </c>
      <c r="BF180" s="29" t="s">
        <v>2341</v>
      </c>
      <c r="BG180" s="29" t="s">
        <v>2342</v>
      </c>
      <c r="BH180" s="29" t="s">
        <v>2335</v>
      </c>
      <c r="BI180" s="35"/>
      <c r="BJ180" s="35"/>
      <c r="BK180" s="29" t="str" cm="1">
        <f t="array" ref="BK180">_xlfn.UNIQUE(MID(BB180,16,14))</f>
        <v>U012UNA01UH100</v>
      </c>
    </row>
    <row r="181" spans="1:63" x14ac:dyDescent="0.3">
      <c r="A181" s="29" t="s">
        <v>1612</v>
      </c>
      <c r="B181" s="36" t="str">
        <f t="shared" si="10"/>
        <v>G01NHC01BQ001-BF01</v>
      </c>
      <c r="C181" s="33" t="s">
        <v>2343</v>
      </c>
      <c r="D181" s="34" t="str">
        <f t="shared" si="11"/>
        <v>ELY1 H2 TRT QUAL FLOW1 CB ON/OPN/MAX1</v>
      </c>
      <c r="E181" s="31">
        <f t="shared" si="12"/>
        <v>37</v>
      </c>
      <c r="F181" s="32" t="str">
        <f t="shared" si="13"/>
        <v>ELECTROLYSIS SYSTEM ELECTROLYSIS ARRAY 1 H2 TREATMENT H2 TREATMENT SYSTEM QUALITY MEASURING SYSTEM O2 IN H2 MEASURING SYSTEM 10301; FLOWMETER GENERAL CHECK BACK ON/OPEN // LIMIT VALUE &gt;MAX 1</v>
      </c>
      <c r="G181" s="29" t="s">
        <v>1614</v>
      </c>
      <c r="H181" s="29" t="s">
        <v>1615</v>
      </c>
      <c r="I181" s="29" t="str">
        <f t="shared" si="14"/>
        <v>01</v>
      </c>
      <c r="J181" s="29" t="s">
        <v>1616</v>
      </c>
      <c r="K181" s="29" t="s">
        <v>1617</v>
      </c>
      <c r="L181" s="29" t="s">
        <v>1618</v>
      </c>
      <c r="M181" s="29" t="s">
        <v>1619</v>
      </c>
      <c r="N181" s="29" t="s">
        <v>1620</v>
      </c>
      <c r="O181" s="29" t="s">
        <v>1621</v>
      </c>
      <c r="P181" s="29" t="s">
        <v>1622</v>
      </c>
      <c r="Q181" s="29" t="s">
        <v>1623</v>
      </c>
      <c r="R181" s="29" t="s">
        <v>1624</v>
      </c>
      <c r="S181" s="29" t="s">
        <v>1625</v>
      </c>
      <c r="T181" s="29" t="s">
        <v>1626</v>
      </c>
      <c r="U181" s="29" t="s">
        <v>573</v>
      </c>
      <c r="V181" s="29" t="s">
        <v>2344</v>
      </c>
      <c r="W181" s="35" t="s">
        <v>1628</v>
      </c>
      <c r="X181" s="35" t="s">
        <v>1629</v>
      </c>
      <c r="Y181" s="35" t="s">
        <v>1630</v>
      </c>
      <c r="Z181" s="35" t="s">
        <v>1631</v>
      </c>
      <c r="AA181" s="35" t="s">
        <v>2345</v>
      </c>
      <c r="AB181" s="29" t="s">
        <v>1625</v>
      </c>
      <c r="AC181" s="35" t="s">
        <v>1633</v>
      </c>
      <c r="AD181" s="35" t="s">
        <v>1634</v>
      </c>
      <c r="AE181" s="35" t="s">
        <v>1634</v>
      </c>
      <c r="AF181" s="35" t="s">
        <v>1635</v>
      </c>
      <c r="AG181" s="35" t="s">
        <v>1636</v>
      </c>
      <c r="AI181" s="35"/>
      <c r="AJ181" s="35" t="s">
        <v>1637</v>
      </c>
      <c r="AK181" s="35" t="s">
        <v>1672</v>
      </c>
      <c r="AL181" s="29" t="s">
        <v>1639</v>
      </c>
      <c r="AM181" s="35"/>
      <c r="AN181" s="35"/>
      <c r="AO181" s="35"/>
      <c r="AP181" s="35"/>
      <c r="AQ181" s="35"/>
      <c r="AS181" s="35"/>
      <c r="AT181" s="29" t="s">
        <v>1640</v>
      </c>
      <c r="AU181" s="35"/>
      <c r="AV181" s="29" t="s">
        <v>1641</v>
      </c>
      <c r="AW181" s="35"/>
      <c r="AY181" s="35"/>
      <c r="AZ181" s="35" t="s">
        <v>1642</v>
      </c>
      <c r="BA181" s="35"/>
      <c r="BB181" s="29" t="s">
        <v>2346</v>
      </c>
      <c r="BC181" s="29" t="s">
        <v>2347</v>
      </c>
      <c r="BD181" s="29" t="s">
        <v>2348</v>
      </c>
      <c r="BE181" s="29" t="s">
        <v>1805</v>
      </c>
      <c r="BF181" s="29" t="s">
        <v>1909</v>
      </c>
      <c r="BG181" s="29" t="s">
        <v>1647</v>
      </c>
      <c r="BH181" s="29" t="s">
        <v>1648</v>
      </c>
      <c r="BI181" s="35"/>
      <c r="BJ181" s="35"/>
      <c r="BK181" s="29" t="str" cm="1">
        <f t="array" ref="BK181">_xlfn.UNIQUE(MID(BB181,16,14))</f>
        <v>U012UNA01UH100</v>
      </c>
    </row>
    <row r="182" spans="1:63" x14ac:dyDescent="0.3">
      <c r="A182" s="29" t="s">
        <v>1612</v>
      </c>
      <c r="B182" s="36" t="str">
        <f t="shared" si="10"/>
        <v>G01NHC01BQ001-BF02</v>
      </c>
      <c r="C182" s="33" t="s">
        <v>2349</v>
      </c>
      <c r="D182" s="34" t="str">
        <f t="shared" si="11"/>
        <v>ELY1 H2 TRT QUAL FLOW2 CB ON/OPN/MIN1</v>
      </c>
      <c r="E182" s="31">
        <f t="shared" si="12"/>
        <v>37</v>
      </c>
      <c r="F182" s="32" t="str">
        <f t="shared" si="13"/>
        <v>ELECTROLYSIS SYSTEM ELECTROLYSIS ARRAY 1 H2 TREATMENT H2 TREATMENT SYSTEM QUALITY MEASURING SYSTEM O2 IN H2 MEASURING SYSTEM 10301; FLOWMETER GENERAL CHECK BACK OFF/CLOSED // LIMIT VALUE &gt;MIN 1</v>
      </c>
      <c r="G182" s="29" t="s">
        <v>1614</v>
      </c>
      <c r="H182" s="29" t="s">
        <v>1615</v>
      </c>
      <c r="I182" s="29" t="str">
        <f t="shared" si="14"/>
        <v>01</v>
      </c>
      <c r="J182" s="29" t="s">
        <v>1616</v>
      </c>
      <c r="K182" s="29" t="s">
        <v>1617</v>
      </c>
      <c r="L182" s="29" t="s">
        <v>1618</v>
      </c>
      <c r="M182" s="29" t="s">
        <v>1619</v>
      </c>
      <c r="N182" s="29" t="s">
        <v>1620</v>
      </c>
      <c r="O182" s="29" t="s">
        <v>1621</v>
      </c>
      <c r="P182" s="29" t="s">
        <v>1622</v>
      </c>
      <c r="Q182" s="29" t="s">
        <v>1623</v>
      </c>
      <c r="R182" s="29" t="s">
        <v>1624</v>
      </c>
      <c r="S182" s="29" t="s">
        <v>2350</v>
      </c>
      <c r="T182" s="29" t="s">
        <v>1626</v>
      </c>
      <c r="U182" s="29" t="s">
        <v>371</v>
      </c>
      <c r="V182" s="29" t="s">
        <v>1627</v>
      </c>
      <c r="W182" s="35" t="s">
        <v>1628</v>
      </c>
      <c r="X182" s="35" t="s">
        <v>1629</v>
      </c>
      <c r="Y182" s="35" t="s">
        <v>1630</v>
      </c>
      <c r="Z182" s="35" t="s">
        <v>2351</v>
      </c>
      <c r="AA182" s="35" t="s">
        <v>1632</v>
      </c>
      <c r="AB182" s="29" t="s">
        <v>2350</v>
      </c>
      <c r="AC182" s="35" t="s">
        <v>1633</v>
      </c>
      <c r="AD182" s="35" t="s">
        <v>1634</v>
      </c>
      <c r="AE182" s="35" t="s">
        <v>1634</v>
      </c>
      <c r="AF182" s="35" t="s">
        <v>1635</v>
      </c>
      <c r="AG182" s="35" t="s">
        <v>1636</v>
      </c>
      <c r="AI182" s="35"/>
      <c r="AJ182" s="35" t="s">
        <v>1637</v>
      </c>
      <c r="AK182" s="35" t="s">
        <v>1638</v>
      </c>
      <c r="AL182" s="29" t="s">
        <v>1639</v>
      </c>
      <c r="AM182" s="35"/>
      <c r="AN182" s="35"/>
      <c r="AO182" s="35"/>
      <c r="AP182" s="35"/>
      <c r="AQ182" s="35"/>
      <c r="AS182" s="35"/>
      <c r="AT182" s="29" t="s">
        <v>1640</v>
      </c>
      <c r="AU182" s="35"/>
      <c r="AV182" s="29" t="s">
        <v>1641</v>
      </c>
      <c r="AW182" s="35"/>
      <c r="AY182" s="35"/>
      <c r="AZ182" s="35" t="s">
        <v>1642</v>
      </c>
      <c r="BA182" s="35"/>
      <c r="BB182" s="29" t="s">
        <v>1643</v>
      </c>
      <c r="BC182" s="29" t="s">
        <v>1644</v>
      </c>
      <c r="BD182" s="29" t="s">
        <v>2352</v>
      </c>
      <c r="BE182" s="29" t="s">
        <v>2353</v>
      </c>
      <c r="BF182" s="29" t="s">
        <v>2051</v>
      </c>
      <c r="BG182" s="29" t="s">
        <v>2354</v>
      </c>
      <c r="BH182" s="29" t="s">
        <v>1648</v>
      </c>
      <c r="BI182" s="35"/>
      <c r="BJ182" s="35"/>
      <c r="BK182" s="29" t="str" cm="1">
        <f t="array" ref="BK182">_xlfn.UNIQUE(MID(BB182,16,14))</f>
        <v>U012UNA01UH100</v>
      </c>
    </row>
    <row r="183" spans="1:63" x14ac:dyDescent="0.3">
      <c r="A183" s="29" t="s">
        <v>2355</v>
      </c>
      <c r="B183" s="36" t="str">
        <f t="shared" si="10"/>
        <v>G01NHC01GT001-BT01</v>
      </c>
      <c r="C183" s="33" t="s">
        <v>2356</v>
      </c>
      <c r="D183" s="34" t="str">
        <f t="shared" si="11"/>
        <v>ELY1 H2 TRT LEAD OFF TEMP1 ANALOG1</v>
      </c>
      <c r="E183" s="31">
        <f t="shared" si="12"/>
        <v>34</v>
      </c>
      <c r="F183" s="32" t="str">
        <f t="shared" si="13"/>
        <v>ELECTROLYSIS SYSTEM ELECTROLYSIS ARRAY 1 H2 TREATMENT H2 TREATMENT SYSTEM GAS LEAD OFF SYSTEMS GAS LEAD OFF SYSTEM 1 TEMPERATURE GAS COOLER H2 OUTLET ANALOG PROCESS SIGNAL</v>
      </c>
      <c r="G183" s="29" t="s">
        <v>1614</v>
      </c>
      <c r="H183" s="29" t="s">
        <v>1615</v>
      </c>
      <c r="I183" s="29" t="str">
        <f t="shared" si="14"/>
        <v>01</v>
      </c>
      <c r="J183" s="29" t="s">
        <v>1616</v>
      </c>
      <c r="K183" s="29" t="s">
        <v>1617</v>
      </c>
      <c r="L183" s="29" t="s">
        <v>1618</v>
      </c>
      <c r="M183" s="29" t="s">
        <v>1619</v>
      </c>
      <c r="N183" s="29" t="s">
        <v>1620</v>
      </c>
      <c r="O183" s="29" t="s">
        <v>2357</v>
      </c>
      <c r="P183" s="29" t="s">
        <v>2358</v>
      </c>
      <c r="Q183" s="29" t="s">
        <v>1623</v>
      </c>
      <c r="R183" s="29" t="s">
        <v>2359</v>
      </c>
      <c r="S183" s="29" t="s">
        <v>1715</v>
      </c>
      <c r="T183" s="29" t="s">
        <v>2360</v>
      </c>
      <c r="U183" s="29" t="s">
        <v>193</v>
      </c>
      <c r="V183" s="29" t="s">
        <v>1083</v>
      </c>
      <c r="W183" s="35" t="s">
        <v>1628</v>
      </c>
      <c r="X183" s="35" t="s">
        <v>1629</v>
      </c>
      <c r="Y183" s="35" t="s">
        <v>2361</v>
      </c>
      <c r="Z183" s="35" t="s">
        <v>1719</v>
      </c>
      <c r="AA183" s="35" t="s">
        <v>1666</v>
      </c>
      <c r="AB183" s="29" t="s">
        <v>1715</v>
      </c>
      <c r="AC183" s="35" t="s">
        <v>1633</v>
      </c>
      <c r="AD183" s="35" t="s">
        <v>1668</v>
      </c>
      <c r="AE183" s="35" t="s">
        <v>1668</v>
      </c>
      <c r="AF183" s="35" t="s">
        <v>1635</v>
      </c>
      <c r="AG183" s="35" t="s">
        <v>1670</v>
      </c>
      <c r="AI183" s="35"/>
      <c r="AJ183" s="35" t="s">
        <v>1671</v>
      </c>
      <c r="AK183" s="35" t="s">
        <v>1672</v>
      </c>
      <c r="AL183" s="29" t="s">
        <v>1720</v>
      </c>
      <c r="AM183" s="35" t="s">
        <v>1721</v>
      </c>
      <c r="AN183" s="35" t="s">
        <v>1967</v>
      </c>
      <c r="AO183" s="35"/>
      <c r="AP183" s="35"/>
      <c r="AQ183" s="35"/>
      <c r="AS183" s="35"/>
      <c r="AT183" s="29" t="s">
        <v>1640</v>
      </c>
      <c r="AU183" s="35"/>
      <c r="AW183" s="35"/>
      <c r="AY183" s="35"/>
      <c r="AZ183" s="35"/>
      <c r="BA183" s="35"/>
      <c r="BB183" s="29" t="s">
        <v>2362</v>
      </c>
      <c r="BC183" s="29" t="s">
        <v>1900</v>
      </c>
      <c r="BD183" s="29" t="s">
        <v>1804</v>
      </c>
      <c r="BE183" s="29" t="s">
        <v>1805</v>
      </c>
      <c r="BF183" s="29" t="s">
        <v>1931</v>
      </c>
      <c r="BG183" s="29" t="s">
        <v>2363</v>
      </c>
      <c r="BH183" s="29" t="s">
        <v>2364</v>
      </c>
      <c r="BI183" s="35"/>
      <c r="BJ183" s="35"/>
      <c r="BK183" s="29" t="str" cm="1">
        <f t="array" ref="BK183">_xlfn.UNIQUE(MID(BB183,16,14))</f>
        <v>U012UNA01UH100</v>
      </c>
    </row>
    <row r="184" spans="1:63" x14ac:dyDescent="0.3">
      <c r="A184" s="29" t="s">
        <v>2355</v>
      </c>
      <c r="B184" s="36" t="str">
        <f t="shared" si="10"/>
        <v>G01NHC01GT001-QN01</v>
      </c>
      <c r="C184" s="33" t="s">
        <v>2365</v>
      </c>
      <c r="D184" s="34" t="str">
        <f t="shared" si="11"/>
        <v>ELY1 H2 TRT LEAD OFF CV1 ANALOG1</v>
      </c>
      <c r="E184" s="31">
        <f t="shared" si="12"/>
        <v>32</v>
      </c>
      <c r="F184" s="32" t="str">
        <f t="shared" si="13"/>
        <v>ELECTROLYSIS SYSTEM ELECTROLYSIS ARRAY 1 H2 TREATMENT H2 TREATMENT SYSTEM GAS LEAD OFF SYSTEMS GAS LEAD OFF SYSTEM 1 CONTROL VALVE - H2 PRODUCT ANALOG PROCESS SIGNAL</v>
      </c>
      <c r="G184" s="29" t="s">
        <v>1614</v>
      </c>
      <c r="H184" s="29" t="s">
        <v>1615</v>
      </c>
      <c r="I184" s="29" t="str">
        <f t="shared" si="14"/>
        <v>01</v>
      </c>
      <c r="J184" s="29" t="s">
        <v>1616</v>
      </c>
      <c r="K184" s="29" t="s">
        <v>1617</v>
      </c>
      <c r="L184" s="29" t="s">
        <v>1618</v>
      </c>
      <c r="M184" s="29" t="s">
        <v>1619</v>
      </c>
      <c r="N184" s="29" t="s">
        <v>1620</v>
      </c>
      <c r="O184" s="29" t="s">
        <v>2357</v>
      </c>
      <c r="P184" s="29" t="s">
        <v>2358</v>
      </c>
      <c r="Q184" s="29" t="s">
        <v>1623</v>
      </c>
      <c r="R184" s="29" t="s">
        <v>2359</v>
      </c>
      <c r="S184" s="29" t="s">
        <v>1800</v>
      </c>
      <c r="T184" s="29" t="s">
        <v>2366</v>
      </c>
      <c r="U184" s="29" t="s">
        <v>193</v>
      </c>
      <c r="V184" s="29" t="s">
        <v>1083</v>
      </c>
      <c r="W184" s="35" t="s">
        <v>1628</v>
      </c>
      <c r="X184" s="35" t="s">
        <v>1629</v>
      </c>
      <c r="Y184" s="35" t="s">
        <v>2361</v>
      </c>
      <c r="Z184" s="35" t="s">
        <v>1802</v>
      </c>
      <c r="AA184" s="35" t="s">
        <v>1666</v>
      </c>
      <c r="AB184" s="29" t="s">
        <v>2015</v>
      </c>
      <c r="AC184" s="35" t="s">
        <v>1633</v>
      </c>
      <c r="AD184" s="35" t="s">
        <v>1668</v>
      </c>
      <c r="AE184" s="35" t="s">
        <v>1668</v>
      </c>
      <c r="AF184" s="35" t="s">
        <v>1635</v>
      </c>
      <c r="AG184" s="35" t="s">
        <v>1670</v>
      </c>
      <c r="AI184" s="35"/>
      <c r="AJ184" s="35" t="s">
        <v>1671</v>
      </c>
      <c r="AK184" s="35" t="s">
        <v>1672</v>
      </c>
      <c r="AL184" s="29" t="s">
        <v>1803</v>
      </c>
      <c r="AM184" s="35"/>
      <c r="AN184" s="35"/>
      <c r="AO184" s="35"/>
      <c r="AP184" s="35"/>
      <c r="AQ184" s="35"/>
      <c r="AS184" s="35"/>
      <c r="AU184" s="35"/>
      <c r="AW184" s="35"/>
      <c r="AY184" s="35"/>
      <c r="AZ184" s="35"/>
      <c r="BA184" s="35"/>
      <c r="BB184" s="29" t="s">
        <v>2362</v>
      </c>
      <c r="BC184" s="29" t="s">
        <v>1900</v>
      </c>
      <c r="BD184" s="29" t="s">
        <v>1804</v>
      </c>
      <c r="BE184" s="29" t="s">
        <v>1805</v>
      </c>
      <c r="BF184" s="29" t="s">
        <v>2051</v>
      </c>
      <c r="BG184" s="29" t="s">
        <v>2367</v>
      </c>
      <c r="BH184" s="29" t="s">
        <v>2364</v>
      </c>
      <c r="BI184" s="35"/>
      <c r="BJ184" s="35"/>
      <c r="BK184" s="29" t="str" cm="1">
        <f t="array" ref="BK184">_xlfn.UNIQUE(MID(BB184,16,14))</f>
        <v>U012UNA01UH100</v>
      </c>
    </row>
    <row r="185" spans="1:63" x14ac:dyDescent="0.3">
      <c r="A185" s="29" t="s">
        <v>2355</v>
      </c>
      <c r="B185" s="36" t="str">
        <f t="shared" si="10"/>
        <v>G01NHC01GT001-QN02</v>
      </c>
      <c r="C185" s="33" t="s">
        <v>2368</v>
      </c>
      <c r="D185" s="34" t="str">
        <f t="shared" si="11"/>
        <v>ELY1 H2 TRT LEAD OFF CV2 ANALOG1</v>
      </c>
      <c r="E185" s="31">
        <f t="shared" si="12"/>
        <v>32</v>
      </c>
      <c r="F185" s="32" t="str">
        <f t="shared" si="13"/>
        <v>ELECTROLYSIS SYSTEM ELECTROLYSIS ARRAY 1 H2 TREATMENT H2 TREATMENT SYSTEM GAS LEAD OFF SYSTEMS GAS LEAD OFF SYSTEM 1 CONTROL VALVE - H2 BLOW OFF ANALOG PROCESS SIGNAL</v>
      </c>
      <c r="G185" s="29" t="s">
        <v>1614</v>
      </c>
      <c r="H185" s="29" t="s">
        <v>1615</v>
      </c>
      <c r="I185" s="29" t="str">
        <f t="shared" si="14"/>
        <v>01</v>
      </c>
      <c r="J185" s="29" t="s">
        <v>1616</v>
      </c>
      <c r="K185" s="29" t="s">
        <v>1617</v>
      </c>
      <c r="L185" s="29" t="s">
        <v>1618</v>
      </c>
      <c r="M185" s="29" t="s">
        <v>1619</v>
      </c>
      <c r="N185" s="29" t="s">
        <v>1620</v>
      </c>
      <c r="O185" s="29" t="s">
        <v>2357</v>
      </c>
      <c r="P185" s="29" t="s">
        <v>2358</v>
      </c>
      <c r="Q185" s="29" t="s">
        <v>1623</v>
      </c>
      <c r="R185" s="29" t="s">
        <v>2359</v>
      </c>
      <c r="S185" s="29" t="s">
        <v>2369</v>
      </c>
      <c r="T185" s="29" t="s">
        <v>2370</v>
      </c>
      <c r="U185" s="29" t="s">
        <v>193</v>
      </c>
      <c r="V185" s="29" t="s">
        <v>1083</v>
      </c>
      <c r="W185" s="35" t="s">
        <v>1628</v>
      </c>
      <c r="X185" s="35" t="s">
        <v>1629</v>
      </c>
      <c r="Y185" s="35" t="s">
        <v>2361</v>
      </c>
      <c r="Z185" s="35" t="s">
        <v>2371</v>
      </c>
      <c r="AA185" s="35" t="s">
        <v>1666</v>
      </c>
      <c r="AB185" s="29" t="s">
        <v>2372</v>
      </c>
      <c r="AC185" s="35" t="s">
        <v>1633</v>
      </c>
      <c r="AD185" s="35" t="s">
        <v>1668</v>
      </c>
      <c r="AE185" s="35" t="s">
        <v>1668</v>
      </c>
      <c r="AF185" s="35" t="s">
        <v>1635</v>
      </c>
      <c r="AG185" s="35" t="s">
        <v>1670</v>
      </c>
      <c r="AI185" s="35"/>
      <c r="AJ185" s="35" t="s">
        <v>1671</v>
      </c>
      <c r="AK185" s="35" t="s">
        <v>1672</v>
      </c>
      <c r="AL185" s="29" t="s">
        <v>1803</v>
      </c>
      <c r="AM185" s="35"/>
      <c r="AN185" s="35"/>
      <c r="AO185" s="35"/>
      <c r="AP185" s="35"/>
      <c r="AQ185" s="35"/>
      <c r="AS185" s="35"/>
      <c r="AU185" s="35"/>
      <c r="AW185" s="35"/>
      <c r="AY185" s="35"/>
      <c r="AZ185" s="35"/>
      <c r="BA185" s="35"/>
      <c r="BB185" s="29" t="s">
        <v>1968</v>
      </c>
      <c r="BC185" s="29" t="s">
        <v>1900</v>
      </c>
      <c r="BD185" s="29" t="s">
        <v>1804</v>
      </c>
      <c r="BE185" s="29" t="s">
        <v>1805</v>
      </c>
      <c r="BF185" s="29" t="s">
        <v>2035</v>
      </c>
      <c r="BG185" s="29" t="s">
        <v>2373</v>
      </c>
      <c r="BH185" s="29" t="s">
        <v>2364</v>
      </c>
      <c r="BI185" s="35"/>
      <c r="BJ185" s="35"/>
      <c r="BK185" s="29" t="str" cm="1">
        <f t="array" ref="BK185">_xlfn.UNIQUE(MID(BB185,16,14))</f>
        <v>U012UNA01UH100</v>
      </c>
    </row>
    <row r="186" spans="1:63" x14ac:dyDescent="0.3">
      <c r="A186" s="29" t="s">
        <v>2374</v>
      </c>
      <c r="B186" s="36" t="str">
        <f t="shared" si="10"/>
        <v>G01NHC01HP001-BP01</v>
      </c>
      <c r="C186" s="33" t="s">
        <v>2375</v>
      </c>
      <c r="D186" s="34" t="str">
        <f t="shared" si="11"/>
        <v>ELY1 H2 TRT SYS 1 PRES1 ANALOG1</v>
      </c>
      <c r="E186" s="31">
        <f t="shared" si="12"/>
        <v>31</v>
      </c>
      <c r="F186" s="32" t="str">
        <f t="shared" si="13"/>
        <v>ELECTROLYSIS SYSTEM ELECTROLYSIS ARRAY 1 H2 TREATMENT H2 TREATMENT SYSTEM GAS COOLING SYSTEMS GAS COOLING SYSTEM 1 PRESSURE - H2 HEADER ANALOG PROCESS SIGNAL</v>
      </c>
      <c r="G186" s="29" t="s">
        <v>1614</v>
      </c>
      <c r="H186" s="29" t="s">
        <v>1615</v>
      </c>
      <c r="I186" s="29" t="str">
        <f t="shared" si="14"/>
        <v>01</v>
      </c>
      <c r="J186" s="29" t="s">
        <v>1616</v>
      </c>
      <c r="K186" s="29" t="s">
        <v>1617</v>
      </c>
      <c r="L186" s="29" t="s">
        <v>1618</v>
      </c>
      <c r="M186" s="29" t="s">
        <v>1619</v>
      </c>
      <c r="N186" s="29" t="s">
        <v>1620</v>
      </c>
      <c r="O186" s="29" t="s">
        <v>2376</v>
      </c>
      <c r="P186" s="29" t="s">
        <v>2377</v>
      </c>
      <c r="Q186" s="29" t="s">
        <v>1623</v>
      </c>
      <c r="R186" s="29" t="s">
        <v>2378</v>
      </c>
      <c r="S186" s="29" t="s">
        <v>1681</v>
      </c>
      <c r="T186" s="29" t="s">
        <v>2379</v>
      </c>
      <c r="U186" s="29" t="s">
        <v>193</v>
      </c>
      <c r="V186" s="29" t="s">
        <v>1083</v>
      </c>
      <c r="W186" s="35" t="s">
        <v>1628</v>
      </c>
      <c r="X186" s="35" t="s">
        <v>1629</v>
      </c>
      <c r="Y186" s="35" t="s">
        <v>2380</v>
      </c>
      <c r="Z186" s="35" t="s">
        <v>1684</v>
      </c>
      <c r="AA186" s="35" t="s">
        <v>1666</v>
      </c>
      <c r="AB186" s="29" t="s">
        <v>1681</v>
      </c>
      <c r="AC186" s="35" t="s">
        <v>1633</v>
      </c>
      <c r="AD186" s="35" t="s">
        <v>1668</v>
      </c>
      <c r="AE186" s="35" t="s">
        <v>1668</v>
      </c>
      <c r="AF186" s="35" t="s">
        <v>1635</v>
      </c>
      <c r="AG186" s="35" t="s">
        <v>1670</v>
      </c>
      <c r="AI186" s="35"/>
      <c r="AJ186" s="35" t="s">
        <v>1671</v>
      </c>
      <c r="AK186" s="35" t="s">
        <v>1638</v>
      </c>
      <c r="AL186" s="29" t="s">
        <v>1685</v>
      </c>
      <c r="AM186" s="35" t="s">
        <v>2381</v>
      </c>
      <c r="AN186" s="35" t="s">
        <v>2382</v>
      </c>
      <c r="AO186" s="35"/>
      <c r="AP186" s="35"/>
      <c r="AQ186" s="35"/>
      <c r="AS186" s="35"/>
      <c r="AU186" s="35"/>
      <c r="AW186" s="35"/>
      <c r="AX186" s="29" t="s">
        <v>2383</v>
      </c>
      <c r="AY186" s="35"/>
      <c r="AZ186" s="35" t="s">
        <v>1642</v>
      </c>
      <c r="BA186" s="35" t="s">
        <v>2002</v>
      </c>
      <c r="BB186" s="29" t="s">
        <v>2333</v>
      </c>
      <c r="BC186" s="29" t="s">
        <v>2004</v>
      </c>
      <c r="BD186" s="29" t="s">
        <v>1804</v>
      </c>
      <c r="BE186" s="29" t="s">
        <v>193</v>
      </c>
      <c r="BF186" s="29" t="s">
        <v>1915</v>
      </c>
      <c r="BG186" s="29" t="s">
        <v>2384</v>
      </c>
      <c r="BH186" s="29" t="s">
        <v>2335</v>
      </c>
      <c r="BI186" s="35"/>
      <c r="BJ186" s="35"/>
      <c r="BK186" s="29" t="str" cm="1">
        <f t="array" ref="BK186">_xlfn.UNIQUE(MID(BB186,16,14))</f>
        <v>U012UNA01UH100</v>
      </c>
    </row>
    <row r="187" spans="1:63" x14ac:dyDescent="0.3">
      <c r="A187" s="29" t="s">
        <v>2374</v>
      </c>
      <c r="B187" s="36" t="str">
        <f t="shared" si="10"/>
        <v>G01NHC01HP001-BP02</v>
      </c>
      <c r="C187" s="33" t="s">
        <v>2385</v>
      </c>
      <c r="D187" s="34" t="str">
        <f t="shared" si="11"/>
        <v>ELY1 H2 TRT SYS 1 PRES2 ANALOG1</v>
      </c>
      <c r="E187" s="31">
        <f t="shared" si="12"/>
        <v>31</v>
      </c>
      <c r="F187" s="32" t="str">
        <f t="shared" si="13"/>
        <v>ELECTROLYSIS SYSTEM ELECTROLYSIS ARRAY 1 H2 TREATMENT H2 TREATMENT SYSTEM GAS COOLING SYSTEMS GAS COOLING SYSTEM 1 PRESSURE - H2 HEADER ANALOG PROCESS SIGNAL</v>
      </c>
      <c r="G187" s="29" t="s">
        <v>1614</v>
      </c>
      <c r="H187" s="29" t="s">
        <v>1615</v>
      </c>
      <c r="I187" s="29" t="str">
        <f t="shared" si="14"/>
        <v>01</v>
      </c>
      <c r="J187" s="29" t="s">
        <v>1616</v>
      </c>
      <c r="K187" s="29" t="s">
        <v>1617</v>
      </c>
      <c r="L187" s="29" t="s">
        <v>1618</v>
      </c>
      <c r="M187" s="29" t="s">
        <v>1619</v>
      </c>
      <c r="N187" s="29" t="s">
        <v>1620</v>
      </c>
      <c r="O187" s="29" t="s">
        <v>2376</v>
      </c>
      <c r="P187" s="29" t="s">
        <v>2377</v>
      </c>
      <c r="Q187" s="29" t="s">
        <v>1623</v>
      </c>
      <c r="R187" s="29" t="s">
        <v>2378</v>
      </c>
      <c r="S187" s="29" t="s">
        <v>1758</v>
      </c>
      <c r="T187" s="29" t="s">
        <v>2379</v>
      </c>
      <c r="U187" s="29" t="s">
        <v>193</v>
      </c>
      <c r="V187" s="29" t="s">
        <v>1083</v>
      </c>
      <c r="W187" s="35" t="s">
        <v>1628</v>
      </c>
      <c r="X187" s="35" t="s">
        <v>1629</v>
      </c>
      <c r="Y187" s="35" t="s">
        <v>2380</v>
      </c>
      <c r="Z187" s="35" t="s">
        <v>1760</v>
      </c>
      <c r="AA187" s="35" t="s">
        <v>1666</v>
      </c>
      <c r="AB187" s="29" t="s">
        <v>1758</v>
      </c>
      <c r="AC187" s="35" t="s">
        <v>1633</v>
      </c>
      <c r="AD187" s="35" t="s">
        <v>1668</v>
      </c>
      <c r="AE187" s="35" t="s">
        <v>1668</v>
      </c>
      <c r="AF187" s="35" t="s">
        <v>1635</v>
      </c>
      <c r="AG187" s="35" t="s">
        <v>1670</v>
      </c>
      <c r="AI187" s="35"/>
      <c r="AJ187" s="35" t="s">
        <v>1671</v>
      </c>
      <c r="AK187" s="35" t="s">
        <v>1672</v>
      </c>
      <c r="AL187" s="29" t="s">
        <v>2386</v>
      </c>
      <c r="AM187" s="35" t="s">
        <v>2381</v>
      </c>
      <c r="AN187" s="35" t="s">
        <v>2382</v>
      </c>
      <c r="AO187" s="35"/>
      <c r="AP187" s="35"/>
      <c r="AQ187" s="35"/>
      <c r="AR187" s="29" t="s">
        <v>1756</v>
      </c>
      <c r="AS187" s="35"/>
      <c r="AT187" s="29" t="s">
        <v>1640</v>
      </c>
      <c r="AU187" s="35"/>
      <c r="AV187" s="29" t="s">
        <v>2387</v>
      </c>
      <c r="AW187" s="35"/>
      <c r="AY187" s="35"/>
      <c r="AZ187" s="35"/>
      <c r="BA187" s="35"/>
      <c r="BB187" s="29" t="s">
        <v>2340</v>
      </c>
      <c r="BC187" s="29" t="s">
        <v>1900</v>
      </c>
      <c r="BD187" s="29" t="s">
        <v>1804</v>
      </c>
      <c r="BE187" s="29" t="s">
        <v>1805</v>
      </c>
      <c r="BF187" s="29" t="s">
        <v>2388</v>
      </c>
      <c r="BG187" s="29" t="s">
        <v>2389</v>
      </c>
      <c r="BH187" s="29" t="s">
        <v>2335</v>
      </c>
      <c r="BI187" s="35"/>
      <c r="BJ187" s="35"/>
      <c r="BK187" s="29" t="str" cm="1">
        <f t="array" ref="BK187">_xlfn.UNIQUE(MID(BB187,16,14))</f>
        <v>U012UNA01UH100</v>
      </c>
    </row>
    <row r="188" spans="1:63" x14ac:dyDescent="0.3">
      <c r="A188" s="29" t="s">
        <v>2374</v>
      </c>
      <c r="B188" s="36" t="str">
        <f t="shared" si="10"/>
        <v>G01NHC01HP001-BT01</v>
      </c>
      <c r="C188" s="33" t="s">
        <v>2390</v>
      </c>
      <c r="D188" s="34" t="str">
        <f t="shared" si="11"/>
        <v>ELY1 H2 TRT SYS 1 TEMP1 ANALOG1</v>
      </c>
      <c r="E188" s="31">
        <f t="shared" si="12"/>
        <v>31</v>
      </c>
      <c r="F188" s="32" t="str">
        <f t="shared" si="13"/>
        <v>ELECTROLYSIS SYSTEM ELECTROLYSIS ARRAY 1 H2 TREATMENT H2 TREATMENT SYSTEM GAS COOLING SYSTEMS GAS COOLING SYSTEM 1 TEMPERATURE GAS COOLER H2 INLET ANALOG PROCESS SIGNAL</v>
      </c>
      <c r="G188" s="29" t="s">
        <v>1614</v>
      </c>
      <c r="H188" s="29" t="s">
        <v>1615</v>
      </c>
      <c r="I188" s="29" t="str">
        <f t="shared" si="14"/>
        <v>01</v>
      </c>
      <c r="J188" s="29" t="s">
        <v>1616</v>
      </c>
      <c r="K188" s="29" t="s">
        <v>1617</v>
      </c>
      <c r="L188" s="29" t="s">
        <v>1618</v>
      </c>
      <c r="M188" s="29" t="s">
        <v>1619</v>
      </c>
      <c r="N188" s="29" t="s">
        <v>1620</v>
      </c>
      <c r="O188" s="29" t="s">
        <v>2376</v>
      </c>
      <c r="P188" s="29" t="s">
        <v>2377</v>
      </c>
      <c r="Q188" s="29" t="s">
        <v>1623</v>
      </c>
      <c r="R188" s="29" t="s">
        <v>2378</v>
      </c>
      <c r="S188" s="29" t="s">
        <v>1715</v>
      </c>
      <c r="T188" s="29" t="s">
        <v>2391</v>
      </c>
      <c r="U188" s="29" t="s">
        <v>193</v>
      </c>
      <c r="V188" s="29" t="s">
        <v>1083</v>
      </c>
      <c r="W188" s="35" t="s">
        <v>1628</v>
      </c>
      <c r="X188" s="35" t="s">
        <v>1629</v>
      </c>
      <c r="Y188" s="35" t="s">
        <v>2380</v>
      </c>
      <c r="Z188" s="35" t="s">
        <v>1719</v>
      </c>
      <c r="AA188" s="35" t="s">
        <v>1666</v>
      </c>
      <c r="AB188" s="29" t="s">
        <v>1715</v>
      </c>
      <c r="AC188" s="35" t="s">
        <v>1633</v>
      </c>
      <c r="AD188" s="35" t="s">
        <v>1668</v>
      </c>
      <c r="AE188" s="35" t="s">
        <v>1668</v>
      </c>
      <c r="AF188" s="35" t="s">
        <v>1635</v>
      </c>
      <c r="AG188" s="35" t="s">
        <v>1670</v>
      </c>
      <c r="AI188" s="35"/>
      <c r="AJ188" s="35" t="s">
        <v>1671</v>
      </c>
      <c r="AK188" s="35" t="s">
        <v>1672</v>
      </c>
      <c r="AL188" s="29" t="s">
        <v>1706</v>
      </c>
      <c r="AM188" s="35" t="s">
        <v>1721</v>
      </c>
      <c r="AN188" s="35" t="s">
        <v>1967</v>
      </c>
      <c r="AO188" s="35"/>
      <c r="AP188" s="35"/>
      <c r="AQ188" s="35"/>
      <c r="AS188" s="35"/>
      <c r="AU188" s="35"/>
      <c r="AW188" s="35"/>
      <c r="AY188" s="35"/>
      <c r="AZ188" s="35"/>
      <c r="BA188" s="35"/>
      <c r="BB188" s="29" t="s">
        <v>2362</v>
      </c>
      <c r="BC188" s="29" t="s">
        <v>1900</v>
      </c>
      <c r="BD188" s="29" t="s">
        <v>1804</v>
      </c>
      <c r="BE188" s="29" t="s">
        <v>1805</v>
      </c>
      <c r="BF188" s="29" t="s">
        <v>1919</v>
      </c>
      <c r="BG188" s="29" t="s">
        <v>2392</v>
      </c>
      <c r="BH188" s="29" t="s">
        <v>2364</v>
      </c>
      <c r="BI188" s="35"/>
      <c r="BJ188" s="35"/>
      <c r="BK188" s="29" t="str" cm="1">
        <f t="array" ref="BK188">_xlfn.UNIQUE(MID(BB188,16,14))</f>
        <v>U012UNA01UH100</v>
      </c>
    </row>
    <row r="189" spans="1:63" x14ac:dyDescent="0.3">
      <c r="A189" s="29" t="s">
        <v>2393</v>
      </c>
      <c r="B189" s="36" t="str">
        <f t="shared" si="10"/>
        <v>G01NHE01BL001-BL01</v>
      </c>
      <c r="C189" s="33" t="s">
        <v>2394</v>
      </c>
      <c r="D189" s="34" t="str">
        <f t="shared" si="11"/>
        <v>ELY1 O2 TRT LVL MEAS LVL1 ANALOG1</v>
      </c>
      <c r="E189" s="31">
        <f t="shared" si="12"/>
        <v>33</v>
      </c>
      <c r="F189" s="32" t="str">
        <f t="shared" si="13"/>
        <v>ELECTROLYSIS SYSTEM ELECTROLYSIS ARRAY 1 O2 TREATMENT O2 TREATMENT SYSTEM LEVEL MEASUREMENT SYSTEM LEVEL MEASUREMENT SYSTEM 1 O2 WATER LEVEL MEASUREMENT ANALOG PROCESS SIGNAL</v>
      </c>
      <c r="G189" s="29" t="s">
        <v>1614</v>
      </c>
      <c r="H189" s="29" t="s">
        <v>1615</v>
      </c>
      <c r="I189" s="29" t="str">
        <f t="shared" si="14"/>
        <v>01</v>
      </c>
      <c r="J189" s="29" t="s">
        <v>1616</v>
      </c>
      <c r="K189" s="29" t="s">
        <v>2395</v>
      </c>
      <c r="L189" s="29" t="s">
        <v>2396</v>
      </c>
      <c r="M189" s="29" t="s">
        <v>1619</v>
      </c>
      <c r="N189" s="29" t="s">
        <v>2397</v>
      </c>
      <c r="O189" s="29" t="s">
        <v>2325</v>
      </c>
      <c r="P189" s="29" t="s">
        <v>2326</v>
      </c>
      <c r="Q189" s="29" t="s">
        <v>1623</v>
      </c>
      <c r="R189" s="29" t="s">
        <v>2327</v>
      </c>
      <c r="S189" s="29" t="s">
        <v>1660</v>
      </c>
      <c r="T189" s="29" t="s">
        <v>2398</v>
      </c>
      <c r="U189" s="29" t="s">
        <v>193</v>
      </c>
      <c r="V189" s="29" t="s">
        <v>1083</v>
      </c>
      <c r="W189" s="35" t="s">
        <v>1628</v>
      </c>
      <c r="X189" s="35" t="s">
        <v>2399</v>
      </c>
      <c r="Y189" s="35" t="s">
        <v>2329</v>
      </c>
      <c r="Z189" s="35" t="s">
        <v>1665</v>
      </c>
      <c r="AA189" s="35" t="s">
        <v>1666</v>
      </c>
      <c r="AB189" s="29" t="s">
        <v>1660</v>
      </c>
      <c r="AC189" s="35" t="s">
        <v>1633</v>
      </c>
      <c r="AD189" s="35" t="s">
        <v>1668</v>
      </c>
      <c r="AE189" s="35" t="s">
        <v>1668</v>
      </c>
      <c r="AF189" s="35" t="s">
        <v>1635</v>
      </c>
      <c r="AG189" s="35" t="s">
        <v>1670</v>
      </c>
      <c r="AI189" s="35"/>
      <c r="AJ189" s="35" t="s">
        <v>1671</v>
      </c>
      <c r="AK189" s="35" t="s">
        <v>1638</v>
      </c>
      <c r="AL189" s="29" t="s">
        <v>2330</v>
      </c>
      <c r="AM189" s="35" t="s">
        <v>2331</v>
      </c>
      <c r="AN189" s="35" t="s">
        <v>2332</v>
      </c>
      <c r="AO189" s="35"/>
      <c r="AP189" s="35"/>
      <c r="AQ189" s="35"/>
      <c r="AS189" s="35"/>
      <c r="AU189" s="35"/>
      <c r="AW189" s="35"/>
      <c r="AY189" s="35"/>
      <c r="AZ189" s="35" t="s">
        <v>1642</v>
      </c>
      <c r="BA189" s="35" t="s">
        <v>2002</v>
      </c>
      <c r="BB189" s="29" t="s">
        <v>2333</v>
      </c>
      <c r="BC189" s="29" t="s">
        <v>2004</v>
      </c>
      <c r="BD189" s="29" t="s">
        <v>1804</v>
      </c>
      <c r="BE189" s="29" t="s">
        <v>193</v>
      </c>
      <c r="BF189" s="29" t="s">
        <v>1919</v>
      </c>
      <c r="BG189" s="29" t="s">
        <v>2400</v>
      </c>
      <c r="BH189" s="29" t="s">
        <v>2401</v>
      </c>
      <c r="BI189" s="35"/>
      <c r="BJ189" s="35"/>
      <c r="BK189" s="29" t="str" cm="1">
        <f t="array" ref="BK189">_xlfn.UNIQUE(MID(BB189,16,14))</f>
        <v>U012UNA01UH100</v>
      </c>
    </row>
    <row r="190" spans="1:63" x14ac:dyDescent="0.3">
      <c r="A190" s="29" t="s">
        <v>2393</v>
      </c>
      <c r="B190" s="36" t="str">
        <f t="shared" si="10"/>
        <v>G01NHE01BL001-BL02</v>
      </c>
      <c r="C190" s="33" t="s">
        <v>2402</v>
      </c>
      <c r="D190" s="34" t="str">
        <f t="shared" si="11"/>
        <v>ELY1 O2 TRT LVL MEAS LVL2 ANALOG1</v>
      </c>
      <c r="E190" s="31">
        <f t="shared" si="12"/>
        <v>33</v>
      </c>
      <c r="F190" s="32" t="str">
        <f t="shared" si="13"/>
        <v>ELECTROLYSIS SYSTEM ELECTROLYSIS ARRAY 1 O2 TREATMENT O2 TREATMENT SYSTEM LEVEL MEASUREMENT SYSTEM LEVEL MEASUREMENT SYSTEM 1 O2 WATER LEVEL MEASUREMENT ANALOG PROCESS SIGNAL</v>
      </c>
      <c r="G190" s="29" t="s">
        <v>1614</v>
      </c>
      <c r="H190" s="29" t="s">
        <v>1615</v>
      </c>
      <c r="I190" s="29" t="str">
        <f t="shared" si="14"/>
        <v>01</v>
      </c>
      <c r="J190" s="29" t="s">
        <v>1616</v>
      </c>
      <c r="K190" s="29" t="s">
        <v>2395</v>
      </c>
      <c r="L190" s="29" t="s">
        <v>2396</v>
      </c>
      <c r="M190" s="29" t="s">
        <v>1619</v>
      </c>
      <c r="N190" s="29" t="s">
        <v>2397</v>
      </c>
      <c r="O190" s="29" t="s">
        <v>2325</v>
      </c>
      <c r="P190" s="29" t="s">
        <v>2326</v>
      </c>
      <c r="Q190" s="29" t="s">
        <v>1623</v>
      </c>
      <c r="R190" s="29" t="s">
        <v>2327</v>
      </c>
      <c r="S190" s="29" t="s">
        <v>2337</v>
      </c>
      <c r="T190" s="29" t="s">
        <v>2398</v>
      </c>
      <c r="U190" s="29" t="s">
        <v>193</v>
      </c>
      <c r="V190" s="29" t="s">
        <v>1083</v>
      </c>
      <c r="W190" s="35" t="s">
        <v>1628</v>
      </c>
      <c r="X190" s="35" t="s">
        <v>2399</v>
      </c>
      <c r="Y190" s="35" t="s">
        <v>2329</v>
      </c>
      <c r="Z190" s="35" t="s">
        <v>2338</v>
      </c>
      <c r="AA190" s="35" t="s">
        <v>1666</v>
      </c>
      <c r="AB190" s="29" t="s">
        <v>2337</v>
      </c>
      <c r="AC190" s="35" t="s">
        <v>1633</v>
      </c>
      <c r="AD190" s="35" t="s">
        <v>1668</v>
      </c>
      <c r="AE190" s="35" t="s">
        <v>1668</v>
      </c>
      <c r="AF190" s="35" t="s">
        <v>1635</v>
      </c>
      <c r="AG190" s="35" t="s">
        <v>1670</v>
      </c>
      <c r="AI190" s="35"/>
      <c r="AJ190" s="35" t="s">
        <v>1671</v>
      </c>
      <c r="AK190" s="35" t="s">
        <v>1672</v>
      </c>
      <c r="AL190" s="29" t="s">
        <v>1673</v>
      </c>
      <c r="AM190" s="35" t="s">
        <v>2331</v>
      </c>
      <c r="AN190" s="35" t="s">
        <v>2332</v>
      </c>
      <c r="AO190" s="35"/>
      <c r="AP190" s="35"/>
      <c r="AQ190" s="35"/>
      <c r="AR190" s="29" t="s">
        <v>1756</v>
      </c>
      <c r="AS190" s="35"/>
      <c r="AT190" s="29" t="s">
        <v>1640</v>
      </c>
      <c r="AU190" s="35"/>
      <c r="AV190" s="29" t="s">
        <v>1641</v>
      </c>
      <c r="AW190" s="35"/>
      <c r="AX190" s="29" t="s">
        <v>1674</v>
      </c>
      <c r="AY190" s="35"/>
      <c r="AZ190" s="35" t="s">
        <v>2339</v>
      </c>
      <c r="BA190" s="35"/>
      <c r="BB190" s="29" t="s">
        <v>2340</v>
      </c>
      <c r="BC190" s="29" t="s">
        <v>1900</v>
      </c>
      <c r="BD190" s="29" t="s">
        <v>1804</v>
      </c>
      <c r="BE190" s="29" t="s">
        <v>1805</v>
      </c>
      <c r="BF190" s="29" t="s">
        <v>2016</v>
      </c>
      <c r="BG190" s="29" t="s">
        <v>2403</v>
      </c>
      <c r="BH190" s="29" t="s">
        <v>2401</v>
      </c>
      <c r="BI190" s="35"/>
      <c r="BJ190" s="35"/>
      <c r="BK190" s="29" t="str" cm="1">
        <f t="array" ref="BK190">_xlfn.UNIQUE(MID(BB190,16,14))</f>
        <v>U012UNA01UH100</v>
      </c>
    </row>
    <row r="191" spans="1:63" x14ac:dyDescent="0.3">
      <c r="A191" s="29" t="s">
        <v>1612</v>
      </c>
      <c r="B191" s="36" t="str">
        <f t="shared" si="10"/>
        <v>G01NHC01BQ001-BF02</v>
      </c>
      <c r="C191" s="33" t="s">
        <v>2404</v>
      </c>
      <c r="D191" s="34" t="str">
        <f t="shared" si="11"/>
        <v>ELY1 H2 TRT QUAL FLOW2 CB ON/OPN/MAX1</v>
      </c>
      <c r="E191" s="31">
        <f t="shared" si="12"/>
        <v>37</v>
      </c>
      <c r="F191" s="32" t="str">
        <f t="shared" si="13"/>
        <v>ELECTROLYSIS SYSTEM ELECTROLYSIS ARRAY 1 H2 TREATMENT H2 TREATMENT SYSTEM QUALITY MEASURING SYSTEM O2 IN H2 MEASURING SYSTEM 10301; FLOWMETER GENERAL CHECK BACK ON/OPEN // LIMIT VALUE &gt;MAX 1</v>
      </c>
      <c r="G191" s="29" t="s">
        <v>1614</v>
      </c>
      <c r="H191" s="29" t="s">
        <v>1615</v>
      </c>
      <c r="I191" s="29" t="str">
        <f t="shared" si="14"/>
        <v>01</v>
      </c>
      <c r="J191" s="29" t="s">
        <v>1616</v>
      </c>
      <c r="K191" s="29" t="s">
        <v>1617</v>
      </c>
      <c r="L191" s="29" t="s">
        <v>1618</v>
      </c>
      <c r="M191" s="29" t="s">
        <v>1619</v>
      </c>
      <c r="N191" s="29" t="s">
        <v>1620</v>
      </c>
      <c r="O191" s="29" t="s">
        <v>1621</v>
      </c>
      <c r="P191" s="29" t="s">
        <v>1622</v>
      </c>
      <c r="Q191" s="29" t="s">
        <v>1623</v>
      </c>
      <c r="R191" s="29" t="s">
        <v>1624</v>
      </c>
      <c r="S191" s="29" t="s">
        <v>2350</v>
      </c>
      <c r="T191" s="29" t="s">
        <v>1626</v>
      </c>
      <c r="U191" s="29" t="s">
        <v>573</v>
      </c>
      <c r="V191" s="29" t="s">
        <v>2344</v>
      </c>
      <c r="W191" s="35" t="s">
        <v>1628</v>
      </c>
      <c r="X191" s="35" t="s">
        <v>1629</v>
      </c>
      <c r="Y191" s="35" t="s">
        <v>1630</v>
      </c>
      <c r="Z191" s="35" t="s">
        <v>2351</v>
      </c>
      <c r="AA191" s="35" t="s">
        <v>2345</v>
      </c>
      <c r="AB191" s="29" t="s">
        <v>2350</v>
      </c>
      <c r="AC191" s="35" t="s">
        <v>1633</v>
      </c>
      <c r="AD191" s="35" t="s">
        <v>1634</v>
      </c>
      <c r="AE191" s="35" t="s">
        <v>1634</v>
      </c>
      <c r="AF191" s="35" t="s">
        <v>1635</v>
      </c>
      <c r="AG191" s="35" t="s">
        <v>1636</v>
      </c>
      <c r="AI191" s="35"/>
      <c r="AJ191" s="35" t="s">
        <v>1637</v>
      </c>
      <c r="AK191" s="35" t="s">
        <v>1672</v>
      </c>
      <c r="AL191" s="29" t="s">
        <v>1639</v>
      </c>
      <c r="AM191" s="35"/>
      <c r="AN191" s="35"/>
      <c r="AO191" s="35"/>
      <c r="AP191" s="35"/>
      <c r="AQ191" s="35"/>
      <c r="AS191" s="35"/>
      <c r="AT191" s="29" t="s">
        <v>1640</v>
      </c>
      <c r="AU191" s="35"/>
      <c r="AV191" s="29" t="s">
        <v>1641</v>
      </c>
      <c r="AW191" s="35"/>
      <c r="AY191" s="35"/>
      <c r="AZ191" s="35" t="s">
        <v>1642</v>
      </c>
      <c r="BA191" s="35"/>
      <c r="BB191" s="29" t="s">
        <v>2346</v>
      </c>
      <c r="BC191" s="29" t="s">
        <v>2347</v>
      </c>
      <c r="BD191" s="29" t="s">
        <v>2348</v>
      </c>
      <c r="BE191" s="29" t="s">
        <v>1805</v>
      </c>
      <c r="BF191" s="29" t="s">
        <v>1915</v>
      </c>
      <c r="BG191" s="29" t="s">
        <v>2354</v>
      </c>
      <c r="BH191" s="29" t="s">
        <v>1648</v>
      </c>
      <c r="BI191" s="35"/>
      <c r="BJ191" s="35"/>
      <c r="BK191" s="29" t="str" cm="1">
        <f t="array" ref="BK191">_xlfn.UNIQUE(MID(BB191,16,14))</f>
        <v>U012UNA01UH100</v>
      </c>
    </row>
    <row r="192" spans="1:63" x14ac:dyDescent="0.3">
      <c r="A192" s="29" t="s">
        <v>1612</v>
      </c>
      <c r="B192" s="36" t="str">
        <f t="shared" si="10"/>
        <v>G01NHC01BQ001-BF10</v>
      </c>
      <c r="C192" s="33" t="s">
        <v>2405</v>
      </c>
      <c r="D192" s="34" t="str">
        <f t="shared" si="11"/>
        <v>ELY1 H2 TRT QUAL FLOW1 CB ON/OPN/MIN1</v>
      </c>
      <c r="E192" s="31">
        <f t="shared" si="12"/>
        <v>37</v>
      </c>
      <c r="F192" s="32" t="str">
        <f t="shared" si="13"/>
        <v>ELECTROLYSIS SYSTEM ELECTROLYSIS ARRAY 1 H2 TREATMENT H2 TREATMENT SYSTEM QUALITY MEASURING SYSTEM O2 IN H2 MEASURING SYSTEM 10301; FLOWMETER GENERAL CHECK BACK OFF/CLOSED // LIMIT VALUE &gt;MIN 1</v>
      </c>
      <c r="G192" s="29" t="s">
        <v>1614</v>
      </c>
      <c r="H192" s="29" t="s">
        <v>1615</v>
      </c>
      <c r="I192" s="29" t="str">
        <f t="shared" si="14"/>
        <v>01</v>
      </c>
      <c r="J192" s="29" t="s">
        <v>1616</v>
      </c>
      <c r="K192" s="29" t="s">
        <v>1617</v>
      </c>
      <c r="L192" s="29" t="s">
        <v>1618</v>
      </c>
      <c r="M192" s="29" t="s">
        <v>1619</v>
      </c>
      <c r="N192" s="29" t="s">
        <v>1620</v>
      </c>
      <c r="O192" s="29" t="s">
        <v>1621</v>
      </c>
      <c r="P192" s="29" t="s">
        <v>1622</v>
      </c>
      <c r="Q192" s="29" t="s">
        <v>1623</v>
      </c>
      <c r="R192" s="29" t="s">
        <v>1624</v>
      </c>
      <c r="S192" s="29" t="s">
        <v>1832</v>
      </c>
      <c r="T192" s="29" t="s">
        <v>1626</v>
      </c>
      <c r="U192" s="29" t="s">
        <v>371</v>
      </c>
      <c r="V192" s="29" t="s">
        <v>1627</v>
      </c>
      <c r="W192" s="35" t="s">
        <v>1628</v>
      </c>
      <c r="X192" s="35" t="s">
        <v>1629</v>
      </c>
      <c r="Y192" s="35" t="s">
        <v>1630</v>
      </c>
      <c r="Z192" s="35" t="s">
        <v>1631</v>
      </c>
      <c r="AA192" s="35" t="s">
        <v>1632</v>
      </c>
      <c r="AB192" s="29" t="s">
        <v>1832</v>
      </c>
      <c r="AC192" s="35" t="s">
        <v>1633</v>
      </c>
      <c r="AD192" s="35" t="s">
        <v>1634</v>
      </c>
      <c r="AE192" s="35" t="s">
        <v>1634</v>
      </c>
      <c r="AF192" s="35" t="s">
        <v>1635</v>
      </c>
      <c r="AG192" s="35" t="s">
        <v>1636</v>
      </c>
      <c r="AI192" s="35"/>
      <c r="AJ192" s="35" t="s">
        <v>1637</v>
      </c>
      <c r="AK192" s="35" t="s">
        <v>1672</v>
      </c>
      <c r="AL192" s="29" t="s">
        <v>2406</v>
      </c>
      <c r="AM192" s="35"/>
      <c r="AN192" s="35"/>
      <c r="AO192" s="35"/>
      <c r="AP192" s="35"/>
      <c r="AQ192" s="35"/>
      <c r="AS192" s="35"/>
      <c r="AU192" s="35"/>
      <c r="AV192" s="29" t="s">
        <v>1641</v>
      </c>
      <c r="AW192" s="35"/>
      <c r="AY192" s="35"/>
      <c r="AZ192" s="35"/>
      <c r="BA192" s="35"/>
      <c r="BB192" s="29" t="s">
        <v>2346</v>
      </c>
      <c r="BC192" s="29" t="s">
        <v>2347</v>
      </c>
      <c r="BD192" s="29" t="s">
        <v>2407</v>
      </c>
      <c r="BE192" s="29" t="s">
        <v>1805</v>
      </c>
      <c r="BF192" s="29" t="s">
        <v>1919</v>
      </c>
      <c r="BG192" s="29" t="s">
        <v>2408</v>
      </c>
      <c r="BH192" s="29" t="s">
        <v>1648</v>
      </c>
      <c r="BI192" s="35"/>
      <c r="BJ192" s="35"/>
      <c r="BK192" s="29" t="str" cm="1">
        <f t="array" ref="BK192">_xlfn.UNIQUE(MID(BB192,16,14))</f>
        <v>U012UNA01UH100</v>
      </c>
    </row>
    <row r="193" spans="1:63" x14ac:dyDescent="0.3">
      <c r="A193" s="29" t="s">
        <v>2409</v>
      </c>
      <c r="B193" s="36" t="str">
        <f t="shared" si="10"/>
        <v>G01NHE01GT001-BT01</v>
      </c>
      <c r="C193" s="33" t="s">
        <v>2410</v>
      </c>
      <c r="D193" s="34" t="str">
        <f t="shared" si="11"/>
        <v>ELY1 O2 TRT LEAD OFF TEMP1 ANALOG1</v>
      </c>
      <c r="E193" s="31">
        <f t="shared" si="12"/>
        <v>34</v>
      </c>
      <c r="F193" s="32" t="str">
        <f t="shared" si="13"/>
        <v>ELECTROLYSIS SYSTEM ELECTROLYSIS ARRAY 1 O2 TREATMENT O2 TREATMENT SYSTEM GAS LEAD OFF SYSTEMS GAS LEAD OFF SYSTEM 1 TEMPERATURE MEASUREMENT - GAS COOLER O2 OUTLET ANALOG PROCESS SIGNAL</v>
      </c>
      <c r="G193" s="29" t="s">
        <v>1614</v>
      </c>
      <c r="H193" s="29" t="s">
        <v>1615</v>
      </c>
      <c r="I193" s="29" t="str">
        <f t="shared" si="14"/>
        <v>01</v>
      </c>
      <c r="J193" s="29" t="s">
        <v>1616</v>
      </c>
      <c r="K193" s="29" t="s">
        <v>2395</v>
      </c>
      <c r="L193" s="29" t="s">
        <v>2396</v>
      </c>
      <c r="M193" s="29" t="s">
        <v>1619</v>
      </c>
      <c r="N193" s="29" t="s">
        <v>2397</v>
      </c>
      <c r="O193" s="29" t="s">
        <v>2357</v>
      </c>
      <c r="P193" s="29" t="s">
        <v>2358</v>
      </c>
      <c r="Q193" s="29" t="s">
        <v>1623</v>
      </c>
      <c r="R193" s="29" t="s">
        <v>2359</v>
      </c>
      <c r="S193" s="29" t="s">
        <v>1715</v>
      </c>
      <c r="T193" s="29" t="s">
        <v>2411</v>
      </c>
      <c r="U193" s="29" t="s">
        <v>193</v>
      </c>
      <c r="V193" s="29" t="s">
        <v>1083</v>
      </c>
      <c r="W193" s="35" t="s">
        <v>1628</v>
      </c>
      <c r="X193" s="35" t="s">
        <v>2399</v>
      </c>
      <c r="Y193" s="35" t="s">
        <v>2361</v>
      </c>
      <c r="Z193" s="35" t="s">
        <v>1719</v>
      </c>
      <c r="AA193" s="35" t="s">
        <v>1666</v>
      </c>
      <c r="AB193" s="29" t="s">
        <v>1715</v>
      </c>
      <c r="AC193" s="35" t="s">
        <v>1633</v>
      </c>
      <c r="AD193" s="35" t="s">
        <v>1668</v>
      </c>
      <c r="AE193" s="35" t="s">
        <v>1668</v>
      </c>
      <c r="AF193" s="35" t="s">
        <v>1635</v>
      </c>
      <c r="AG193" s="35" t="s">
        <v>1670</v>
      </c>
      <c r="AI193" s="35"/>
      <c r="AJ193" s="35" t="s">
        <v>1671</v>
      </c>
      <c r="AK193" s="35" t="s">
        <v>1672</v>
      </c>
      <c r="AL193" s="29" t="s">
        <v>1720</v>
      </c>
      <c r="AM193" s="35" t="s">
        <v>1721</v>
      </c>
      <c r="AN193" s="35" t="s">
        <v>1967</v>
      </c>
      <c r="AO193" s="35"/>
      <c r="AP193" s="35"/>
      <c r="AQ193" s="35"/>
      <c r="AS193" s="35"/>
      <c r="AU193" s="35"/>
      <c r="AW193" s="35"/>
      <c r="AY193" s="35"/>
      <c r="AZ193" s="35"/>
      <c r="BA193" s="35"/>
      <c r="BB193" s="29" t="s">
        <v>2362</v>
      </c>
      <c r="BC193" s="29" t="s">
        <v>1900</v>
      </c>
      <c r="BD193" s="29" t="s">
        <v>1804</v>
      </c>
      <c r="BE193" s="29" t="s">
        <v>1805</v>
      </c>
      <c r="BF193" s="29" t="s">
        <v>1915</v>
      </c>
      <c r="BG193" s="29" t="s">
        <v>2412</v>
      </c>
      <c r="BH193" s="29" t="s">
        <v>2413</v>
      </c>
      <c r="BI193" s="35"/>
      <c r="BJ193" s="35"/>
      <c r="BK193" s="29" t="str" cm="1">
        <f t="array" ref="BK193">_xlfn.UNIQUE(MID(BB193,16,14))</f>
        <v>U012UNA01UH100</v>
      </c>
    </row>
    <row r="194" spans="1:63" x14ac:dyDescent="0.3">
      <c r="A194" s="29" t="s">
        <v>2409</v>
      </c>
      <c r="B194" s="36" t="str">
        <f t="shared" ref="B194:B257" si="15">RIGHT(A194,LEN(A194)-1)&amp;S194</f>
        <v>G01NHE01GT001-QN01</v>
      </c>
      <c r="C194" s="33" t="s">
        <v>2414</v>
      </c>
      <c r="D194" s="34" t="str">
        <f t="shared" ref="D194:D257" si="16">UPPER(W194&amp;" "&amp;X194&amp;" "&amp;Y194&amp;" "&amp;Z194&amp;" "&amp;AA194)</f>
        <v>ELY1 O2 TRT LEAD OFF CV1 ANALOG1</v>
      </c>
      <c r="E194" s="31">
        <f t="shared" ref="E194:E257" si="17">LEN(D194)</f>
        <v>32</v>
      </c>
      <c r="F194" s="32" t="str">
        <f t="shared" ref="F194:F257" si="18">UPPER(H194&amp;" "&amp;J194&amp;" "&amp;L194&amp;" "&amp;N194&amp;" "&amp;P194&amp;" "&amp;R194&amp;" "&amp;T194&amp;" "&amp;V194)</f>
        <v>ELECTROLYSIS SYSTEM ELECTROLYSIS ARRAY 1 O2 TREATMENT O2 TREATMENT SYSTEM GAS LEAD OFF SYSTEMS GAS LEAD OFF SYSTEM 1 CONTROL VALVE - O2 BLOW OFF ANALOG PROCESS SIGNAL</v>
      </c>
      <c r="G194" s="29" t="s">
        <v>1614</v>
      </c>
      <c r="H194" s="29" t="s">
        <v>1615</v>
      </c>
      <c r="I194" s="29" t="str">
        <f t="shared" ref="I194:I257" si="19">RIGHT(LEFT(A194,4),2)</f>
        <v>01</v>
      </c>
      <c r="J194" s="29" t="s">
        <v>1616</v>
      </c>
      <c r="K194" s="29" t="s">
        <v>2395</v>
      </c>
      <c r="L194" s="29" t="s">
        <v>2396</v>
      </c>
      <c r="M194" s="29" t="s">
        <v>1619</v>
      </c>
      <c r="N194" s="29" t="s">
        <v>2397</v>
      </c>
      <c r="O194" s="29" t="s">
        <v>2357</v>
      </c>
      <c r="P194" s="29" t="s">
        <v>2358</v>
      </c>
      <c r="Q194" s="29" t="s">
        <v>1623</v>
      </c>
      <c r="R194" s="29" t="s">
        <v>2359</v>
      </c>
      <c r="S194" s="29" t="s">
        <v>1800</v>
      </c>
      <c r="T194" s="29" t="s">
        <v>2415</v>
      </c>
      <c r="U194" s="29" t="s">
        <v>193</v>
      </c>
      <c r="V194" s="29" t="s">
        <v>1083</v>
      </c>
      <c r="W194" s="35" t="s">
        <v>1628</v>
      </c>
      <c r="X194" s="35" t="s">
        <v>2399</v>
      </c>
      <c r="Y194" s="35" t="s">
        <v>2361</v>
      </c>
      <c r="Z194" s="35" t="s">
        <v>1802</v>
      </c>
      <c r="AA194" s="35" t="s">
        <v>1666</v>
      </c>
      <c r="AB194" s="29" t="s">
        <v>2015</v>
      </c>
      <c r="AC194" s="35" t="s">
        <v>1633</v>
      </c>
      <c r="AD194" s="35" t="s">
        <v>1668</v>
      </c>
      <c r="AE194" s="35" t="s">
        <v>1668</v>
      </c>
      <c r="AF194" s="35" t="s">
        <v>1635</v>
      </c>
      <c r="AG194" s="35" t="s">
        <v>1670</v>
      </c>
      <c r="AI194" s="35"/>
      <c r="AJ194" s="35" t="s">
        <v>1671</v>
      </c>
      <c r="AK194" s="35" t="s">
        <v>1672</v>
      </c>
      <c r="AL194" s="29" t="s">
        <v>1803</v>
      </c>
      <c r="AM194" s="35"/>
      <c r="AN194" s="35"/>
      <c r="AO194" s="35"/>
      <c r="AP194" s="35"/>
      <c r="AQ194" s="35"/>
      <c r="AS194" s="35"/>
      <c r="AU194" s="35"/>
      <c r="AW194" s="35"/>
      <c r="AY194" s="35"/>
      <c r="AZ194" s="35"/>
      <c r="BA194" s="35"/>
      <c r="BB194" s="29" t="s">
        <v>2362</v>
      </c>
      <c r="BC194" s="29" t="s">
        <v>1900</v>
      </c>
      <c r="BD194" s="29" t="s">
        <v>1804</v>
      </c>
      <c r="BE194" s="29" t="s">
        <v>1805</v>
      </c>
      <c r="BF194" s="29" t="s">
        <v>1969</v>
      </c>
      <c r="BG194" s="29" t="s">
        <v>2416</v>
      </c>
      <c r="BH194" s="29" t="s">
        <v>2413</v>
      </c>
      <c r="BI194" s="35"/>
      <c r="BJ194" s="35"/>
      <c r="BK194" s="29" t="str" cm="1">
        <f t="array" ref="BK194">_xlfn.UNIQUE(MID(BB194,16,14))</f>
        <v>U012UNA01UH100</v>
      </c>
    </row>
    <row r="195" spans="1:63" x14ac:dyDescent="0.3">
      <c r="A195" s="29" t="s">
        <v>2417</v>
      </c>
      <c r="B195" s="36" t="str">
        <f t="shared" si="15"/>
        <v>G01NHE01HP001-BP01</v>
      </c>
      <c r="C195" s="33" t="s">
        <v>2418</v>
      </c>
      <c r="D195" s="34" t="str">
        <f t="shared" si="16"/>
        <v>ELY1 O2 TRT SYS 1 PRES1 ANALOG1</v>
      </c>
      <c r="E195" s="31">
        <f t="shared" si="17"/>
        <v>31</v>
      </c>
      <c r="F195" s="32" t="str">
        <f t="shared" si="18"/>
        <v>ELECTROLYSIS SYSTEM ELECTROLYSIS ARRAY 1 O2 TREATMENT O2 TREATMENT SYSTEM GAS COOLING SYSTEMS GAS COOLING SYSTEM 1 PRESSURE - O2 HEADER ANALOG PROCESS SIGNAL</v>
      </c>
      <c r="G195" s="29" t="s">
        <v>1614</v>
      </c>
      <c r="H195" s="29" t="s">
        <v>1615</v>
      </c>
      <c r="I195" s="29" t="str">
        <f t="shared" si="19"/>
        <v>01</v>
      </c>
      <c r="J195" s="29" t="s">
        <v>1616</v>
      </c>
      <c r="K195" s="29" t="s">
        <v>2395</v>
      </c>
      <c r="L195" s="29" t="s">
        <v>2396</v>
      </c>
      <c r="M195" s="29" t="s">
        <v>1619</v>
      </c>
      <c r="N195" s="29" t="s">
        <v>2397</v>
      </c>
      <c r="O195" s="29" t="s">
        <v>2376</v>
      </c>
      <c r="P195" s="29" t="s">
        <v>2377</v>
      </c>
      <c r="Q195" s="29" t="s">
        <v>1623</v>
      </c>
      <c r="R195" s="29" t="s">
        <v>2378</v>
      </c>
      <c r="S195" s="29" t="s">
        <v>1681</v>
      </c>
      <c r="T195" s="29" t="s">
        <v>2419</v>
      </c>
      <c r="U195" s="29" t="s">
        <v>193</v>
      </c>
      <c r="V195" s="29" t="s">
        <v>1083</v>
      </c>
      <c r="W195" s="35" t="s">
        <v>1628</v>
      </c>
      <c r="X195" s="35" t="s">
        <v>2399</v>
      </c>
      <c r="Y195" s="35" t="s">
        <v>2380</v>
      </c>
      <c r="Z195" s="35" t="s">
        <v>1684</v>
      </c>
      <c r="AA195" s="35" t="s">
        <v>1666</v>
      </c>
      <c r="AB195" s="29" t="s">
        <v>1681</v>
      </c>
      <c r="AC195" s="35" t="s">
        <v>1633</v>
      </c>
      <c r="AD195" s="35" t="s">
        <v>1668</v>
      </c>
      <c r="AE195" s="35" t="s">
        <v>1668</v>
      </c>
      <c r="AF195" s="35" t="s">
        <v>1635</v>
      </c>
      <c r="AG195" s="35" t="s">
        <v>1670</v>
      </c>
      <c r="AI195" s="35"/>
      <c r="AJ195" s="35" t="s">
        <v>1671</v>
      </c>
      <c r="AK195" s="35" t="s">
        <v>1638</v>
      </c>
      <c r="AL195" s="29" t="s">
        <v>1685</v>
      </c>
      <c r="AM195" s="35" t="s">
        <v>2381</v>
      </c>
      <c r="AN195" s="35" t="s">
        <v>2382</v>
      </c>
      <c r="AO195" s="35"/>
      <c r="AP195" s="35"/>
      <c r="AQ195" s="35"/>
      <c r="AS195" s="35"/>
      <c r="AU195" s="35"/>
      <c r="AV195" s="29" t="s">
        <v>2001</v>
      </c>
      <c r="AW195" s="35"/>
      <c r="AY195" s="35"/>
      <c r="AZ195" s="35" t="s">
        <v>1642</v>
      </c>
      <c r="BA195" s="35" t="s">
        <v>2002</v>
      </c>
      <c r="BB195" s="29" t="s">
        <v>2420</v>
      </c>
      <c r="BC195" s="29" t="s">
        <v>2004</v>
      </c>
      <c r="BD195" s="29" t="s">
        <v>1804</v>
      </c>
      <c r="BE195" s="29" t="s">
        <v>193</v>
      </c>
      <c r="BF195" s="29" t="s">
        <v>1905</v>
      </c>
      <c r="BG195" s="29" t="s">
        <v>2421</v>
      </c>
      <c r="BH195" s="29" t="s">
        <v>2401</v>
      </c>
      <c r="BI195" s="35"/>
      <c r="BJ195" s="35"/>
      <c r="BK195" s="29" t="str" cm="1">
        <f t="array" ref="BK195">_xlfn.UNIQUE(MID(BB195,16,14))</f>
        <v>U012UNA01UH100</v>
      </c>
    </row>
    <row r="196" spans="1:63" x14ac:dyDescent="0.3">
      <c r="A196" s="29" t="s">
        <v>2417</v>
      </c>
      <c r="B196" s="36" t="str">
        <f t="shared" si="15"/>
        <v>G01NHE01HP001-BP02</v>
      </c>
      <c r="C196" s="33" t="s">
        <v>2422</v>
      </c>
      <c r="D196" s="34" t="str">
        <f t="shared" si="16"/>
        <v>ELY1 O2 TRT SYS 1 PRES2 ANALOG1</v>
      </c>
      <c r="E196" s="31">
        <f t="shared" si="17"/>
        <v>31</v>
      </c>
      <c r="F196" s="32" t="str">
        <f t="shared" si="18"/>
        <v>ELECTROLYSIS SYSTEM ELECTROLYSIS ARRAY 1 O2 TREATMENT O2 TREATMENT SYSTEM GAS COOLING SYSTEMS GAS COOLING SYSTEM 1 PRESSURE - O2 HEADER ANALOG PROCESS SIGNAL</v>
      </c>
      <c r="G196" s="29" t="s">
        <v>1614</v>
      </c>
      <c r="H196" s="29" t="s">
        <v>1615</v>
      </c>
      <c r="I196" s="29" t="str">
        <f t="shared" si="19"/>
        <v>01</v>
      </c>
      <c r="J196" s="29" t="s">
        <v>1616</v>
      </c>
      <c r="K196" s="29" t="s">
        <v>2395</v>
      </c>
      <c r="L196" s="29" t="s">
        <v>2396</v>
      </c>
      <c r="M196" s="29" t="s">
        <v>1619</v>
      </c>
      <c r="N196" s="29" t="s">
        <v>2397</v>
      </c>
      <c r="O196" s="29" t="s">
        <v>2376</v>
      </c>
      <c r="P196" s="29" t="s">
        <v>2377</v>
      </c>
      <c r="Q196" s="29" t="s">
        <v>1623</v>
      </c>
      <c r="R196" s="29" t="s">
        <v>2378</v>
      </c>
      <c r="S196" s="29" t="s">
        <v>1758</v>
      </c>
      <c r="T196" s="29" t="s">
        <v>2419</v>
      </c>
      <c r="U196" s="29" t="s">
        <v>193</v>
      </c>
      <c r="V196" s="29" t="s">
        <v>1083</v>
      </c>
      <c r="W196" s="35" t="s">
        <v>1628</v>
      </c>
      <c r="X196" s="35" t="s">
        <v>2399</v>
      </c>
      <c r="Y196" s="35" t="s">
        <v>2380</v>
      </c>
      <c r="Z196" s="35" t="s">
        <v>1760</v>
      </c>
      <c r="AA196" s="35" t="s">
        <v>1666</v>
      </c>
      <c r="AB196" s="29" t="s">
        <v>1758</v>
      </c>
      <c r="AC196" s="35" t="s">
        <v>1633</v>
      </c>
      <c r="AD196" s="35" t="s">
        <v>1668</v>
      </c>
      <c r="AE196" s="35" t="s">
        <v>1668</v>
      </c>
      <c r="AF196" s="35" t="s">
        <v>1635</v>
      </c>
      <c r="AG196" s="35" t="s">
        <v>1670</v>
      </c>
      <c r="AI196" s="35"/>
      <c r="AJ196" s="35" t="s">
        <v>1671</v>
      </c>
      <c r="AK196" s="35" t="s">
        <v>1672</v>
      </c>
      <c r="AL196" s="29" t="s">
        <v>2386</v>
      </c>
      <c r="AM196" s="35" t="s">
        <v>2381</v>
      </c>
      <c r="AN196" s="35" t="s">
        <v>2382</v>
      </c>
      <c r="AO196" s="35"/>
      <c r="AP196" s="35"/>
      <c r="AQ196" s="35"/>
      <c r="AR196" s="29" t="s">
        <v>1756</v>
      </c>
      <c r="AS196" s="35"/>
      <c r="AT196" s="29" t="s">
        <v>1640</v>
      </c>
      <c r="AU196" s="35"/>
      <c r="AW196" s="35"/>
      <c r="AY196" s="35"/>
      <c r="AZ196" s="35"/>
      <c r="BA196" s="35"/>
      <c r="BB196" s="29" t="s">
        <v>2362</v>
      </c>
      <c r="BC196" s="29" t="s">
        <v>1900</v>
      </c>
      <c r="BD196" s="29" t="s">
        <v>1804</v>
      </c>
      <c r="BE196" s="29" t="s">
        <v>1805</v>
      </c>
      <c r="BF196" s="29" t="s">
        <v>1619</v>
      </c>
      <c r="BG196" s="29" t="s">
        <v>2423</v>
      </c>
      <c r="BH196" s="29" t="s">
        <v>2401</v>
      </c>
      <c r="BI196" s="35"/>
      <c r="BJ196" s="35"/>
      <c r="BK196" s="29" t="str" cm="1">
        <f t="array" ref="BK196">_xlfn.UNIQUE(MID(BB196,16,14))</f>
        <v>U012UNA01UH100</v>
      </c>
    </row>
    <row r="197" spans="1:63" x14ac:dyDescent="0.3">
      <c r="A197" s="29" t="s">
        <v>2417</v>
      </c>
      <c r="B197" s="36" t="str">
        <f t="shared" si="15"/>
        <v>G01NHE01HP001-BT01</v>
      </c>
      <c r="C197" s="33" t="s">
        <v>2424</v>
      </c>
      <c r="D197" s="34" t="str">
        <f t="shared" si="16"/>
        <v>ELY1 O2 TRT SYS 1 TEMP1 ANALOG1</v>
      </c>
      <c r="E197" s="31">
        <f t="shared" si="17"/>
        <v>31</v>
      </c>
      <c r="F197" s="32" t="str">
        <f t="shared" si="18"/>
        <v>ELECTROLYSIS SYSTEM ELECTROLYSIS ARRAY 1 O2 TREATMENT O2 TREATMENT SYSTEM GAS COOLING SYSTEMS GAS COOLING SYSTEM 1 TEMPERATURE GAS COOLER O2 INLET ANALOG PROCESS SIGNAL</v>
      </c>
      <c r="G197" s="29" t="s">
        <v>1614</v>
      </c>
      <c r="H197" s="29" t="s">
        <v>1615</v>
      </c>
      <c r="I197" s="29" t="str">
        <f t="shared" si="19"/>
        <v>01</v>
      </c>
      <c r="J197" s="29" t="s">
        <v>1616</v>
      </c>
      <c r="K197" s="29" t="s">
        <v>2395</v>
      </c>
      <c r="L197" s="29" t="s">
        <v>2396</v>
      </c>
      <c r="M197" s="29" t="s">
        <v>1619</v>
      </c>
      <c r="N197" s="29" t="s">
        <v>2397</v>
      </c>
      <c r="O197" s="29" t="s">
        <v>2376</v>
      </c>
      <c r="P197" s="29" t="s">
        <v>2377</v>
      </c>
      <c r="Q197" s="29" t="s">
        <v>1623</v>
      </c>
      <c r="R197" s="29" t="s">
        <v>2378</v>
      </c>
      <c r="S197" s="29" t="s">
        <v>1715</v>
      </c>
      <c r="T197" s="29" t="s">
        <v>2425</v>
      </c>
      <c r="U197" s="29" t="s">
        <v>193</v>
      </c>
      <c r="V197" s="29" t="s">
        <v>1083</v>
      </c>
      <c r="W197" s="35" t="s">
        <v>1628</v>
      </c>
      <c r="X197" s="35" t="s">
        <v>2399</v>
      </c>
      <c r="Y197" s="35" t="s">
        <v>2380</v>
      </c>
      <c r="Z197" s="35" t="s">
        <v>1719</v>
      </c>
      <c r="AA197" s="35" t="s">
        <v>1666</v>
      </c>
      <c r="AB197" s="29" t="s">
        <v>1715</v>
      </c>
      <c r="AC197" s="35" t="s">
        <v>1633</v>
      </c>
      <c r="AD197" s="35" t="s">
        <v>1668</v>
      </c>
      <c r="AE197" s="35" t="s">
        <v>1668</v>
      </c>
      <c r="AF197" s="35" t="s">
        <v>1635</v>
      </c>
      <c r="AG197" s="35" t="s">
        <v>1670</v>
      </c>
      <c r="AI197" s="35"/>
      <c r="AJ197" s="35" t="s">
        <v>1671</v>
      </c>
      <c r="AK197" s="35" t="s">
        <v>1672</v>
      </c>
      <c r="AL197" s="29" t="s">
        <v>1706</v>
      </c>
      <c r="AM197" s="35" t="s">
        <v>1721</v>
      </c>
      <c r="AN197" s="35" t="s">
        <v>1967</v>
      </c>
      <c r="AO197" s="35"/>
      <c r="AP197" s="35"/>
      <c r="AQ197" s="35"/>
      <c r="AS197" s="35"/>
      <c r="AU197" s="35"/>
      <c r="AW197" s="35"/>
      <c r="AY197" s="35"/>
      <c r="AZ197" s="35"/>
      <c r="BA197" s="35"/>
      <c r="BB197" s="29" t="s">
        <v>2362</v>
      </c>
      <c r="BC197" s="29" t="s">
        <v>1900</v>
      </c>
      <c r="BD197" s="29" t="s">
        <v>1804</v>
      </c>
      <c r="BE197" s="29" t="s">
        <v>1805</v>
      </c>
      <c r="BF197" s="29" t="s">
        <v>1909</v>
      </c>
      <c r="BG197" s="29" t="s">
        <v>2426</v>
      </c>
      <c r="BH197" s="29" t="s">
        <v>2413</v>
      </c>
      <c r="BI197" s="35"/>
      <c r="BJ197" s="35"/>
      <c r="BK197" s="29" t="str" cm="1">
        <f t="array" ref="BK197">_xlfn.UNIQUE(MID(BB197,16,14))</f>
        <v>U012UNA01UH100</v>
      </c>
    </row>
    <row r="198" spans="1:63" x14ac:dyDescent="0.3">
      <c r="A198" s="29" t="s">
        <v>2427</v>
      </c>
      <c r="B198" s="36" t="str">
        <f t="shared" si="15"/>
        <v>G01NHG01QM001-QN01</v>
      </c>
      <c r="C198" s="33" t="s">
        <v>2428</v>
      </c>
      <c r="D198" s="34" t="str">
        <f t="shared" si="16"/>
        <v>ELY1 PROC WTR SUP DIST CV1 ANALOG1</v>
      </c>
      <c r="E198" s="31">
        <f t="shared" si="17"/>
        <v>34</v>
      </c>
      <c r="F198" s="32" t="str">
        <f t="shared" si="18"/>
        <v>ELECTROLYSIS SYSTEM ELECTROLYSIS ARRAY 1 WATER SUPPLY SYSTEMS PROCESS WATER SUPPLY SYSTEM PROCESS WATER DISTRIBUTION SYSTEMS PROCESS WATER DISTRIBUTION SYSTEM CONTROL VALVE - DEMIN WATER SUPPLY ANALOG PROCESS SIGNAL</v>
      </c>
      <c r="G198" s="29" t="s">
        <v>1614</v>
      </c>
      <c r="H198" s="29" t="s">
        <v>1615</v>
      </c>
      <c r="I198" s="29" t="str">
        <f t="shared" si="19"/>
        <v>01</v>
      </c>
      <c r="J198" s="29" t="s">
        <v>1616</v>
      </c>
      <c r="K198" s="29" t="s">
        <v>2429</v>
      </c>
      <c r="L198" s="29" t="s">
        <v>2430</v>
      </c>
      <c r="M198" s="29" t="s">
        <v>1619</v>
      </c>
      <c r="N198" s="29" t="s">
        <v>2431</v>
      </c>
      <c r="O198" s="29" t="s">
        <v>1811</v>
      </c>
      <c r="P198" s="29" t="s">
        <v>2432</v>
      </c>
      <c r="Q198" s="29" t="s">
        <v>1623</v>
      </c>
      <c r="R198" s="29" t="s">
        <v>2433</v>
      </c>
      <c r="S198" s="29" t="s">
        <v>1800</v>
      </c>
      <c r="T198" s="29" t="s">
        <v>2434</v>
      </c>
      <c r="U198" s="29" t="s">
        <v>193</v>
      </c>
      <c r="V198" s="29" t="s">
        <v>1083</v>
      </c>
      <c r="W198" s="35" t="s">
        <v>1628</v>
      </c>
      <c r="X198" s="35" t="s">
        <v>2435</v>
      </c>
      <c r="Y198" s="35" t="s">
        <v>1816</v>
      </c>
      <c r="Z198" s="35" t="s">
        <v>1802</v>
      </c>
      <c r="AA198" s="35" t="s">
        <v>1666</v>
      </c>
      <c r="AB198" s="29" t="s">
        <v>2015</v>
      </c>
      <c r="AC198" s="35" t="s">
        <v>1633</v>
      </c>
      <c r="AD198" s="35" t="s">
        <v>1668</v>
      </c>
      <c r="AE198" s="35" t="s">
        <v>1668</v>
      </c>
      <c r="AF198" s="35" t="s">
        <v>1635</v>
      </c>
      <c r="AG198" s="35" t="s">
        <v>1670</v>
      </c>
      <c r="AI198" s="35"/>
      <c r="AJ198" s="35" t="s">
        <v>1671</v>
      </c>
      <c r="AK198" s="35" t="s">
        <v>1672</v>
      </c>
      <c r="AL198" s="29" t="s">
        <v>1803</v>
      </c>
      <c r="AM198" s="35"/>
      <c r="AN198" s="35"/>
      <c r="AO198" s="35"/>
      <c r="AP198" s="35"/>
      <c r="AQ198" s="35"/>
      <c r="AS198" s="35"/>
      <c r="AU198" s="35"/>
      <c r="AW198" s="35"/>
      <c r="AY198" s="35"/>
      <c r="AZ198" s="35"/>
      <c r="BA198" s="35"/>
      <c r="BB198" s="29" t="s">
        <v>2362</v>
      </c>
      <c r="BC198" s="29" t="s">
        <v>1900</v>
      </c>
      <c r="BD198" s="29" t="s">
        <v>1804</v>
      </c>
      <c r="BE198" s="29" t="s">
        <v>1805</v>
      </c>
      <c r="BF198" s="29" t="s">
        <v>1973</v>
      </c>
      <c r="BG198" s="29" t="s">
        <v>2436</v>
      </c>
      <c r="BH198" s="29" t="s">
        <v>2335</v>
      </c>
      <c r="BI198" s="35"/>
      <c r="BJ198" s="35"/>
      <c r="BK198" s="29" t="str" cm="1">
        <f t="array" ref="BK198">_xlfn.UNIQUE(MID(BB198,16,14))</f>
        <v>U012UNA01UH100</v>
      </c>
    </row>
    <row r="199" spans="1:63" x14ac:dyDescent="0.3">
      <c r="A199" s="29" t="s">
        <v>2437</v>
      </c>
      <c r="B199" s="36" t="str">
        <f t="shared" si="15"/>
        <v>G01NHH01HP001-BF01</v>
      </c>
      <c r="C199" s="33" t="s">
        <v>2438</v>
      </c>
      <c r="D199" s="34" t="str">
        <f t="shared" si="16"/>
        <v>ELY1 PROC WTR REF SYS 1 FLOW1 ANALOG1</v>
      </c>
      <c r="E199" s="31">
        <f t="shared" si="17"/>
        <v>37</v>
      </c>
      <c r="F199" s="32" t="str">
        <f t="shared" si="18"/>
        <v>ELECTROLYSIS SYSTEM ELECTROLYSIS ARRAY 1 PROCESS WATER REFINEMENT PROCESS WATER REFINEMENT LOOP PROCESS WATER REFINEMENT UNIT PROCESS WATER REFINEMENT UNIT 1 FLOWMETER - PUMP OUTPUT ANALOG PROCESS SIGNAL</v>
      </c>
      <c r="G199" s="29" t="s">
        <v>1614</v>
      </c>
      <c r="H199" s="29" t="s">
        <v>1615</v>
      </c>
      <c r="I199" s="29" t="str">
        <f t="shared" si="19"/>
        <v>01</v>
      </c>
      <c r="J199" s="29" t="s">
        <v>1616</v>
      </c>
      <c r="K199" s="29" t="s">
        <v>2439</v>
      </c>
      <c r="L199" s="29" t="s">
        <v>2440</v>
      </c>
      <c r="M199" s="29" t="s">
        <v>1619</v>
      </c>
      <c r="N199" s="29" t="s">
        <v>2441</v>
      </c>
      <c r="O199" s="29" t="s">
        <v>2376</v>
      </c>
      <c r="P199" s="29" t="s">
        <v>2442</v>
      </c>
      <c r="Q199" s="29" t="s">
        <v>1623</v>
      </c>
      <c r="R199" s="29" t="s">
        <v>2443</v>
      </c>
      <c r="S199" s="29" t="s">
        <v>1625</v>
      </c>
      <c r="T199" s="29" t="s">
        <v>2444</v>
      </c>
      <c r="U199" s="29" t="s">
        <v>193</v>
      </c>
      <c r="V199" s="29" t="s">
        <v>1083</v>
      </c>
      <c r="W199" s="35" t="s">
        <v>1628</v>
      </c>
      <c r="X199" s="35" t="s">
        <v>2445</v>
      </c>
      <c r="Y199" s="35" t="s">
        <v>2380</v>
      </c>
      <c r="Z199" s="35" t="s">
        <v>1631</v>
      </c>
      <c r="AA199" s="35" t="s">
        <v>1666</v>
      </c>
      <c r="AB199" s="29" t="s">
        <v>1625</v>
      </c>
      <c r="AC199" s="35" t="s">
        <v>1633</v>
      </c>
      <c r="AD199" s="35" t="s">
        <v>1668</v>
      </c>
      <c r="AE199" s="35" t="s">
        <v>1668</v>
      </c>
      <c r="AF199" s="35" t="s">
        <v>1635</v>
      </c>
      <c r="AG199" s="35" t="s">
        <v>1670</v>
      </c>
      <c r="AI199" s="35"/>
      <c r="AJ199" s="35" t="s">
        <v>1671</v>
      </c>
      <c r="AK199" s="35" t="s">
        <v>1672</v>
      </c>
      <c r="AL199" s="29" t="s">
        <v>2446</v>
      </c>
      <c r="AM199" s="35" t="s">
        <v>2447</v>
      </c>
      <c r="AN199" s="35" t="s">
        <v>2448</v>
      </c>
      <c r="AO199" s="35"/>
      <c r="AP199" s="35"/>
      <c r="AQ199" s="35"/>
      <c r="AS199" s="35"/>
      <c r="AU199" s="35"/>
      <c r="AV199" s="29" t="s">
        <v>1641</v>
      </c>
      <c r="AW199" s="35"/>
      <c r="AX199" s="29" t="s">
        <v>1674</v>
      </c>
      <c r="AY199" s="35"/>
      <c r="AZ199" s="35"/>
      <c r="BA199" s="35"/>
      <c r="BB199" s="29" t="s">
        <v>2340</v>
      </c>
      <c r="BC199" s="29" t="s">
        <v>1900</v>
      </c>
      <c r="BD199" s="29" t="s">
        <v>1804</v>
      </c>
      <c r="BE199" s="29" t="s">
        <v>1805</v>
      </c>
      <c r="BF199" s="29" t="s">
        <v>1619</v>
      </c>
      <c r="BG199" s="29" t="s">
        <v>2449</v>
      </c>
      <c r="BH199" s="29" t="s">
        <v>2450</v>
      </c>
      <c r="BI199" s="35"/>
      <c r="BJ199" s="35"/>
      <c r="BK199" s="29" t="str" cm="1">
        <f t="array" ref="BK199">_xlfn.UNIQUE(MID(BB199,16,14))</f>
        <v>U012UNA01UH100</v>
      </c>
    </row>
    <row r="200" spans="1:63" x14ac:dyDescent="0.3">
      <c r="A200" s="29" t="s">
        <v>2437</v>
      </c>
      <c r="B200" s="36" t="str">
        <f t="shared" si="15"/>
        <v>G01NHH01HP001-BF20</v>
      </c>
      <c r="C200" s="33" t="s">
        <v>2451</v>
      </c>
      <c r="D200" s="34" t="str">
        <f t="shared" si="16"/>
        <v>ELY1 PROC WTR REF SYS 1 FLOW2 ANALOG1</v>
      </c>
      <c r="E200" s="31">
        <f t="shared" si="17"/>
        <v>37</v>
      </c>
      <c r="F200" s="32" t="str">
        <f t="shared" si="18"/>
        <v>ELECTROLYSIS SYSTEM ELECTROLYSIS ARRAY 1 PROCESS WATER REFINEMENT PROCESS WATER REFINEMENT LOOP PROCESS WATER REFINEMENT UNIT PROCESS WATER REFINEMENT UNIT 1 FLOWMETER - OUTPUT H2 SIDE ANALOG PROCESS SIGNAL</v>
      </c>
      <c r="G200" s="29" t="s">
        <v>1614</v>
      </c>
      <c r="H200" s="29" t="s">
        <v>1615</v>
      </c>
      <c r="I200" s="29" t="str">
        <f t="shared" si="19"/>
        <v>01</v>
      </c>
      <c r="J200" s="29" t="s">
        <v>1616</v>
      </c>
      <c r="K200" s="29" t="s">
        <v>2439</v>
      </c>
      <c r="L200" s="29" t="s">
        <v>2440</v>
      </c>
      <c r="M200" s="29" t="s">
        <v>1619</v>
      </c>
      <c r="N200" s="29" t="s">
        <v>2441</v>
      </c>
      <c r="O200" s="29" t="s">
        <v>2376</v>
      </c>
      <c r="P200" s="29" t="s">
        <v>2442</v>
      </c>
      <c r="Q200" s="29" t="s">
        <v>1623</v>
      </c>
      <c r="R200" s="29" t="s">
        <v>2443</v>
      </c>
      <c r="S200" s="29" t="s">
        <v>2452</v>
      </c>
      <c r="T200" s="29" t="s">
        <v>2453</v>
      </c>
      <c r="U200" s="29" t="s">
        <v>193</v>
      </c>
      <c r="V200" s="29" t="s">
        <v>1083</v>
      </c>
      <c r="W200" s="35" t="s">
        <v>1628</v>
      </c>
      <c r="X200" s="35" t="s">
        <v>2445</v>
      </c>
      <c r="Y200" s="35" t="s">
        <v>2380</v>
      </c>
      <c r="Z200" s="35" t="s">
        <v>2351</v>
      </c>
      <c r="AA200" s="35" t="s">
        <v>1666</v>
      </c>
      <c r="AB200" s="29" t="s">
        <v>2452</v>
      </c>
      <c r="AC200" s="35" t="s">
        <v>1633</v>
      </c>
      <c r="AD200" s="35" t="s">
        <v>1668</v>
      </c>
      <c r="AE200" s="35" t="s">
        <v>1668</v>
      </c>
      <c r="AF200" s="35" t="s">
        <v>1635</v>
      </c>
      <c r="AG200" s="35" t="s">
        <v>1670</v>
      </c>
      <c r="AI200" s="35"/>
      <c r="AJ200" s="35" t="s">
        <v>1671</v>
      </c>
      <c r="AK200" s="35" t="s">
        <v>1672</v>
      </c>
      <c r="AL200" s="29" t="s">
        <v>1697</v>
      </c>
      <c r="AM200" s="35" t="s">
        <v>2454</v>
      </c>
      <c r="AN200" s="35" t="s">
        <v>2455</v>
      </c>
      <c r="AO200" s="35"/>
      <c r="AP200" s="35"/>
      <c r="AQ200" s="35"/>
      <c r="AS200" s="35"/>
      <c r="AU200" s="35"/>
      <c r="AW200" s="35"/>
      <c r="AY200" s="35"/>
      <c r="AZ200" s="35"/>
      <c r="BA200" s="35"/>
      <c r="BB200" s="29" t="s">
        <v>2340</v>
      </c>
      <c r="BC200" s="29" t="s">
        <v>1900</v>
      </c>
      <c r="BD200" s="29" t="s">
        <v>1804</v>
      </c>
      <c r="BE200" s="29" t="s">
        <v>1805</v>
      </c>
      <c r="BF200" s="29" t="s">
        <v>1905</v>
      </c>
      <c r="BG200" s="29" t="s">
        <v>2456</v>
      </c>
      <c r="BH200" s="29" t="s">
        <v>2450</v>
      </c>
      <c r="BI200" s="35"/>
      <c r="BJ200" s="35"/>
      <c r="BK200" s="29" t="str" cm="1">
        <f t="array" ref="BK200">_xlfn.UNIQUE(MID(BB200,16,14))</f>
        <v>U012UNA01UH100</v>
      </c>
    </row>
    <row r="201" spans="1:63" x14ac:dyDescent="0.3">
      <c r="A201" s="29" t="s">
        <v>2437</v>
      </c>
      <c r="B201" s="36" t="str">
        <f t="shared" si="15"/>
        <v>G01NHH01HP001-BF30</v>
      </c>
      <c r="C201" s="33" t="s">
        <v>2457</v>
      </c>
      <c r="D201" s="34" t="str">
        <f t="shared" si="16"/>
        <v>ELY1 PROC WTR REF SYS 1 FLOW3 ANALOG1</v>
      </c>
      <c r="E201" s="31">
        <f t="shared" si="17"/>
        <v>37</v>
      </c>
      <c r="F201" s="32" t="str">
        <f t="shared" si="18"/>
        <v>ELECTROLYSIS SYSTEM ELECTROLYSIS ARRAY 1 PROCESS WATER REFINEMENT PROCESS WATER REFINEMENT LOOP PROCESS WATER REFINEMENT UNIT PROCESS WATER REFINEMENT UNIT 1 FLOWMETER - OUTPUT O2 SIDE ANALOG PROCESS SIGNAL</v>
      </c>
      <c r="G201" s="29" t="s">
        <v>1614</v>
      </c>
      <c r="H201" s="29" t="s">
        <v>1615</v>
      </c>
      <c r="I201" s="29" t="str">
        <f t="shared" si="19"/>
        <v>01</v>
      </c>
      <c r="J201" s="29" t="s">
        <v>1616</v>
      </c>
      <c r="K201" s="29" t="s">
        <v>2439</v>
      </c>
      <c r="L201" s="29" t="s">
        <v>2440</v>
      </c>
      <c r="M201" s="29" t="s">
        <v>1619</v>
      </c>
      <c r="N201" s="29" t="s">
        <v>2441</v>
      </c>
      <c r="O201" s="29" t="s">
        <v>2376</v>
      </c>
      <c r="P201" s="29" t="s">
        <v>2442</v>
      </c>
      <c r="Q201" s="29" t="s">
        <v>1623</v>
      </c>
      <c r="R201" s="29" t="s">
        <v>2443</v>
      </c>
      <c r="S201" s="29" t="s">
        <v>2458</v>
      </c>
      <c r="T201" s="29" t="s">
        <v>2459</v>
      </c>
      <c r="U201" s="29" t="s">
        <v>193</v>
      </c>
      <c r="V201" s="29" t="s">
        <v>1083</v>
      </c>
      <c r="W201" s="35" t="s">
        <v>1628</v>
      </c>
      <c r="X201" s="35" t="s">
        <v>2445</v>
      </c>
      <c r="Y201" s="35" t="s">
        <v>2380</v>
      </c>
      <c r="Z201" s="35" t="s">
        <v>2460</v>
      </c>
      <c r="AA201" s="35" t="s">
        <v>1666</v>
      </c>
      <c r="AB201" s="29" t="s">
        <v>2458</v>
      </c>
      <c r="AC201" s="35" t="s">
        <v>1633</v>
      </c>
      <c r="AD201" s="35" t="s">
        <v>1668</v>
      </c>
      <c r="AE201" s="35" t="s">
        <v>1668</v>
      </c>
      <c r="AF201" s="35" t="s">
        <v>1635</v>
      </c>
      <c r="AG201" s="35" t="s">
        <v>1670</v>
      </c>
      <c r="AI201" s="35"/>
      <c r="AJ201" s="35" t="s">
        <v>1671</v>
      </c>
      <c r="AK201" s="35" t="s">
        <v>1672</v>
      </c>
      <c r="AL201" s="29" t="s">
        <v>2446</v>
      </c>
      <c r="AM201" s="35" t="s">
        <v>2454</v>
      </c>
      <c r="AN201" s="35" t="s">
        <v>2455</v>
      </c>
      <c r="AO201" s="35"/>
      <c r="AP201" s="35"/>
      <c r="AQ201" s="35"/>
      <c r="AS201" s="35"/>
      <c r="AT201" s="29" t="s">
        <v>1640</v>
      </c>
      <c r="AU201" s="35"/>
      <c r="AV201" s="29" t="s">
        <v>1641</v>
      </c>
      <c r="AW201" s="35"/>
      <c r="AY201" s="35"/>
      <c r="AZ201" s="35"/>
      <c r="BA201" s="35"/>
      <c r="BB201" s="29" t="s">
        <v>2340</v>
      </c>
      <c r="BC201" s="29" t="s">
        <v>1900</v>
      </c>
      <c r="BD201" s="29" t="s">
        <v>1804</v>
      </c>
      <c r="BE201" s="29" t="s">
        <v>1805</v>
      </c>
      <c r="BF201" s="29" t="s">
        <v>1909</v>
      </c>
      <c r="BG201" s="29" t="s">
        <v>2461</v>
      </c>
      <c r="BH201" s="29" t="s">
        <v>2450</v>
      </c>
      <c r="BI201" s="35"/>
      <c r="BJ201" s="35"/>
      <c r="BK201" s="29" t="str" cm="1">
        <f t="array" ref="BK201">_xlfn.UNIQUE(MID(BB201,16,14))</f>
        <v>U012UNA01UH100</v>
      </c>
    </row>
    <row r="202" spans="1:63" x14ac:dyDescent="0.3">
      <c r="A202" s="29" t="s">
        <v>2437</v>
      </c>
      <c r="B202" s="36" t="str">
        <f t="shared" si="15"/>
        <v>G01NHH01HP001-BP02</v>
      </c>
      <c r="C202" s="33" t="s">
        <v>2462</v>
      </c>
      <c r="D202" s="34" t="str">
        <f t="shared" si="16"/>
        <v>ELY1 PROC WTR REF SYS 1 PRES2 ANALOG1</v>
      </c>
      <c r="E202" s="31">
        <f t="shared" si="17"/>
        <v>37</v>
      </c>
      <c r="F202" s="32" t="str">
        <f t="shared" si="18"/>
        <v>ELECTROLYSIS SYSTEM ELECTROLYSIS ARRAY 1 PROCESS WATER REFINEMENT PROCESS WATER REFINEMENT LOOP PROCESS WATER REFINEMENT UNIT PROCESS WATER REFINEMENT UNIT 1 PRESSURE TRANSMITTER - PUMP OUTLET ANALOG PROCESS SIGNAL</v>
      </c>
      <c r="G202" s="29" t="s">
        <v>1614</v>
      </c>
      <c r="H202" s="29" t="s">
        <v>1615</v>
      </c>
      <c r="I202" s="29" t="str">
        <f t="shared" si="19"/>
        <v>01</v>
      </c>
      <c r="J202" s="29" t="s">
        <v>1616</v>
      </c>
      <c r="K202" s="29" t="s">
        <v>2439</v>
      </c>
      <c r="L202" s="29" t="s">
        <v>2440</v>
      </c>
      <c r="M202" s="29" t="s">
        <v>1619</v>
      </c>
      <c r="N202" s="29" t="s">
        <v>2441</v>
      </c>
      <c r="O202" s="29" t="s">
        <v>2376</v>
      </c>
      <c r="P202" s="29" t="s">
        <v>2442</v>
      </c>
      <c r="Q202" s="29" t="s">
        <v>1623</v>
      </c>
      <c r="R202" s="29" t="s">
        <v>2443</v>
      </c>
      <c r="S202" s="29" t="s">
        <v>1758</v>
      </c>
      <c r="T202" s="29" t="s">
        <v>2463</v>
      </c>
      <c r="U202" s="29" t="s">
        <v>193</v>
      </c>
      <c r="V202" s="29" t="s">
        <v>1083</v>
      </c>
      <c r="W202" s="35" t="s">
        <v>1628</v>
      </c>
      <c r="X202" s="35" t="s">
        <v>2445</v>
      </c>
      <c r="Y202" s="35" t="s">
        <v>2380</v>
      </c>
      <c r="Z202" s="35" t="s">
        <v>1760</v>
      </c>
      <c r="AA202" s="35" t="s">
        <v>1666</v>
      </c>
      <c r="AB202" s="29" t="s">
        <v>1758</v>
      </c>
      <c r="AC202" s="35" t="s">
        <v>1633</v>
      </c>
      <c r="AD202" s="35" t="s">
        <v>1668</v>
      </c>
      <c r="AE202" s="35" t="s">
        <v>1668</v>
      </c>
      <c r="AF202" s="35" t="s">
        <v>1635</v>
      </c>
      <c r="AG202" s="35" t="s">
        <v>1670</v>
      </c>
      <c r="AI202" s="35"/>
      <c r="AJ202" s="35" t="s">
        <v>1671</v>
      </c>
      <c r="AK202" s="35" t="s">
        <v>1672</v>
      </c>
      <c r="AL202" s="29" t="s">
        <v>1685</v>
      </c>
      <c r="AM202" s="35" t="s">
        <v>1765</v>
      </c>
      <c r="AN202" s="35" t="s">
        <v>2464</v>
      </c>
      <c r="AO202" s="35"/>
      <c r="AP202" s="35"/>
      <c r="AQ202" s="35"/>
      <c r="AS202" s="35"/>
      <c r="AU202" s="35"/>
      <c r="AW202" s="35"/>
      <c r="AY202" s="35"/>
      <c r="AZ202" s="35"/>
      <c r="BA202" s="35"/>
      <c r="BB202" s="29" t="s">
        <v>2340</v>
      </c>
      <c r="BC202" s="29" t="s">
        <v>1900</v>
      </c>
      <c r="BD202" s="29" t="s">
        <v>1804</v>
      </c>
      <c r="BE202" s="29" t="s">
        <v>1805</v>
      </c>
      <c r="BF202" s="29" t="s">
        <v>1915</v>
      </c>
      <c r="BG202" s="29" t="s">
        <v>2465</v>
      </c>
      <c r="BH202" s="29" t="s">
        <v>2450</v>
      </c>
      <c r="BI202" s="35"/>
      <c r="BJ202" s="35"/>
      <c r="BK202" s="29" t="str" cm="1">
        <f t="array" ref="BK202">_xlfn.UNIQUE(MID(BB202,16,14))</f>
        <v>U012UNA01UH100</v>
      </c>
    </row>
    <row r="203" spans="1:63" x14ac:dyDescent="0.3">
      <c r="A203" s="29" t="s">
        <v>2437</v>
      </c>
      <c r="B203" s="36" t="str">
        <f t="shared" si="15"/>
        <v>G01NHH01HP001-BQ01</v>
      </c>
      <c r="C203" s="33" t="s">
        <v>2466</v>
      </c>
      <c r="D203" s="34" t="str">
        <f t="shared" si="16"/>
        <v>ELY1 PROC WTR REF SYS 1 QUAL1 ANALOG2</v>
      </c>
      <c r="E203" s="31">
        <f t="shared" si="17"/>
        <v>37</v>
      </c>
      <c r="F203" s="32" t="str">
        <f t="shared" si="18"/>
        <v>ELECTROLYSIS SYSTEM ELECTROLYSIS ARRAY 1 PROCESS WATER REFINEMENT PROCESS WATER REFINEMENT LOOP PROCESS WATER REFINEMENT UNIT PROCESS WATER REFINEMENT UNIT 1 CONDUCTIVITY - WATER REFINEMENT INLET ANALOG PROCESS SIGNAL</v>
      </c>
      <c r="G203" s="29" t="s">
        <v>1614</v>
      </c>
      <c r="H203" s="29" t="s">
        <v>1615</v>
      </c>
      <c r="I203" s="29" t="str">
        <f t="shared" si="19"/>
        <v>01</v>
      </c>
      <c r="J203" s="29" t="s">
        <v>1616</v>
      </c>
      <c r="K203" s="29" t="s">
        <v>2439</v>
      </c>
      <c r="L203" s="29" t="s">
        <v>2440</v>
      </c>
      <c r="M203" s="29" t="s">
        <v>1619</v>
      </c>
      <c r="N203" s="29" t="s">
        <v>2441</v>
      </c>
      <c r="O203" s="29" t="s">
        <v>2376</v>
      </c>
      <c r="P203" s="29" t="s">
        <v>2442</v>
      </c>
      <c r="Q203" s="29" t="s">
        <v>1623</v>
      </c>
      <c r="R203" s="29" t="s">
        <v>2443</v>
      </c>
      <c r="S203" s="29" t="s">
        <v>1687</v>
      </c>
      <c r="T203" s="29" t="s">
        <v>2467</v>
      </c>
      <c r="U203" s="29" t="s">
        <v>905</v>
      </c>
      <c r="V203" s="29" t="s">
        <v>1083</v>
      </c>
      <c r="W203" s="35" t="s">
        <v>1628</v>
      </c>
      <c r="X203" s="35" t="s">
        <v>2445</v>
      </c>
      <c r="Y203" s="35" t="s">
        <v>2380</v>
      </c>
      <c r="Z203" s="35" t="s">
        <v>1689</v>
      </c>
      <c r="AA203" s="35" t="s">
        <v>1705</v>
      </c>
      <c r="AB203" s="29" t="s">
        <v>1687</v>
      </c>
      <c r="AC203" s="35" t="s">
        <v>1633</v>
      </c>
      <c r="AD203" s="35" t="s">
        <v>1668</v>
      </c>
      <c r="AE203" s="35" t="s">
        <v>1668</v>
      </c>
      <c r="AF203" s="35" t="s">
        <v>1635</v>
      </c>
      <c r="AG203" s="35" t="s">
        <v>1670</v>
      </c>
      <c r="AI203" s="35"/>
      <c r="AJ203" s="35" t="s">
        <v>1671</v>
      </c>
      <c r="AK203" s="35" t="s">
        <v>1672</v>
      </c>
      <c r="AL203" s="29" t="s">
        <v>1706</v>
      </c>
      <c r="AM203" s="35" t="s">
        <v>1702</v>
      </c>
      <c r="AN203" s="35" t="s">
        <v>1703</v>
      </c>
      <c r="AO203" s="35"/>
      <c r="AP203" s="35"/>
      <c r="AQ203" s="35"/>
      <c r="AS203" s="35"/>
      <c r="AU203" s="35"/>
      <c r="AW203" s="35"/>
      <c r="AY203" s="35"/>
      <c r="AZ203" s="35"/>
      <c r="BA203" s="35"/>
      <c r="BB203" s="29" t="s">
        <v>2340</v>
      </c>
      <c r="BC203" s="29" t="s">
        <v>1900</v>
      </c>
      <c r="BD203" s="29" t="s">
        <v>2468</v>
      </c>
      <c r="BE203" s="29" t="s">
        <v>2469</v>
      </c>
      <c r="BF203" s="29" t="s">
        <v>1922</v>
      </c>
      <c r="BG203" s="29" t="s">
        <v>2470</v>
      </c>
      <c r="BH203" s="29" t="s">
        <v>2450</v>
      </c>
      <c r="BI203" s="35"/>
      <c r="BJ203" s="35"/>
      <c r="BK203" s="29" t="str" cm="1">
        <f t="array" ref="BK203">_xlfn.UNIQUE(MID(BB203,16,14))</f>
        <v>U012UNA01UH100</v>
      </c>
    </row>
    <row r="204" spans="1:63" x14ac:dyDescent="0.3">
      <c r="A204" s="29" t="s">
        <v>2437</v>
      </c>
      <c r="B204" s="36" t="str">
        <f t="shared" si="15"/>
        <v>G01NHH01HP001-BQ01</v>
      </c>
      <c r="C204" s="33" t="s">
        <v>2471</v>
      </c>
      <c r="D204" s="34" t="str">
        <f t="shared" si="16"/>
        <v>ELY1 PROC WTR REF SYS 1 QUAL1 ANALOG1</v>
      </c>
      <c r="E204" s="31">
        <f t="shared" si="17"/>
        <v>37</v>
      </c>
      <c r="F204" s="32" t="str">
        <f t="shared" si="18"/>
        <v>ELECTROLYSIS SYSTEM ELECTROLYSIS ARRAY 1 PROCESS WATER REFINEMENT PROCESS WATER REFINEMENT LOOP PROCESS WATER REFINEMENT UNIT PROCESS WATER REFINEMENT UNIT 1 CONDUCTIVITY - WATER REFINEMENT INLET ANALOG PROCESS SIGNAL</v>
      </c>
      <c r="G204" s="29" t="s">
        <v>1614</v>
      </c>
      <c r="H204" s="29" t="s">
        <v>1615</v>
      </c>
      <c r="I204" s="29" t="str">
        <f t="shared" si="19"/>
        <v>01</v>
      </c>
      <c r="J204" s="29" t="s">
        <v>1616</v>
      </c>
      <c r="K204" s="29" t="s">
        <v>2439</v>
      </c>
      <c r="L204" s="29" t="s">
        <v>2440</v>
      </c>
      <c r="M204" s="29" t="s">
        <v>1619</v>
      </c>
      <c r="N204" s="29" t="s">
        <v>2441</v>
      </c>
      <c r="O204" s="29" t="s">
        <v>2376</v>
      </c>
      <c r="P204" s="29" t="s">
        <v>2442</v>
      </c>
      <c r="Q204" s="29" t="s">
        <v>1623</v>
      </c>
      <c r="R204" s="29" t="s">
        <v>2443</v>
      </c>
      <c r="S204" s="29" t="s">
        <v>1687</v>
      </c>
      <c r="T204" s="29" t="s">
        <v>2467</v>
      </c>
      <c r="U204" s="29" t="s">
        <v>193</v>
      </c>
      <c r="V204" s="29" t="s">
        <v>1083</v>
      </c>
      <c r="W204" s="35" t="s">
        <v>1628</v>
      </c>
      <c r="X204" s="35" t="s">
        <v>2445</v>
      </c>
      <c r="Y204" s="35" t="s">
        <v>2380</v>
      </c>
      <c r="Z204" s="35" t="s">
        <v>1689</v>
      </c>
      <c r="AA204" s="35" t="s">
        <v>1666</v>
      </c>
      <c r="AB204" s="29" t="s">
        <v>1687</v>
      </c>
      <c r="AC204" s="35" t="s">
        <v>1633</v>
      </c>
      <c r="AD204" s="35" t="s">
        <v>1668</v>
      </c>
      <c r="AE204" s="35" t="s">
        <v>1668</v>
      </c>
      <c r="AF204" s="35" t="s">
        <v>1635</v>
      </c>
      <c r="AG204" s="35" t="s">
        <v>1670</v>
      </c>
      <c r="AI204" s="35"/>
      <c r="AJ204" s="35" t="s">
        <v>1671</v>
      </c>
      <c r="AK204" s="35" t="s">
        <v>1672</v>
      </c>
      <c r="AL204" s="29" t="s">
        <v>1671</v>
      </c>
      <c r="AM204" s="35" t="s">
        <v>1702</v>
      </c>
      <c r="AN204" s="35" t="s">
        <v>1703</v>
      </c>
      <c r="AO204" s="35"/>
      <c r="AP204" s="35"/>
      <c r="AQ204" s="35"/>
      <c r="AR204" s="29" t="s">
        <v>2472</v>
      </c>
      <c r="AS204" s="35"/>
      <c r="AT204" s="29" t="s">
        <v>1640</v>
      </c>
      <c r="AU204" s="35"/>
      <c r="AW204" s="35"/>
      <c r="AY204" s="35"/>
      <c r="AZ204" s="35"/>
      <c r="BA204" s="35"/>
      <c r="BB204" s="29" t="s">
        <v>2340</v>
      </c>
      <c r="BC204" s="29" t="s">
        <v>1900</v>
      </c>
      <c r="BD204" s="29" t="s">
        <v>2468</v>
      </c>
      <c r="BE204" s="29" t="s">
        <v>2473</v>
      </c>
      <c r="BF204" s="29" t="s">
        <v>1919</v>
      </c>
      <c r="BG204" s="29" t="s">
        <v>2470</v>
      </c>
      <c r="BH204" s="29" t="s">
        <v>2450</v>
      </c>
      <c r="BI204" s="35"/>
      <c r="BJ204" s="35"/>
      <c r="BK204" s="29" t="str" cm="1">
        <f t="array" ref="BK204">_xlfn.UNIQUE(MID(BB204,16,14))</f>
        <v>U012UNA01UH100</v>
      </c>
    </row>
    <row r="205" spans="1:63" x14ac:dyDescent="0.3">
      <c r="A205" s="29" t="s">
        <v>2437</v>
      </c>
      <c r="B205" s="36" t="str">
        <f t="shared" si="15"/>
        <v>G01NHH01HP001-BQ02</v>
      </c>
      <c r="C205" s="33" t="s">
        <v>2474</v>
      </c>
      <c r="D205" s="34" t="str">
        <f t="shared" si="16"/>
        <v>ELY1 PROC WTR REF SYS 1 QUAL2 ANALOG2</v>
      </c>
      <c r="E205" s="31">
        <f t="shared" si="17"/>
        <v>37</v>
      </c>
      <c r="F205" s="32" t="str">
        <f t="shared" si="18"/>
        <v>ELECTROLYSIS SYSTEM ELECTROLYSIS ARRAY 1 PROCESS WATER REFINEMENT PROCESS WATER REFINEMENT LOOP PROCESS WATER REFINEMENT UNIT PROCESS WATER REFINEMENT UNIT 1 CONDUCTIVITY - WATER REFINEMENT OUTLET ANALOG PROCESS SIGNAL</v>
      </c>
      <c r="G205" s="29" t="s">
        <v>1614</v>
      </c>
      <c r="H205" s="29" t="s">
        <v>1615</v>
      </c>
      <c r="I205" s="29" t="str">
        <f t="shared" si="19"/>
        <v>01</v>
      </c>
      <c r="J205" s="29" t="s">
        <v>1616</v>
      </c>
      <c r="K205" s="29" t="s">
        <v>2439</v>
      </c>
      <c r="L205" s="29" t="s">
        <v>2440</v>
      </c>
      <c r="M205" s="29" t="s">
        <v>1619</v>
      </c>
      <c r="N205" s="29" t="s">
        <v>2441</v>
      </c>
      <c r="O205" s="29" t="s">
        <v>2376</v>
      </c>
      <c r="P205" s="29" t="s">
        <v>2442</v>
      </c>
      <c r="Q205" s="29" t="s">
        <v>1623</v>
      </c>
      <c r="R205" s="29" t="s">
        <v>2443</v>
      </c>
      <c r="S205" s="29" t="s">
        <v>1990</v>
      </c>
      <c r="T205" s="29" t="s">
        <v>2475</v>
      </c>
      <c r="U205" s="29" t="s">
        <v>905</v>
      </c>
      <c r="V205" s="29" t="s">
        <v>1083</v>
      </c>
      <c r="W205" s="35" t="s">
        <v>1628</v>
      </c>
      <c r="X205" s="35" t="s">
        <v>2445</v>
      </c>
      <c r="Y205" s="35" t="s">
        <v>2380</v>
      </c>
      <c r="Z205" s="35" t="s">
        <v>1992</v>
      </c>
      <c r="AA205" s="35" t="s">
        <v>1705</v>
      </c>
      <c r="AB205" s="29" t="s">
        <v>1990</v>
      </c>
      <c r="AC205" s="35" t="s">
        <v>1633</v>
      </c>
      <c r="AD205" s="35" t="s">
        <v>1668</v>
      </c>
      <c r="AE205" s="35" t="s">
        <v>1668</v>
      </c>
      <c r="AF205" s="35" t="s">
        <v>1635</v>
      </c>
      <c r="AG205" s="35" t="s">
        <v>1670</v>
      </c>
      <c r="AI205" s="35"/>
      <c r="AJ205" s="35" t="s">
        <v>1671</v>
      </c>
      <c r="AK205" s="35" t="s">
        <v>1672</v>
      </c>
      <c r="AL205" s="29" t="s">
        <v>1706</v>
      </c>
      <c r="AM205" s="35" t="s">
        <v>1702</v>
      </c>
      <c r="AN205" s="35" t="s">
        <v>1703</v>
      </c>
      <c r="AO205" s="35"/>
      <c r="AP205" s="35"/>
      <c r="AQ205" s="35"/>
      <c r="AS205" s="35"/>
      <c r="AU205" s="35"/>
      <c r="AW205" s="35"/>
      <c r="AY205" s="35"/>
      <c r="AZ205" s="35"/>
      <c r="BA205" s="35"/>
      <c r="BB205" s="29" t="s">
        <v>2340</v>
      </c>
      <c r="BC205" s="29" t="s">
        <v>1900</v>
      </c>
      <c r="BD205" s="29" t="s">
        <v>2468</v>
      </c>
      <c r="BE205" s="29" t="s">
        <v>2476</v>
      </c>
      <c r="BF205" s="29" t="s">
        <v>1936</v>
      </c>
      <c r="BG205" s="29" t="s">
        <v>2477</v>
      </c>
      <c r="BH205" s="29" t="s">
        <v>2450</v>
      </c>
      <c r="BI205" s="35"/>
      <c r="BJ205" s="35"/>
      <c r="BK205" s="29" t="str" cm="1">
        <f t="array" ref="BK205">_xlfn.UNIQUE(MID(BB205,16,14))</f>
        <v>U012UNA01UH100</v>
      </c>
    </row>
    <row r="206" spans="1:63" x14ac:dyDescent="0.3">
      <c r="A206" s="29" t="s">
        <v>2437</v>
      </c>
      <c r="B206" s="36" t="str">
        <f t="shared" si="15"/>
        <v>G01NHH01HP001-BQ02</v>
      </c>
      <c r="C206" s="33" t="s">
        <v>2478</v>
      </c>
      <c r="D206" s="34" t="str">
        <f t="shared" si="16"/>
        <v>ELY1 PROC WTR REF SYS 1 QUAL2 ANALOG1</v>
      </c>
      <c r="E206" s="31">
        <f t="shared" si="17"/>
        <v>37</v>
      </c>
      <c r="F206" s="32" t="str">
        <f t="shared" si="18"/>
        <v>ELECTROLYSIS SYSTEM ELECTROLYSIS ARRAY 1 PROCESS WATER REFINEMENT PROCESS WATER REFINEMENT LOOP PROCESS WATER REFINEMENT UNIT PROCESS WATER REFINEMENT UNIT 1 CONDUCTIVITY - WATER REFINEMENT OUTLET ANALOG PROCESS SIGNAL</v>
      </c>
      <c r="G206" s="29" t="s">
        <v>1614</v>
      </c>
      <c r="H206" s="29" t="s">
        <v>1615</v>
      </c>
      <c r="I206" s="29" t="str">
        <f t="shared" si="19"/>
        <v>01</v>
      </c>
      <c r="J206" s="29" t="s">
        <v>1616</v>
      </c>
      <c r="K206" s="29" t="s">
        <v>2439</v>
      </c>
      <c r="L206" s="29" t="s">
        <v>2440</v>
      </c>
      <c r="M206" s="29" t="s">
        <v>1619</v>
      </c>
      <c r="N206" s="29" t="s">
        <v>2441</v>
      </c>
      <c r="O206" s="29" t="s">
        <v>2376</v>
      </c>
      <c r="P206" s="29" t="s">
        <v>2442</v>
      </c>
      <c r="Q206" s="29" t="s">
        <v>1623</v>
      </c>
      <c r="R206" s="29" t="s">
        <v>2443</v>
      </c>
      <c r="S206" s="29" t="s">
        <v>1990</v>
      </c>
      <c r="T206" s="29" t="s">
        <v>2475</v>
      </c>
      <c r="U206" s="29" t="s">
        <v>193</v>
      </c>
      <c r="V206" s="29" t="s">
        <v>1083</v>
      </c>
      <c r="W206" s="35" t="s">
        <v>1628</v>
      </c>
      <c r="X206" s="35" t="s">
        <v>2445</v>
      </c>
      <c r="Y206" s="35" t="s">
        <v>2380</v>
      </c>
      <c r="Z206" s="35" t="s">
        <v>1992</v>
      </c>
      <c r="AA206" s="35" t="s">
        <v>1666</v>
      </c>
      <c r="AB206" s="29" t="s">
        <v>1990</v>
      </c>
      <c r="AC206" s="35" t="s">
        <v>1633</v>
      </c>
      <c r="AD206" s="35" t="s">
        <v>1668</v>
      </c>
      <c r="AE206" s="35" t="s">
        <v>1668</v>
      </c>
      <c r="AF206" s="35" t="s">
        <v>1635</v>
      </c>
      <c r="AG206" s="35" t="s">
        <v>1670</v>
      </c>
      <c r="AI206" s="35"/>
      <c r="AJ206" s="35" t="s">
        <v>1671</v>
      </c>
      <c r="AK206" s="35" t="s">
        <v>1672</v>
      </c>
      <c r="AL206" s="29" t="s">
        <v>1671</v>
      </c>
      <c r="AM206" s="35" t="s">
        <v>1702</v>
      </c>
      <c r="AN206" s="35" t="s">
        <v>1703</v>
      </c>
      <c r="AO206" s="35"/>
      <c r="AP206" s="35"/>
      <c r="AQ206" s="35"/>
      <c r="AR206" s="29" t="s">
        <v>2472</v>
      </c>
      <c r="AS206" s="35"/>
      <c r="AT206" s="29" t="s">
        <v>1640</v>
      </c>
      <c r="AU206" s="35"/>
      <c r="AW206" s="35"/>
      <c r="AY206" s="35"/>
      <c r="AZ206" s="35"/>
      <c r="BA206" s="35"/>
      <c r="BB206" s="29" t="s">
        <v>2340</v>
      </c>
      <c r="BC206" s="29" t="s">
        <v>1900</v>
      </c>
      <c r="BD206" s="29" t="s">
        <v>2468</v>
      </c>
      <c r="BE206" s="29" t="s">
        <v>2479</v>
      </c>
      <c r="BF206" s="29" t="s">
        <v>1931</v>
      </c>
      <c r="BG206" s="29" t="s">
        <v>2477</v>
      </c>
      <c r="BH206" s="29" t="s">
        <v>2450</v>
      </c>
      <c r="BI206" s="35"/>
      <c r="BJ206" s="35"/>
      <c r="BK206" s="29" t="str" cm="1">
        <f t="array" ref="BK206">_xlfn.UNIQUE(MID(BB206,16,14))</f>
        <v>U012UNA01UH100</v>
      </c>
    </row>
    <row r="207" spans="1:63" x14ac:dyDescent="0.3">
      <c r="A207" s="29" t="s">
        <v>2437</v>
      </c>
      <c r="B207" s="36" t="str">
        <f t="shared" si="15"/>
        <v>G01NHH01HP001-BQ03</v>
      </c>
      <c r="C207" s="33" t="s">
        <v>2480</v>
      </c>
      <c r="D207" s="34" t="str">
        <f t="shared" si="16"/>
        <v>ELY1 PROC WTR REF SYS 1 QUAL3 ANALOG2</v>
      </c>
      <c r="E207" s="31">
        <f t="shared" si="17"/>
        <v>37</v>
      </c>
      <c r="F207" s="32" t="str">
        <f t="shared" si="18"/>
        <v>ELECTROLYSIS SYSTEM ELECTROLYSIS ARRAY 1 PROCESS WATER REFINEMENT PROCESS WATER REFINEMENT LOOP PROCESS WATER REFINEMENT UNIT PROCESS WATER REFINEMENT UNIT 1 CONDUCTIVITY - WATER REFINEMENT OUTLET ANALOG PROCESS SIGNAL</v>
      </c>
      <c r="G207" s="29" t="s">
        <v>1614</v>
      </c>
      <c r="H207" s="29" t="s">
        <v>1615</v>
      </c>
      <c r="I207" s="29" t="str">
        <f t="shared" si="19"/>
        <v>01</v>
      </c>
      <c r="J207" s="29" t="s">
        <v>1616</v>
      </c>
      <c r="K207" s="29" t="s">
        <v>2439</v>
      </c>
      <c r="L207" s="29" t="s">
        <v>2440</v>
      </c>
      <c r="M207" s="29" t="s">
        <v>1619</v>
      </c>
      <c r="N207" s="29" t="s">
        <v>2441</v>
      </c>
      <c r="O207" s="29" t="s">
        <v>2376</v>
      </c>
      <c r="P207" s="29" t="s">
        <v>2442</v>
      </c>
      <c r="Q207" s="29" t="s">
        <v>1623</v>
      </c>
      <c r="R207" s="29" t="s">
        <v>2443</v>
      </c>
      <c r="S207" s="29" t="s">
        <v>2481</v>
      </c>
      <c r="T207" s="29" t="s">
        <v>2475</v>
      </c>
      <c r="U207" s="29" t="s">
        <v>905</v>
      </c>
      <c r="V207" s="29" t="s">
        <v>1083</v>
      </c>
      <c r="W207" s="35" t="s">
        <v>1628</v>
      </c>
      <c r="X207" s="35" t="s">
        <v>2445</v>
      </c>
      <c r="Y207" s="35" t="s">
        <v>2380</v>
      </c>
      <c r="Z207" s="35" t="s">
        <v>2482</v>
      </c>
      <c r="AA207" s="35" t="s">
        <v>1705</v>
      </c>
      <c r="AB207" s="29" t="s">
        <v>2481</v>
      </c>
      <c r="AC207" s="35" t="s">
        <v>1633</v>
      </c>
      <c r="AD207" s="35" t="s">
        <v>1668</v>
      </c>
      <c r="AE207" s="35" t="s">
        <v>1668</v>
      </c>
      <c r="AF207" s="35" t="s">
        <v>1635</v>
      </c>
      <c r="AG207" s="35" t="s">
        <v>1670</v>
      </c>
      <c r="AI207" s="35"/>
      <c r="AJ207" s="35" t="s">
        <v>1671</v>
      </c>
      <c r="AK207" s="35" t="s">
        <v>1672</v>
      </c>
      <c r="AL207" s="29" t="s">
        <v>1706</v>
      </c>
      <c r="AM207" s="35" t="s">
        <v>1702</v>
      </c>
      <c r="AN207" s="35" t="s">
        <v>1703</v>
      </c>
      <c r="AO207" s="35"/>
      <c r="AP207" s="35"/>
      <c r="AQ207" s="35"/>
      <c r="AS207" s="35"/>
      <c r="AU207" s="35"/>
      <c r="AW207" s="35"/>
      <c r="AY207" s="35"/>
      <c r="AZ207" s="35"/>
      <c r="BA207" s="35"/>
      <c r="BB207" s="29" t="s">
        <v>2340</v>
      </c>
      <c r="BC207" s="29" t="s">
        <v>1900</v>
      </c>
      <c r="BD207" s="29" t="s">
        <v>1918</v>
      </c>
      <c r="BE207" s="29" t="s">
        <v>1988</v>
      </c>
      <c r="BF207" s="29" t="s">
        <v>1969</v>
      </c>
      <c r="BG207" s="29" t="s">
        <v>2483</v>
      </c>
      <c r="BH207" s="29" t="s">
        <v>2450</v>
      </c>
      <c r="BI207" s="35"/>
      <c r="BJ207" s="35"/>
      <c r="BK207" s="29" t="str" cm="1">
        <f t="array" ref="BK207">_xlfn.UNIQUE(MID(BB207,16,14))</f>
        <v>U012UNA01UH100</v>
      </c>
    </row>
    <row r="208" spans="1:63" x14ac:dyDescent="0.3">
      <c r="A208" s="29" t="s">
        <v>2437</v>
      </c>
      <c r="B208" s="36" t="str">
        <f t="shared" si="15"/>
        <v>G01NHH01HP001-BQ03</v>
      </c>
      <c r="C208" s="33" t="s">
        <v>2484</v>
      </c>
      <c r="D208" s="34" t="str">
        <f t="shared" si="16"/>
        <v>ELY1 PROC WTR REF SYS 1 QUAL3 ANALOG1</v>
      </c>
      <c r="E208" s="31">
        <f t="shared" si="17"/>
        <v>37</v>
      </c>
      <c r="F208" s="32" t="str">
        <f t="shared" si="18"/>
        <v>ELECTROLYSIS SYSTEM ELECTROLYSIS ARRAY 1 PROCESS WATER REFINEMENT PROCESS WATER REFINEMENT LOOP PROCESS WATER REFINEMENT UNIT PROCESS WATER REFINEMENT UNIT 1 CONDUCTIVITY - WATER REFINEMENT OUTLET ANALOG PROCESS SIGNAL</v>
      </c>
      <c r="G208" s="29" t="s">
        <v>1614</v>
      </c>
      <c r="H208" s="29" t="s">
        <v>1615</v>
      </c>
      <c r="I208" s="29" t="str">
        <f t="shared" si="19"/>
        <v>01</v>
      </c>
      <c r="J208" s="29" t="s">
        <v>1616</v>
      </c>
      <c r="K208" s="29" t="s">
        <v>2439</v>
      </c>
      <c r="L208" s="29" t="s">
        <v>2440</v>
      </c>
      <c r="M208" s="29" t="s">
        <v>1619</v>
      </c>
      <c r="N208" s="29" t="s">
        <v>2441</v>
      </c>
      <c r="O208" s="29" t="s">
        <v>2376</v>
      </c>
      <c r="P208" s="29" t="s">
        <v>2442</v>
      </c>
      <c r="Q208" s="29" t="s">
        <v>1623</v>
      </c>
      <c r="R208" s="29" t="s">
        <v>2443</v>
      </c>
      <c r="S208" s="29" t="s">
        <v>2481</v>
      </c>
      <c r="T208" s="29" t="s">
        <v>2475</v>
      </c>
      <c r="U208" s="29" t="s">
        <v>193</v>
      </c>
      <c r="V208" s="29" t="s">
        <v>1083</v>
      </c>
      <c r="W208" s="35" t="s">
        <v>1628</v>
      </c>
      <c r="X208" s="35" t="s">
        <v>2445</v>
      </c>
      <c r="Y208" s="35" t="s">
        <v>2380</v>
      </c>
      <c r="Z208" s="35" t="s">
        <v>2482</v>
      </c>
      <c r="AA208" s="35" t="s">
        <v>1666</v>
      </c>
      <c r="AB208" s="29" t="s">
        <v>2481</v>
      </c>
      <c r="AC208" s="35" t="s">
        <v>1633</v>
      </c>
      <c r="AD208" s="35" t="s">
        <v>1668</v>
      </c>
      <c r="AE208" s="35" t="s">
        <v>1668</v>
      </c>
      <c r="AF208" s="35" t="s">
        <v>1635</v>
      </c>
      <c r="AG208" s="35" t="s">
        <v>1670</v>
      </c>
      <c r="AI208" s="35"/>
      <c r="AJ208" s="35" t="s">
        <v>1671</v>
      </c>
      <c r="AK208" s="35" t="s">
        <v>1672</v>
      </c>
      <c r="AL208" s="29" t="s">
        <v>1671</v>
      </c>
      <c r="AM208" s="35" t="s">
        <v>1702</v>
      </c>
      <c r="AN208" s="35" t="s">
        <v>1703</v>
      </c>
      <c r="AO208" s="35"/>
      <c r="AP208" s="35"/>
      <c r="AQ208" s="35"/>
      <c r="AS208" s="35"/>
      <c r="AU208" s="35"/>
      <c r="AW208" s="35"/>
      <c r="AY208" s="35"/>
      <c r="AZ208" s="35"/>
      <c r="BA208" s="35"/>
      <c r="BB208" s="29" t="s">
        <v>2340</v>
      </c>
      <c r="BC208" s="29" t="s">
        <v>1900</v>
      </c>
      <c r="BD208" s="29" t="s">
        <v>2468</v>
      </c>
      <c r="BE208" s="29" t="s">
        <v>2485</v>
      </c>
      <c r="BF208" s="29" t="s">
        <v>2035</v>
      </c>
      <c r="BG208" s="29" t="s">
        <v>2483</v>
      </c>
      <c r="BH208" s="29" t="s">
        <v>2450</v>
      </c>
      <c r="BI208" s="35"/>
      <c r="BJ208" s="35"/>
      <c r="BK208" s="29" t="str" cm="1">
        <f t="array" ref="BK208">_xlfn.UNIQUE(MID(BB208,16,14))</f>
        <v>U012UNA01UH100</v>
      </c>
    </row>
    <row r="209" spans="1:63" x14ac:dyDescent="0.3">
      <c r="A209" s="29" t="s">
        <v>2437</v>
      </c>
      <c r="B209" s="36" t="str">
        <f t="shared" si="15"/>
        <v>G01NHH01HP001-QN01</v>
      </c>
      <c r="C209" s="33" t="s">
        <v>2486</v>
      </c>
      <c r="D209" s="34" t="str">
        <f t="shared" si="16"/>
        <v>ELY1 PROC WTR REF SYS 1 CV1 ANALOG1</v>
      </c>
      <c r="E209" s="31">
        <f t="shared" si="17"/>
        <v>35</v>
      </c>
      <c r="F209" s="32" t="str">
        <f t="shared" si="18"/>
        <v>ELECTROLYSIS SYSTEM ELECTROLYSIS ARRAY 1 PROCESS WATER REFINEMENT PROCESS WATER REFINEMENT LOOP PROCESS WATER REFINEMENT UNIT PROCESS WATER REFINEMENT UNIT 1 3-WAY CONTROL VALVE - WATER REFINEMENT SKID ANALOG PROCESS SIGNAL</v>
      </c>
      <c r="G209" s="29" t="s">
        <v>1614</v>
      </c>
      <c r="H209" s="29" t="s">
        <v>1615</v>
      </c>
      <c r="I209" s="29" t="str">
        <f t="shared" si="19"/>
        <v>01</v>
      </c>
      <c r="J209" s="29" t="s">
        <v>1616</v>
      </c>
      <c r="K209" s="29" t="s">
        <v>2439</v>
      </c>
      <c r="L209" s="29" t="s">
        <v>2440</v>
      </c>
      <c r="M209" s="29" t="s">
        <v>1619</v>
      </c>
      <c r="N209" s="29" t="s">
        <v>2441</v>
      </c>
      <c r="O209" s="29" t="s">
        <v>2376</v>
      </c>
      <c r="P209" s="29" t="s">
        <v>2442</v>
      </c>
      <c r="Q209" s="29" t="s">
        <v>1623</v>
      </c>
      <c r="R209" s="29" t="s">
        <v>2443</v>
      </c>
      <c r="S209" s="29" t="s">
        <v>1800</v>
      </c>
      <c r="T209" s="29" t="s">
        <v>2487</v>
      </c>
      <c r="U209" s="29" t="s">
        <v>193</v>
      </c>
      <c r="V209" s="29" t="s">
        <v>1083</v>
      </c>
      <c r="W209" s="35" t="s">
        <v>1628</v>
      </c>
      <c r="X209" s="35" t="s">
        <v>2445</v>
      </c>
      <c r="Y209" s="35" t="s">
        <v>2380</v>
      </c>
      <c r="Z209" s="35" t="s">
        <v>1802</v>
      </c>
      <c r="AA209" s="35" t="s">
        <v>1666</v>
      </c>
      <c r="AB209" s="29" t="s">
        <v>2015</v>
      </c>
      <c r="AC209" s="35" t="s">
        <v>1633</v>
      </c>
      <c r="AD209" s="35" t="s">
        <v>1668</v>
      </c>
      <c r="AE209" s="35" t="s">
        <v>1668</v>
      </c>
      <c r="AF209" s="35" t="s">
        <v>1635</v>
      </c>
      <c r="AG209" s="35" t="s">
        <v>1670</v>
      </c>
      <c r="AI209" s="35"/>
      <c r="AJ209" s="35" t="s">
        <v>1671</v>
      </c>
      <c r="AK209" s="35" t="s">
        <v>1672</v>
      </c>
      <c r="AL209" s="29" t="s">
        <v>1803</v>
      </c>
      <c r="AM209" s="35"/>
      <c r="AN209" s="35"/>
      <c r="AO209" s="35"/>
      <c r="AP209" s="35"/>
      <c r="AQ209" s="35"/>
      <c r="AS209" s="35"/>
      <c r="AU209" s="35"/>
      <c r="AW209" s="35"/>
      <c r="AY209" s="35"/>
      <c r="AZ209" s="35"/>
      <c r="BA209" s="35"/>
      <c r="BB209" s="29" t="s">
        <v>2340</v>
      </c>
      <c r="BC209" s="29" t="s">
        <v>1900</v>
      </c>
      <c r="BD209" s="29" t="s">
        <v>1804</v>
      </c>
      <c r="BE209" s="29" t="s">
        <v>1805</v>
      </c>
      <c r="BF209" s="29" t="s">
        <v>1973</v>
      </c>
      <c r="BG209" s="29" t="s">
        <v>2488</v>
      </c>
      <c r="BH209" s="29" t="s">
        <v>2450</v>
      </c>
      <c r="BI209" s="35"/>
      <c r="BJ209" s="35"/>
      <c r="BK209" s="29" t="str" cm="1">
        <f t="array" ref="BK209">_xlfn.UNIQUE(MID(BB209,16,14))</f>
        <v>U012UNA01UH100</v>
      </c>
    </row>
    <row r="210" spans="1:63" x14ac:dyDescent="0.3">
      <c r="A210" s="29" t="s">
        <v>2489</v>
      </c>
      <c r="B210" s="36" t="str">
        <f t="shared" si="15"/>
        <v>G01NHP01WP001-BT01</v>
      </c>
      <c r="C210" s="33" t="s">
        <v>2490</v>
      </c>
      <c r="D210" s="34" t="str">
        <f t="shared" si="16"/>
        <v>ELY1 HEAT DISS PIPING TEMP1 ANALOG1</v>
      </c>
      <c r="E210" s="31">
        <f t="shared" si="17"/>
        <v>35</v>
      </c>
      <c r="F210" s="32" t="str">
        <f t="shared" si="18"/>
        <v>ELECTROLYSIS SYSTEM ELECTROLYSIS ARRAY 1 HEAT DISSIPATION SYSTEMS HEAT DISSIPATION (ELECTROLYSER SYSTEM) DISTRIBUTION COOLING WATER (ELECTROLYSER SYSTEM) PLANT COOLING WATER PIPE SYSTEM TEMPERATURE - WCR GAS COOLER H2 ANALOG PROCESS SIGNAL</v>
      </c>
      <c r="G210" s="29" t="s">
        <v>1614</v>
      </c>
      <c r="H210" s="29" t="s">
        <v>1615</v>
      </c>
      <c r="I210" s="29" t="str">
        <f t="shared" si="19"/>
        <v>01</v>
      </c>
      <c r="J210" s="29" t="s">
        <v>1616</v>
      </c>
      <c r="K210" s="29" t="s">
        <v>2491</v>
      </c>
      <c r="L210" s="29" t="s">
        <v>2492</v>
      </c>
      <c r="M210" s="29" t="s">
        <v>1619</v>
      </c>
      <c r="N210" s="29" t="s">
        <v>2493</v>
      </c>
      <c r="O210" s="29" t="s">
        <v>1781</v>
      </c>
      <c r="P210" s="29" t="s">
        <v>2494</v>
      </c>
      <c r="Q210" s="29" t="s">
        <v>1623</v>
      </c>
      <c r="R210" s="29" t="s">
        <v>2495</v>
      </c>
      <c r="S210" s="29" t="s">
        <v>1715</v>
      </c>
      <c r="T210" s="29" t="s">
        <v>1342</v>
      </c>
      <c r="U210" s="29" t="s">
        <v>193</v>
      </c>
      <c r="V210" s="29" t="s">
        <v>1083</v>
      </c>
      <c r="W210" s="35" t="s">
        <v>1628</v>
      </c>
      <c r="X210" s="35" t="s">
        <v>2496</v>
      </c>
      <c r="Y210" s="35" t="s">
        <v>1785</v>
      </c>
      <c r="Z210" s="35" t="s">
        <v>1719</v>
      </c>
      <c r="AA210" s="35" t="s">
        <v>1666</v>
      </c>
      <c r="AB210" s="29" t="s">
        <v>1715</v>
      </c>
      <c r="AC210" s="35" t="s">
        <v>1633</v>
      </c>
      <c r="AD210" s="35" t="s">
        <v>1668</v>
      </c>
      <c r="AE210" s="35" t="s">
        <v>1668</v>
      </c>
      <c r="AF210" s="35" t="s">
        <v>1635</v>
      </c>
      <c r="AG210" s="35" t="s">
        <v>1670</v>
      </c>
      <c r="AI210" s="35"/>
      <c r="AJ210" s="35" t="s">
        <v>1671</v>
      </c>
      <c r="AK210" s="35" t="s">
        <v>1672</v>
      </c>
      <c r="AL210" s="29" t="s">
        <v>1706</v>
      </c>
      <c r="AM210" s="35" t="s">
        <v>1721</v>
      </c>
      <c r="AN210" s="35" t="s">
        <v>1967</v>
      </c>
      <c r="AO210" s="35"/>
      <c r="AP210" s="35"/>
      <c r="AQ210" s="35"/>
      <c r="AS210" s="35"/>
      <c r="AU210" s="35"/>
      <c r="AW210" s="35"/>
      <c r="AY210" s="35"/>
      <c r="AZ210" s="35"/>
      <c r="BA210" s="35"/>
      <c r="BB210" s="29" t="s">
        <v>2362</v>
      </c>
      <c r="BC210" s="29" t="s">
        <v>1900</v>
      </c>
      <c r="BD210" s="29" t="s">
        <v>1804</v>
      </c>
      <c r="BE210" s="29" t="s">
        <v>1805</v>
      </c>
      <c r="BF210" s="29" t="s">
        <v>1922</v>
      </c>
      <c r="BG210" s="29" t="s">
        <v>2497</v>
      </c>
      <c r="BH210" s="29" t="s">
        <v>2364</v>
      </c>
      <c r="BI210" s="35"/>
      <c r="BJ210" s="35"/>
      <c r="BK210" s="29" t="str" cm="1">
        <f t="array" ref="BK210">_xlfn.UNIQUE(MID(BB210,16,14))</f>
        <v>U012UNA01UH100</v>
      </c>
    </row>
    <row r="211" spans="1:63" x14ac:dyDescent="0.3">
      <c r="A211" s="29" t="s">
        <v>2489</v>
      </c>
      <c r="B211" s="36" t="str">
        <f t="shared" si="15"/>
        <v>G01NHP01WP001-BT02</v>
      </c>
      <c r="C211" s="33" t="s">
        <v>2498</v>
      </c>
      <c r="D211" s="34" t="str">
        <f t="shared" si="16"/>
        <v>ELY1 HEAT DISS PIPING TEMP2 ANALOG1</v>
      </c>
      <c r="E211" s="31">
        <f t="shared" si="17"/>
        <v>35</v>
      </c>
      <c r="F211" s="32" t="str">
        <f t="shared" si="18"/>
        <v>ELECTROLYSIS SYSTEM ELECTROLYSIS ARRAY 1 HEAT DISSIPATION SYSTEMS HEAT DISSIPATION (ELECTROLYSER SYSTEM) DISTRIBUTION COOLING WATER (ELECTROLYSER SYSTEM) PLANT COOLING WATER PIPE SYSTEM TEMPERATURE - WCR GAS COOLER O2 ANALOG PROCESS SIGNAL</v>
      </c>
      <c r="G211" s="29" t="s">
        <v>1614</v>
      </c>
      <c r="H211" s="29" t="s">
        <v>1615</v>
      </c>
      <c r="I211" s="29" t="str">
        <f t="shared" si="19"/>
        <v>01</v>
      </c>
      <c r="J211" s="29" t="s">
        <v>1616</v>
      </c>
      <c r="K211" s="29" t="s">
        <v>2491</v>
      </c>
      <c r="L211" s="29" t="s">
        <v>2492</v>
      </c>
      <c r="M211" s="29" t="s">
        <v>1619</v>
      </c>
      <c r="N211" s="29" t="s">
        <v>2493</v>
      </c>
      <c r="O211" s="29" t="s">
        <v>1781</v>
      </c>
      <c r="P211" s="29" t="s">
        <v>2494</v>
      </c>
      <c r="Q211" s="29" t="s">
        <v>1623</v>
      </c>
      <c r="R211" s="29" t="s">
        <v>2495</v>
      </c>
      <c r="S211" s="29" t="s">
        <v>1791</v>
      </c>
      <c r="T211" s="29" t="s">
        <v>1346</v>
      </c>
      <c r="U211" s="29" t="s">
        <v>193</v>
      </c>
      <c r="V211" s="29" t="s">
        <v>1083</v>
      </c>
      <c r="W211" s="35" t="s">
        <v>1628</v>
      </c>
      <c r="X211" s="35" t="s">
        <v>2496</v>
      </c>
      <c r="Y211" s="35" t="s">
        <v>1785</v>
      </c>
      <c r="Z211" s="35" t="s">
        <v>1793</v>
      </c>
      <c r="AA211" s="35" t="s">
        <v>1666</v>
      </c>
      <c r="AB211" s="29" t="s">
        <v>1791</v>
      </c>
      <c r="AC211" s="35" t="s">
        <v>1633</v>
      </c>
      <c r="AD211" s="35" t="s">
        <v>1668</v>
      </c>
      <c r="AE211" s="35" t="s">
        <v>1668</v>
      </c>
      <c r="AF211" s="35" t="s">
        <v>1635</v>
      </c>
      <c r="AG211" s="35" t="s">
        <v>1670</v>
      </c>
      <c r="AI211" s="35"/>
      <c r="AJ211" s="35" t="s">
        <v>1671</v>
      </c>
      <c r="AK211" s="35" t="s">
        <v>1672</v>
      </c>
      <c r="AL211" s="29" t="s">
        <v>1706</v>
      </c>
      <c r="AM211" s="35" t="s">
        <v>1721</v>
      </c>
      <c r="AN211" s="35" t="s">
        <v>1967</v>
      </c>
      <c r="AO211" s="35"/>
      <c r="AP211" s="35"/>
      <c r="AQ211" s="35"/>
      <c r="AS211" s="35"/>
      <c r="AU211" s="35"/>
      <c r="AW211" s="35"/>
      <c r="AY211" s="35"/>
      <c r="AZ211" s="35"/>
      <c r="BA211" s="35"/>
      <c r="BB211" s="29" t="s">
        <v>2362</v>
      </c>
      <c r="BC211" s="29" t="s">
        <v>1900</v>
      </c>
      <c r="BD211" s="29" t="s">
        <v>1804</v>
      </c>
      <c r="BE211" s="29" t="s">
        <v>1805</v>
      </c>
      <c r="BF211" s="29" t="s">
        <v>1936</v>
      </c>
      <c r="BG211" s="29" t="s">
        <v>2499</v>
      </c>
      <c r="BH211" s="29" t="s">
        <v>2413</v>
      </c>
      <c r="BI211" s="35"/>
      <c r="BJ211" s="35"/>
      <c r="BK211" s="29" t="str" cm="1">
        <f t="array" ref="BK211">_xlfn.UNIQUE(MID(BB211,16,14))</f>
        <v>U012UNA01UH100</v>
      </c>
    </row>
    <row r="212" spans="1:63" x14ac:dyDescent="0.3">
      <c r="A212" s="29" t="s">
        <v>2489</v>
      </c>
      <c r="B212" s="36" t="str">
        <f t="shared" si="15"/>
        <v>G01NHP01WP001-QN01</v>
      </c>
      <c r="C212" s="33" t="s">
        <v>2500</v>
      </c>
      <c r="D212" s="34" t="str">
        <f t="shared" si="16"/>
        <v>ELY1 HEAT DISS PIPING CV1 ANALOG1</v>
      </c>
      <c r="E212" s="31">
        <f t="shared" si="17"/>
        <v>33</v>
      </c>
      <c r="F212" s="32" t="str">
        <f t="shared" si="18"/>
        <v>ELECTROLYSIS SYSTEM ELECTROLYSIS ARRAY 1 HEAT DISSIPATION SYSTEMS HEAT DISSIPATION (ELECTROLYSER SYSTEM) DISTRIBUTION COOLING WATER (ELECTROLYSER SYSTEM) PLANT COOLING WATER PIPE SYSTEM CONTROL VALVE - GAS COOLER H2 COOLING WATER ANALOG PROCESS SIGNAL</v>
      </c>
      <c r="G212" s="29" t="s">
        <v>1614</v>
      </c>
      <c r="H212" s="29" t="s">
        <v>1615</v>
      </c>
      <c r="I212" s="29" t="str">
        <f t="shared" si="19"/>
        <v>01</v>
      </c>
      <c r="J212" s="29" t="s">
        <v>1616</v>
      </c>
      <c r="K212" s="29" t="s">
        <v>2491</v>
      </c>
      <c r="L212" s="29" t="s">
        <v>2492</v>
      </c>
      <c r="M212" s="29" t="s">
        <v>1619</v>
      </c>
      <c r="N212" s="29" t="s">
        <v>2493</v>
      </c>
      <c r="O212" s="29" t="s">
        <v>1781</v>
      </c>
      <c r="P212" s="29" t="s">
        <v>2494</v>
      </c>
      <c r="Q212" s="29" t="s">
        <v>1623</v>
      </c>
      <c r="R212" s="29" t="s">
        <v>2495</v>
      </c>
      <c r="S212" s="29" t="s">
        <v>1800</v>
      </c>
      <c r="T212" s="29" t="s">
        <v>1348</v>
      </c>
      <c r="U212" s="29" t="s">
        <v>193</v>
      </c>
      <c r="V212" s="29" t="s">
        <v>1083</v>
      </c>
      <c r="W212" s="35" t="s">
        <v>1628</v>
      </c>
      <c r="X212" s="35" t="s">
        <v>2496</v>
      </c>
      <c r="Y212" s="35" t="s">
        <v>1785</v>
      </c>
      <c r="Z212" s="35" t="s">
        <v>1802</v>
      </c>
      <c r="AA212" s="35" t="s">
        <v>1666</v>
      </c>
      <c r="AB212" s="29" t="s">
        <v>2015</v>
      </c>
      <c r="AC212" s="35" t="s">
        <v>1633</v>
      </c>
      <c r="AD212" s="35" t="s">
        <v>1668</v>
      </c>
      <c r="AE212" s="35" t="s">
        <v>1668</v>
      </c>
      <c r="AF212" s="35" t="s">
        <v>1635</v>
      </c>
      <c r="AG212" s="35" t="s">
        <v>1670</v>
      </c>
      <c r="AI212" s="35"/>
      <c r="AJ212" s="35" t="s">
        <v>1671</v>
      </c>
      <c r="AK212" s="35" t="s">
        <v>1672</v>
      </c>
      <c r="AL212" s="29" t="s">
        <v>1803</v>
      </c>
      <c r="AM212" s="35"/>
      <c r="AN212" s="35"/>
      <c r="AO212" s="35"/>
      <c r="AP212" s="35"/>
      <c r="AQ212" s="35"/>
      <c r="AS212" s="35"/>
      <c r="AU212" s="35"/>
      <c r="AW212" s="35"/>
      <c r="AY212" s="35"/>
      <c r="AZ212" s="35"/>
      <c r="BA212" s="35"/>
      <c r="BB212" s="29" t="s">
        <v>2362</v>
      </c>
      <c r="BC212" s="29" t="s">
        <v>1900</v>
      </c>
      <c r="BD212" s="29" t="s">
        <v>1804</v>
      </c>
      <c r="BE212" s="29" t="s">
        <v>1805</v>
      </c>
      <c r="BF212" s="29" t="s">
        <v>2341</v>
      </c>
      <c r="BG212" s="29" t="s">
        <v>2501</v>
      </c>
      <c r="BH212" s="29" t="s">
        <v>2364</v>
      </c>
      <c r="BI212" s="35"/>
      <c r="BJ212" s="35"/>
      <c r="BK212" s="29" t="str" cm="1">
        <f t="array" ref="BK212">_xlfn.UNIQUE(MID(BB212,16,14))</f>
        <v>U012UNA01UH100</v>
      </c>
    </row>
    <row r="213" spans="1:63" x14ac:dyDescent="0.3">
      <c r="A213" s="29" t="s">
        <v>2489</v>
      </c>
      <c r="B213" s="36" t="str">
        <f t="shared" si="15"/>
        <v>G01NHP01WP001-QN02</v>
      </c>
      <c r="C213" s="33" t="s">
        <v>2502</v>
      </c>
      <c r="D213" s="34" t="str">
        <f t="shared" si="16"/>
        <v>ELY1 HEAT DISS PIPING CV2 ANALOG1</v>
      </c>
      <c r="E213" s="31">
        <f t="shared" si="17"/>
        <v>33</v>
      </c>
      <c r="F213" s="32" t="str">
        <f t="shared" si="18"/>
        <v>ELECTROLYSIS SYSTEM ELECTROLYSIS ARRAY 1 HEAT DISSIPATION SYSTEMS HEAT DISSIPATION (ELECTROLYSER SYSTEM) DISTRIBUTION COOLING WATER (ELECTROLYSER SYSTEM) PLANT COOLING WATER PIPE SYSTEM CONTROL VALVE - GAS COOLER O2 COOLING WATER ANALOG PROCESS SIGNAL</v>
      </c>
      <c r="G213" s="29" t="s">
        <v>1614</v>
      </c>
      <c r="H213" s="29" t="s">
        <v>1615</v>
      </c>
      <c r="I213" s="29" t="str">
        <f t="shared" si="19"/>
        <v>01</v>
      </c>
      <c r="J213" s="29" t="s">
        <v>1616</v>
      </c>
      <c r="K213" s="29" t="s">
        <v>2491</v>
      </c>
      <c r="L213" s="29" t="s">
        <v>2492</v>
      </c>
      <c r="M213" s="29" t="s">
        <v>1619</v>
      </c>
      <c r="N213" s="29" t="s">
        <v>2493</v>
      </c>
      <c r="O213" s="29" t="s">
        <v>1781</v>
      </c>
      <c r="P213" s="29" t="s">
        <v>2494</v>
      </c>
      <c r="Q213" s="29" t="s">
        <v>1623</v>
      </c>
      <c r="R213" s="29" t="s">
        <v>2495</v>
      </c>
      <c r="S213" s="29" t="s">
        <v>2369</v>
      </c>
      <c r="T213" s="29" t="s">
        <v>1350</v>
      </c>
      <c r="U213" s="29" t="s">
        <v>193</v>
      </c>
      <c r="V213" s="29" t="s">
        <v>1083</v>
      </c>
      <c r="W213" s="35" t="s">
        <v>1628</v>
      </c>
      <c r="X213" s="35" t="s">
        <v>2496</v>
      </c>
      <c r="Y213" s="35" t="s">
        <v>1785</v>
      </c>
      <c r="Z213" s="35" t="s">
        <v>2371</v>
      </c>
      <c r="AA213" s="35" t="s">
        <v>1666</v>
      </c>
      <c r="AB213" s="29" t="s">
        <v>2372</v>
      </c>
      <c r="AC213" s="35" t="s">
        <v>1633</v>
      </c>
      <c r="AD213" s="35" t="s">
        <v>1668</v>
      </c>
      <c r="AE213" s="35" t="s">
        <v>1668</v>
      </c>
      <c r="AF213" s="35" t="s">
        <v>1635</v>
      </c>
      <c r="AG213" s="35" t="s">
        <v>1670</v>
      </c>
      <c r="AI213" s="35"/>
      <c r="AJ213" s="35" t="s">
        <v>1671</v>
      </c>
      <c r="AK213" s="35" t="s">
        <v>1672</v>
      </c>
      <c r="AL213" s="29" t="s">
        <v>1803</v>
      </c>
      <c r="AM213" s="35"/>
      <c r="AN213" s="35"/>
      <c r="AO213" s="35"/>
      <c r="AP213" s="35"/>
      <c r="AQ213" s="35"/>
      <c r="AS213" s="35"/>
      <c r="AU213" s="35"/>
      <c r="AW213" s="35"/>
      <c r="AY213" s="35"/>
      <c r="AZ213" s="35"/>
      <c r="BA213" s="35"/>
      <c r="BB213" s="29" t="s">
        <v>2362</v>
      </c>
      <c r="BC213" s="29" t="s">
        <v>1900</v>
      </c>
      <c r="BD213" s="29" t="s">
        <v>1804</v>
      </c>
      <c r="BE213" s="29" t="s">
        <v>1805</v>
      </c>
      <c r="BF213" s="29" t="s">
        <v>2388</v>
      </c>
      <c r="BG213" s="29" t="s">
        <v>2503</v>
      </c>
      <c r="BH213" s="29" t="s">
        <v>2413</v>
      </c>
      <c r="BI213" s="35"/>
      <c r="BJ213" s="35"/>
      <c r="BK213" s="29" t="str" cm="1">
        <f t="array" ref="BK213">_xlfn.UNIQUE(MID(BB213,16,14))</f>
        <v>U012UNA01UH100</v>
      </c>
    </row>
    <row r="214" spans="1:63" x14ac:dyDescent="0.3">
      <c r="A214" s="29" t="s">
        <v>2504</v>
      </c>
      <c r="B214" s="36" t="str">
        <f t="shared" si="15"/>
        <v>G01NHX01QN001-BF01</v>
      </c>
      <c r="C214" s="33" t="s">
        <v>2505</v>
      </c>
      <c r="D214" s="34" t="str">
        <f t="shared" si="16"/>
        <v>ELY1 N2 DIST CTRL H2 FLOW1 ANALOG1</v>
      </c>
      <c r="E214" s="31">
        <f t="shared" si="17"/>
        <v>34</v>
      </c>
      <c r="F214" s="32" t="str">
        <f t="shared" si="18"/>
        <v>ELECTROLYSIS SYSTEM ELECTROLYSIS ARRAY 1 AUXILIARY SYSTEMS NITROGEN DISTRIBUTION NITROGEN REGULATION SYSTEMS NITROGEN REGULATION H2 FLOWMETER - NITROGEN H2 SIDE ANALOG PROCESS SIGNAL</v>
      </c>
      <c r="G214" s="29" t="s">
        <v>1614</v>
      </c>
      <c r="H214" s="29" t="s">
        <v>1615</v>
      </c>
      <c r="I214" s="29" t="str">
        <f t="shared" si="19"/>
        <v>01</v>
      </c>
      <c r="J214" s="29" t="s">
        <v>1616</v>
      </c>
      <c r="K214" s="29" t="s">
        <v>2506</v>
      </c>
      <c r="L214" s="29" t="s">
        <v>2507</v>
      </c>
      <c r="M214" s="29" t="s">
        <v>1619</v>
      </c>
      <c r="N214" s="29" t="s">
        <v>2508</v>
      </c>
      <c r="O214" s="29" t="s">
        <v>2509</v>
      </c>
      <c r="P214" s="29" t="s">
        <v>2510</v>
      </c>
      <c r="Q214" s="29" t="s">
        <v>1623</v>
      </c>
      <c r="R214" s="29" t="s">
        <v>2511</v>
      </c>
      <c r="S214" s="29" t="s">
        <v>1625</v>
      </c>
      <c r="T214" s="29" t="s">
        <v>1410</v>
      </c>
      <c r="U214" s="29" t="s">
        <v>193</v>
      </c>
      <c r="V214" s="29" t="s">
        <v>1083</v>
      </c>
      <c r="W214" s="35" t="s">
        <v>1628</v>
      </c>
      <c r="X214" s="35" t="s">
        <v>2512</v>
      </c>
      <c r="Y214" s="35" t="s">
        <v>2513</v>
      </c>
      <c r="Z214" s="35" t="s">
        <v>1631</v>
      </c>
      <c r="AA214" s="35" t="s">
        <v>1666</v>
      </c>
      <c r="AB214" s="29" t="s">
        <v>1625</v>
      </c>
      <c r="AC214" s="35" t="s">
        <v>1633</v>
      </c>
      <c r="AD214" s="35" t="s">
        <v>1668</v>
      </c>
      <c r="AE214" s="35" t="s">
        <v>1668</v>
      </c>
      <c r="AF214" s="35" t="s">
        <v>1635</v>
      </c>
      <c r="AG214" s="35" t="s">
        <v>1670</v>
      </c>
      <c r="AI214" s="35"/>
      <c r="AJ214" s="35" t="s">
        <v>1671</v>
      </c>
      <c r="AK214" s="35" t="s">
        <v>1672</v>
      </c>
      <c r="AL214" s="29" t="s">
        <v>1697</v>
      </c>
      <c r="AM214" s="35"/>
      <c r="AN214" s="35"/>
      <c r="AO214" s="35"/>
      <c r="AP214" s="35"/>
      <c r="AQ214" s="35"/>
      <c r="AS214" s="35"/>
      <c r="AU214" s="35"/>
      <c r="AW214" s="35"/>
      <c r="AY214" s="35"/>
      <c r="AZ214" s="35"/>
      <c r="BA214" s="35"/>
      <c r="BB214" s="29" t="s">
        <v>2340</v>
      </c>
      <c r="BC214" s="29" t="s">
        <v>1900</v>
      </c>
      <c r="BD214" s="29" t="s">
        <v>1804</v>
      </c>
      <c r="BE214" s="29" t="s">
        <v>1805</v>
      </c>
      <c r="BF214" s="29" t="s">
        <v>2051</v>
      </c>
      <c r="BG214" s="29" t="s">
        <v>2514</v>
      </c>
      <c r="BH214" s="29" t="s">
        <v>2515</v>
      </c>
      <c r="BI214" s="35"/>
      <c r="BJ214" s="35"/>
      <c r="BK214" s="29" t="str" cm="1">
        <f t="array" ref="BK214">_xlfn.UNIQUE(MID(BB214,16,14))</f>
        <v>U012UNA01UH100</v>
      </c>
    </row>
    <row r="215" spans="1:63" x14ac:dyDescent="0.3">
      <c r="A215" s="29" t="s">
        <v>2504</v>
      </c>
      <c r="B215" s="36" t="str">
        <f t="shared" si="15"/>
        <v>G01NHX01QN001-BP01</v>
      </c>
      <c r="C215" s="33" t="s">
        <v>2516</v>
      </c>
      <c r="D215" s="34" t="str">
        <f t="shared" si="16"/>
        <v>ELY1 N2 DIST CTRL H2 PRES1 ANALOG1</v>
      </c>
      <c r="E215" s="31">
        <f t="shared" si="17"/>
        <v>34</v>
      </c>
      <c r="F215" s="32" t="str">
        <f t="shared" si="18"/>
        <v>ELECTROLYSIS SYSTEM ELECTROLYSIS ARRAY 1 AUXILIARY SYSTEMS NITROGEN DISTRIBUTION NITROGEN REGULATION SYSTEMS NITROGEN REGULATION H2 PRESSURE - NITROGEN H2 SIDE ANALOG PROCESS SIGNAL</v>
      </c>
      <c r="G215" s="29" t="s">
        <v>1614</v>
      </c>
      <c r="H215" s="29" t="s">
        <v>1615</v>
      </c>
      <c r="I215" s="29" t="str">
        <f t="shared" si="19"/>
        <v>01</v>
      </c>
      <c r="J215" s="29" t="s">
        <v>1616</v>
      </c>
      <c r="K215" s="29" t="s">
        <v>2506</v>
      </c>
      <c r="L215" s="29" t="s">
        <v>2507</v>
      </c>
      <c r="M215" s="29" t="s">
        <v>1619</v>
      </c>
      <c r="N215" s="29" t="s">
        <v>2508</v>
      </c>
      <c r="O215" s="29" t="s">
        <v>2509</v>
      </c>
      <c r="P215" s="29" t="s">
        <v>2510</v>
      </c>
      <c r="Q215" s="29" t="s">
        <v>1623</v>
      </c>
      <c r="R215" s="29" t="s">
        <v>2511</v>
      </c>
      <c r="S215" s="29" t="s">
        <v>1681</v>
      </c>
      <c r="T215" s="29" t="s">
        <v>2517</v>
      </c>
      <c r="U215" s="29" t="s">
        <v>193</v>
      </c>
      <c r="V215" s="29" t="s">
        <v>1083</v>
      </c>
      <c r="W215" s="35" t="s">
        <v>1628</v>
      </c>
      <c r="X215" s="35" t="s">
        <v>2512</v>
      </c>
      <c r="Y215" s="35" t="s">
        <v>2513</v>
      </c>
      <c r="Z215" s="35" t="s">
        <v>1684</v>
      </c>
      <c r="AA215" s="35" t="s">
        <v>1666</v>
      </c>
      <c r="AB215" s="29" t="s">
        <v>1681</v>
      </c>
      <c r="AC215" s="35" t="s">
        <v>1633</v>
      </c>
      <c r="AD215" s="35" t="s">
        <v>1668</v>
      </c>
      <c r="AE215" s="35" t="s">
        <v>1668</v>
      </c>
      <c r="AF215" s="35" t="s">
        <v>1635</v>
      </c>
      <c r="AG215" s="35" t="s">
        <v>1670</v>
      </c>
      <c r="AI215" s="35"/>
      <c r="AJ215" s="35" t="s">
        <v>1671</v>
      </c>
      <c r="AK215" s="35" t="s">
        <v>1638</v>
      </c>
      <c r="AL215" s="29" t="s">
        <v>2518</v>
      </c>
      <c r="AM215" s="35" t="s">
        <v>1765</v>
      </c>
      <c r="AN215" s="35" t="s">
        <v>2519</v>
      </c>
      <c r="AO215" s="35"/>
      <c r="AP215" s="35"/>
      <c r="AQ215" s="35"/>
      <c r="AS215" s="35"/>
      <c r="AT215" s="29" t="s">
        <v>1640</v>
      </c>
      <c r="AU215" s="35"/>
      <c r="AV215" s="29" t="s">
        <v>1641</v>
      </c>
      <c r="AW215" s="35"/>
      <c r="AX215" s="29" t="s">
        <v>1674</v>
      </c>
      <c r="AY215" s="35"/>
      <c r="AZ215" s="35" t="s">
        <v>1642</v>
      </c>
      <c r="BA215" s="35" t="s">
        <v>2002</v>
      </c>
      <c r="BB215" s="29" t="s">
        <v>2420</v>
      </c>
      <c r="BC215" s="29" t="s">
        <v>2004</v>
      </c>
      <c r="BD215" s="29" t="s">
        <v>2520</v>
      </c>
      <c r="BE215" s="29" t="s">
        <v>2521</v>
      </c>
      <c r="BF215" s="29" t="s">
        <v>1909</v>
      </c>
      <c r="BG215" s="29" t="s">
        <v>2522</v>
      </c>
      <c r="BH215" s="29" t="s">
        <v>2515</v>
      </c>
      <c r="BI215" s="35"/>
      <c r="BJ215" s="35"/>
      <c r="BK215" s="29" t="str" cm="1">
        <f t="array" ref="BK215">_xlfn.UNIQUE(MID(BB215,16,14))</f>
        <v>U012UNA01UH100</v>
      </c>
    </row>
    <row r="216" spans="1:63" x14ac:dyDescent="0.3">
      <c r="A216" s="29" t="s">
        <v>2504</v>
      </c>
      <c r="B216" s="36" t="str">
        <f t="shared" si="15"/>
        <v>G01NHX01QN001-BT01</v>
      </c>
      <c r="C216" s="33" t="s">
        <v>2523</v>
      </c>
      <c r="D216" s="34" t="str">
        <f t="shared" si="16"/>
        <v>ELY1 N2 DIST CTRL H2 TEMP1 ANALOG1</v>
      </c>
      <c r="E216" s="31">
        <f t="shared" si="17"/>
        <v>34</v>
      </c>
      <c r="F216" s="32" t="str">
        <f t="shared" si="18"/>
        <v>ELECTROLYSIS SYSTEM ELECTROLYSIS ARRAY 1 AUXILIARY SYSTEMS NITROGEN DISTRIBUTION NITROGEN REGULATION SYSTEMS NITROGEN REGULATION H2 TEMPERATURE - NITROGEN INLET ANALOG PROCESS SIGNAL</v>
      </c>
      <c r="G216" s="29" t="s">
        <v>1614</v>
      </c>
      <c r="H216" s="29" t="s">
        <v>1615</v>
      </c>
      <c r="I216" s="29" t="str">
        <f t="shared" si="19"/>
        <v>01</v>
      </c>
      <c r="J216" s="29" t="s">
        <v>1616</v>
      </c>
      <c r="K216" s="29" t="s">
        <v>2506</v>
      </c>
      <c r="L216" s="29" t="s">
        <v>2507</v>
      </c>
      <c r="M216" s="29" t="s">
        <v>1619</v>
      </c>
      <c r="N216" s="29" t="s">
        <v>2508</v>
      </c>
      <c r="O216" s="29" t="s">
        <v>2509</v>
      </c>
      <c r="P216" s="29" t="s">
        <v>2510</v>
      </c>
      <c r="Q216" s="29" t="s">
        <v>1623</v>
      </c>
      <c r="R216" s="29" t="s">
        <v>2511</v>
      </c>
      <c r="S216" s="29" t="s">
        <v>1715</v>
      </c>
      <c r="T216" s="29" t="s">
        <v>2524</v>
      </c>
      <c r="U216" s="29" t="s">
        <v>193</v>
      </c>
      <c r="V216" s="29" t="s">
        <v>1083</v>
      </c>
      <c r="W216" s="35" t="s">
        <v>1628</v>
      </c>
      <c r="X216" s="35" t="s">
        <v>2512</v>
      </c>
      <c r="Y216" s="35" t="s">
        <v>2513</v>
      </c>
      <c r="Z216" s="35" t="s">
        <v>1719</v>
      </c>
      <c r="AA216" s="35" t="s">
        <v>1666</v>
      </c>
      <c r="AB216" s="29" t="s">
        <v>1715</v>
      </c>
      <c r="AC216" s="35" t="s">
        <v>1633</v>
      </c>
      <c r="AD216" s="35" t="s">
        <v>1668</v>
      </c>
      <c r="AE216" s="35" t="s">
        <v>1668</v>
      </c>
      <c r="AF216" s="35" t="s">
        <v>1635</v>
      </c>
      <c r="AG216" s="35" t="s">
        <v>1670</v>
      </c>
      <c r="AI216" s="35"/>
      <c r="AJ216" s="35" t="s">
        <v>1671</v>
      </c>
      <c r="AK216" s="35" t="s">
        <v>1672</v>
      </c>
      <c r="AL216" s="29" t="s">
        <v>1706</v>
      </c>
      <c r="AM216" s="35" t="s">
        <v>1721</v>
      </c>
      <c r="AN216" s="35" t="s">
        <v>1967</v>
      </c>
      <c r="AO216" s="35"/>
      <c r="AP216" s="35"/>
      <c r="AQ216" s="35"/>
      <c r="AS216" s="35"/>
      <c r="AU216" s="35"/>
      <c r="AW216" s="35"/>
      <c r="AY216" s="35"/>
      <c r="AZ216" s="35"/>
      <c r="BA216" s="35"/>
      <c r="BB216" s="29" t="s">
        <v>2362</v>
      </c>
      <c r="BC216" s="29" t="s">
        <v>1900</v>
      </c>
      <c r="BD216" s="29" t="s">
        <v>1804</v>
      </c>
      <c r="BE216" s="29" t="s">
        <v>1805</v>
      </c>
      <c r="BF216" s="29" t="s">
        <v>1905</v>
      </c>
      <c r="BG216" s="29" t="s">
        <v>2525</v>
      </c>
      <c r="BH216" s="29" t="s">
        <v>2515</v>
      </c>
      <c r="BI216" s="35"/>
      <c r="BJ216" s="35"/>
      <c r="BK216" s="29" t="str" cm="1">
        <f t="array" ref="BK216">_xlfn.UNIQUE(MID(BB216,16,14))</f>
        <v>U012UNA01UH100</v>
      </c>
    </row>
    <row r="217" spans="1:63" x14ac:dyDescent="0.3">
      <c r="A217" s="29" t="s">
        <v>2504</v>
      </c>
      <c r="B217" s="36" t="str">
        <f t="shared" si="15"/>
        <v>G01NHX01QN001-QN01</v>
      </c>
      <c r="C217" s="33" t="s">
        <v>2526</v>
      </c>
      <c r="D217" s="34" t="str">
        <f t="shared" si="16"/>
        <v>ELY1 N2 DIST CTRL H2 CV1 ANALOG1</v>
      </c>
      <c r="E217" s="31">
        <f t="shared" si="17"/>
        <v>32</v>
      </c>
      <c r="F217" s="32" t="str">
        <f t="shared" si="18"/>
        <v>ELECTROLYSIS SYSTEM ELECTROLYSIS ARRAY 1 AUXILIARY SYSTEMS NITROGEN DISTRIBUTION NITROGEN REGULATION SYSTEMS NITROGEN REGULATION H2 CONTROL VALVE - NITROGEN H2 SIDE ANALOG PROCESS SIGNAL</v>
      </c>
      <c r="G217" s="29" t="s">
        <v>1614</v>
      </c>
      <c r="H217" s="29" t="s">
        <v>1615</v>
      </c>
      <c r="I217" s="29" t="str">
        <f t="shared" si="19"/>
        <v>01</v>
      </c>
      <c r="J217" s="29" t="s">
        <v>1616</v>
      </c>
      <c r="K217" s="29" t="s">
        <v>2506</v>
      </c>
      <c r="L217" s="29" t="s">
        <v>2507</v>
      </c>
      <c r="M217" s="29" t="s">
        <v>1619</v>
      </c>
      <c r="N217" s="29" t="s">
        <v>2508</v>
      </c>
      <c r="O217" s="29" t="s">
        <v>2509</v>
      </c>
      <c r="P217" s="29" t="s">
        <v>2510</v>
      </c>
      <c r="Q217" s="29" t="s">
        <v>1623</v>
      </c>
      <c r="R217" s="29" t="s">
        <v>2511</v>
      </c>
      <c r="S217" s="29" t="s">
        <v>1800</v>
      </c>
      <c r="T217" s="29" t="s">
        <v>2527</v>
      </c>
      <c r="U217" s="29" t="s">
        <v>193</v>
      </c>
      <c r="V217" s="29" t="s">
        <v>1083</v>
      </c>
      <c r="W217" s="35" t="s">
        <v>1628</v>
      </c>
      <c r="X217" s="35" t="s">
        <v>2512</v>
      </c>
      <c r="Y217" s="35" t="s">
        <v>2513</v>
      </c>
      <c r="Z217" s="35" t="s">
        <v>1802</v>
      </c>
      <c r="AA217" s="35" t="s">
        <v>1666</v>
      </c>
      <c r="AB217" s="29" t="s">
        <v>2015</v>
      </c>
      <c r="AC217" s="35" t="s">
        <v>1633</v>
      </c>
      <c r="AD217" s="35" t="s">
        <v>1668</v>
      </c>
      <c r="AE217" s="35" t="s">
        <v>1668</v>
      </c>
      <c r="AF217" s="35" t="s">
        <v>1635</v>
      </c>
      <c r="AG217" s="35" t="s">
        <v>1670</v>
      </c>
      <c r="AI217" s="35"/>
      <c r="AJ217" s="35" t="s">
        <v>1671</v>
      </c>
      <c r="AK217" s="35" t="s">
        <v>1672</v>
      </c>
      <c r="AL217" s="29" t="s">
        <v>1803</v>
      </c>
      <c r="AM217" s="35"/>
      <c r="AN217" s="35"/>
      <c r="AO217" s="35"/>
      <c r="AP217" s="35"/>
      <c r="AQ217" s="35"/>
      <c r="AS217" s="35"/>
      <c r="AU217" s="35"/>
      <c r="AW217" s="35"/>
      <c r="AY217" s="35"/>
      <c r="AZ217" s="35"/>
      <c r="BA217" s="35"/>
      <c r="BB217" s="29" t="s">
        <v>2362</v>
      </c>
      <c r="BC217" s="29" t="s">
        <v>1900</v>
      </c>
      <c r="BD217" s="29" t="s">
        <v>1804</v>
      </c>
      <c r="BE217" s="29" t="s">
        <v>1805</v>
      </c>
      <c r="BF217" s="29" t="s">
        <v>2048</v>
      </c>
      <c r="BG217" s="29" t="s">
        <v>2528</v>
      </c>
      <c r="BH217" s="29" t="s">
        <v>2515</v>
      </c>
      <c r="BI217" s="35"/>
      <c r="BJ217" s="35"/>
      <c r="BK217" s="29" t="str" cm="1">
        <f t="array" ref="BK217">_xlfn.UNIQUE(MID(BB217,16,14))</f>
        <v>U012UNA01UH100</v>
      </c>
    </row>
    <row r="218" spans="1:63" x14ac:dyDescent="0.3">
      <c r="A218" s="29" t="s">
        <v>2529</v>
      </c>
      <c r="B218" s="36" t="str">
        <f t="shared" si="15"/>
        <v>G01NHX01QN002-BF01</v>
      </c>
      <c r="C218" s="33" t="s">
        <v>2530</v>
      </c>
      <c r="D218" s="34" t="str">
        <f t="shared" si="16"/>
        <v>ELY1 N2 DIST CTRL O2 FLOW1 ANALOG1</v>
      </c>
      <c r="E218" s="31">
        <f t="shared" si="17"/>
        <v>34</v>
      </c>
      <c r="F218" s="32" t="str">
        <f t="shared" si="18"/>
        <v>ELECTROLYSIS SYSTEM ELECTROLYSIS ARRAY 1 AUXILIARY SYSTEMS NITROGEN DISTRIBUTION NITROGEN REGULATION SYSTEMS NITROGEN REGULATION O2 FLOWMETER - NITROGEN O2 SIDE ANALOG PROCESS SIGNAL</v>
      </c>
      <c r="G218" s="29" t="s">
        <v>1614</v>
      </c>
      <c r="H218" s="29" t="s">
        <v>1615</v>
      </c>
      <c r="I218" s="29" t="str">
        <f t="shared" si="19"/>
        <v>01</v>
      </c>
      <c r="J218" s="29" t="s">
        <v>1616</v>
      </c>
      <c r="K218" s="29" t="s">
        <v>2506</v>
      </c>
      <c r="L218" s="29" t="s">
        <v>2507</v>
      </c>
      <c r="M218" s="29" t="s">
        <v>1619</v>
      </c>
      <c r="N218" s="29" t="s">
        <v>2508</v>
      </c>
      <c r="O218" s="29" t="s">
        <v>2509</v>
      </c>
      <c r="P218" s="29" t="s">
        <v>2510</v>
      </c>
      <c r="Q218" s="29" t="s">
        <v>1872</v>
      </c>
      <c r="R218" s="29" t="s">
        <v>2531</v>
      </c>
      <c r="S218" s="29" t="s">
        <v>1625</v>
      </c>
      <c r="T218" s="29" t="s">
        <v>1416</v>
      </c>
      <c r="U218" s="29" t="s">
        <v>193</v>
      </c>
      <c r="V218" s="29" t="s">
        <v>1083</v>
      </c>
      <c r="W218" s="35" t="s">
        <v>1628</v>
      </c>
      <c r="X218" s="35" t="s">
        <v>2512</v>
      </c>
      <c r="Y218" s="35" t="s">
        <v>2532</v>
      </c>
      <c r="Z218" s="35" t="s">
        <v>1631</v>
      </c>
      <c r="AA218" s="35" t="s">
        <v>1666</v>
      </c>
      <c r="AB218" s="29" t="s">
        <v>1625</v>
      </c>
      <c r="AC218" s="35" t="s">
        <v>1633</v>
      </c>
      <c r="AD218" s="35" t="s">
        <v>1668</v>
      </c>
      <c r="AE218" s="35" t="s">
        <v>1668</v>
      </c>
      <c r="AF218" s="35" t="s">
        <v>1635</v>
      </c>
      <c r="AG218" s="35" t="s">
        <v>1670</v>
      </c>
      <c r="AI218" s="35"/>
      <c r="AJ218" s="35" t="s">
        <v>1671</v>
      </c>
      <c r="AK218" s="35" t="s">
        <v>1672</v>
      </c>
      <c r="AL218" s="29" t="s">
        <v>1697</v>
      </c>
      <c r="AM218" s="35"/>
      <c r="AN218" s="35"/>
      <c r="AO218" s="35"/>
      <c r="AP218" s="35"/>
      <c r="AQ218" s="35"/>
      <c r="AS218" s="35"/>
      <c r="AU218" s="35"/>
      <c r="AW218" s="35"/>
      <c r="AY218" s="35"/>
      <c r="AZ218" s="35"/>
      <c r="BA218" s="35"/>
      <c r="BB218" s="29" t="s">
        <v>2340</v>
      </c>
      <c r="BC218" s="29" t="s">
        <v>1900</v>
      </c>
      <c r="BD218" s="29" t="s">
        <v>1804</v>
      </c>
      <c r="BE218" s="29" t="s">
        <v>1805</v>
      </c>
      <c r="BF218" s="29" t="s">
        <v>2048</v>
      </c>
      <c r="BG218" s="29" t="s">
        <v>2533</v>
      </c>
      <c r="BH218" s="29" t="s">
        <v>2515</v>
      </c>
      <c r="BI218" s="35"/>
      <c r="BJ218" s="35"/>
      <c r="BK218" s="29" t="str" cm="1">
        <f t="array" ref="BK218">_xlfn.UNIQUE(MID(BB218,16,14))</f>
        <v>U012UNA01UH100</v>
      </c>
    </row>
    <row r="219" spans="1:63" x14ac:dyDescent="0.3">
      <c r="A219" s="29" t="s">
        <v>2529</v>
      </c>
      <c r="B219" s="36" t="str">
        <f t="shared" si="15"/>
        <v>G01NHX01QN002-BP01</v>
      </c>
      <c r="C219" s="33" t="s">
        <v>2534</v>
      </c>
      <c r="D219" s="34" t="str">
        <f t="shared" si="16"/>
        <v>ELY1 N2 DIST CTRL O2 PRES1 ANALOG1</v>
      </c>
      <c r="E219" s="31">
        <f t="shared" si="17"/>
        <v>34</v>
      </c>
      <c r="F219" s="32" t="str">
        <f t="shared" si="18"/>
        <v>ELECTROLYSIS SYSTEM ELECTROLYSIS ARRAY 1 AUXILIARY SYSTEMS NITROGEN DISTRIBUTION NITROGEN REGULATION SYSTEMS NITROGEN REGULATION O2 PRESSURE - NITROGEN O2 SIDE ANALOG PROCESS SIGNAL</v>
      </c>
      <c r="G219" s="29" t="s">
        <v>1614</v>
      </c>
      <c r="H219" s="29" t="s">
        <v>1615</v>
      </c>
      <c r="I219" s="29" t="str">
        <f t="shared" si="19"/>
        <v>01</v>
      </c>
      <c r="J219" s="29" t="s">
        <v>1616</v>
      </c>
      <c r="K219" s="29" t="s">
        <v>2506</v>
      </c>
      <c r="L219" s="29" t="s">
        <v>2507</v>
      </c>
      <c r="M219" s="29" t="s">
        <v>1619</v>
      </c>
      <c r="N219" s="29" t="s">
        <v>2508</v>
      </c>
      <c r="O219" s="29" t="s">
        <v>2509</v>
      </c>
      <c r="P219" s="29" t="s">
        <v>2510</v>
      </c>
      <c r="Q219" s="29" t="s">
        <v>1872</v>
      </c>
      <c r="R219" s="29" t="s">
        <v>2531</v>
      </c>
      <c r="S219" s="29" t="s">
        <v>1681</v>
      </c>
      <c r="T219" s="29" t="s">
        <v>2535</v>
      </c>
      <c r="U219" s="29" t="s">
        <v>193</v>
      </c>
      <c r="V219" s="29" t="s">
        <v>1083</v>
      </c>
      <c r="W219" s="35" t="s">
        <v>1628</v>
      </c>
      <c r="X219" s="35" t="s">
        <v>2512</v>
      </c>
      <c r="Y219" s="35" t="s">
        <v>2532</v>
      </c>
      <c r="Z219" s="35" t="s">
        <v>1684</v>
      </c>
      <c r="AA219" s="35" t="s">
        <v>1666</v>
      </c>
      <c r="AB219" s="29" t="s">
        <v>1681</v>
      </c>
      <c r="AC219" s="35" t="s">
        <v>1633</v>
      </c>
      <c r="AD219" s="35" t="s">
        <v>1668</v>
      </c>
      <c r="AE219" s="35" t="s">
        <v>1668</v>
      </c>
      <c r="AF219" s="35" t="s">
        <v>1635</v>
      </c>
      <c r="AG219" s="35" t="s">
        <v>1670</v>
      </c>
      <c r="AI219" s="35"/>
      <c r="AJ219" s="35" t="s">
        <v>1671</v>
      </c>
      <c r="AK219" s="35" t="s">
        <v>1638</v>
      </c>
      <c r="AL219" s="29" t="s">
        <v>2518</v>
      </c>
      <c r="AM219" s="35" t="s">
        <v>1765</v>
      </c>
      <c r="AN219" s="35" t="s">
        <v>2519</v>
      </c>
      <c r="AO219" s="35"/>
      <c r="AP219" s="35"/>
      <c r="AQ219" s="35"/>
      <c r="AS219" s="35"/>
      <c r="AT219" s="29" t="s">
        <v>1640</v>
      </c>
      <c r="AU219" s="35"/>
      <c r="AV219" s="29" t="s">
        <v>1641</v>
      </c>
      <c r="AW219" s="35"/>
      <c r="AX219" s="29" t="s">
        <v>1674</v>
      </c>
      <c r="AY219" s="35"/>
      <c r="AZ219" s="35" t="s">
        <v>1642</v>
      </c>
      <c r="BA219" s="35" t="s">
        <v>2002</v>
      </c>
      <c r="BB219" s="29" t="s">
        <v>2420</v>
      </c>
      <c r="BC219" s="29" t="s">
        <v>2004</v>
      </c>
      <c r="BD219" s="29" t="s">
        <v>2536</v>
      </c>
      <c r="BE219" s="29" t="s">
        <v>2537</v>
      </c>
      <c r="BF219" s="29" t="s">
        <v>1915</v>
      </c>
      <c r="BG219" s="29" t="s">
        <v>2538</v>
      </c>
      <c r="BH219" s="29" t="s">
        <v>2515</v>
      </c>
      <c r="BI219" s="35"/>
      <c r="BJ219" s="35"/>
      <c r="BK219" s="29" t="str" cm="1">
        <f t="array" ref="BK219">_xlfn.UNIQUE(MID(BB219,16,14))</f>
        <v>U012UNA01UH100</v>
      </c>
    </row>
    <row r="220" spans="1:63" x14ac:dyDescent="0.3">
      <c r="A220" s="29" t="s">
        <v>2529</v>
      </c>
      <c r="B220" s="36" t="str">
        <f t="shared" si="15"/>
        <v>G01NHX01QN002-QN01</v>
      </c>
      <c r="C220" s="33" t="s">
        <v>2539</v>
      </c>
      <c r="D220" s="34" t="str">
        <f t="shared" si="16"/>
        <v>ELY1 N2 DIST CTRL O2 CV1 ANALOG1</v>
      </c>
      <c r="E220" s="31">
        <f t="shared" si="17"/>
        <v>32</v>
      </c>
      <c r="F220" s="32" t="str">
        <f t="shared" si="18"/>
        <v>ELECTROLYSIS SYSTEM ELECTROLYSIS ARRAY 1 AUXILIARY SYSTEMS NITROGEN DISTRIBUTION NITROGEN REGULATION SYSTEMS NITROGEN REGULATION O2 CONTROL VALVE - NITROGEN O2 SIDE ANALOG PROCESS SIGNAL</v>
      </c>
      <c r="G220" s="29" t="s">
        <v>1614</v>
      </c>
      <c r="H220" s="29" t="s">
        <v>1615</v>
      </c>
      <c r="I220" s="29" t="str">
        <f t="shared" si="19"/>
        <v>01</v>
      </c>
      <c r="J220" s="29" t="s">
        <v>1616</v>
      </c>
      <c r="K220" s="29" t="s">
        <v>2506</v>
      </c>
      <c r="L220" s="29" t="s">
        <v>2507</v>
      </c>
      <c r="M220" s="29" t="s">
        <v>1619</v>
      </c>
      <c r="N220" s="29" t="s">
        <v>2508</v>
      </c>
      <c r="O220" s="29" t="s">
        <v>2509</v>
      </c>
      <c r="P220" s="29" t="s">
        <v>2510</v>
      </c>
      <c r="Q220" s="29" t="s">
        <v>1872</v>
      </c>
      <c r="R220" s="29" t="s">
        <v>2531</v>
      </c>
      <c r="S220" s="29" t="s">
        <v>1800</v>
      </c>
      <c r="T220" s="29" t="s">
        <v>2540</v>
      </c>
      <c r="U220" s="29" t="s">
        <v>193</v>
      </c>
      <c r="V220" s="29" t="s">
        <v>1083</v>
      </c>
      <c r="W220" s="35" t="s">
        <v>1628</v>
      </c>
      <c r="X220" s="35" t="s">
        <v>2512</v>
      </c>
      <c r="Y220" s="35" t="s">
        <v>2532</v>
      </c>
      <c r="Z220" s="35" t="s">
        <v>1802</v>
      </c>
      <c r="AA220" s="35" t="s">
        <v>1666</v>
      </c>
      <c r="AB220" s="29" t="s">
        <v>2015</v>
      </c>
      <c r="AC220" s="35" t="s">
        <v>1633</v>
      </c>
      <c r="AD220" s="35" t="s">
        <v>1668</v>
      </c>
      <c r="AE220" s="35" t="s">
        <v>1668</v>
      </c>
      <c r="AF220" s="35" t="s">
        <v>1635</v>
      </c>
      <c r="AG220" s="35" t="s">
        <v>1670</v>
      </c>
      <c r="AI220" s="35"/>
      <c r="AJ220" s="35" t="s">
        <v>1671</v>
      </c>
      <c r="AK220" s="35" t="s">
        <v>1672</v>
      </c>
      <c r="AL220" s="29" t="s">
        <v>1803</v>
      </c>
      <c r="AM220" s="35"/>
      <c r="AN220" s="35"/>
      <c r="AO220" s="35"/>
      <c r="AP220" s="35"/>
      <c r="AQ220" s="35"/>
      <c r="AS220" s="35"/>
      <c r="AU220" s="35"/>
      <c r="AW220" s="35"/>
      <c r="AY220" s="35"/>
      <c r="AZ220" s="35"/>
      <c r="BA220" s="35"/>
      <c r="BB220" s="29" t="s">
        <v>2362</v>
      </c>
      <c r="BC220" s="29" t="s">
        <v>1900</v>
      </c>
      <c r="BD220" s="29" t="s">
        <v>1804</v>
      </c>
      <c r="BE220" s="29" t="s">
        <v>1805</v>
      </c>
      <c r="BF220" s="29" t="s">
        <v>2016</v>
      </c>
      <c r="BG220" s="29" t="s">
        <v>2541</v>
      </c>
      <c r="BH220" s="29" t="s">
        <v>2515</v>
      </c>
      <c r="BI220" s="35"/>
      <c r="BJ220" s="35"/>
      <c r="BK220" s="29" t="str" cm="1">
        <f t="array" ref="BK220">_xlfn.UNIQUE(MID(BB220,16,14))</f>
        <v>U012UNA01UH100</v>
      </c>
    </row>
    <row r="221" spans="1:63" x14ac:dyDescent="0.3">
      <c r="A221" s="29" t="s">
        <v>2542</v>
      </c>
      <c r="B221" s="36" t="str">
        <f t="shared" si="15"/>
        <v>V01NHC10WP002-BP01</v>
      </c>
      <c r="C221" s="33" t="s">
        <v>2543</v>
      </c>
      <c r="D221" s="34" t="str">
        <f t="shared" si="16"/>
        <v>GAS TRT H2 LEAD OFF PIPING PRES1 ANALOG1</v>
      </c>
      <c r="E221" s="31">
        <f t="shared" si="17"/>
        <v>40</v>
      </c>
      <c r="F221" s="32" t="str">
        <f t="shared" si="18"/>
        <v>GAS TREATMENT SYSTEM GAS TREATMENT SYSTEM 1 H2 TREATMENT GAS LEAD OFF GAS LEAD OFF SYSTEMS PRODUCT GAS LINE 10922; GAUGE PRESSURE TRANSM. WITHOUT PRESSURE REPEATER ANALOG PROCESS SIGNAL</v>
      </c>
      <c r="G221" s="29" t="s">
        <v>2544</v>
      </c>
      <c r="H221" s="29" t="s">
        <v>2545</v>
      </c>
      <c r="I221" s="29" t="str">
        <f t="shared" si="19"/>
        <v>01</v>
      </c>
      <c r="J221" s="29" t="s">
        <v>2546</v>
      </c>
      <c r="K221" s="29" t="s">
        <v>1617</v>
      </c>
      <c r="L221" s="29" t="s">
        <v>1618</v>
      </c>
      <c r="M221" s="29" t="s">
        <v>1969</v>
      </c>
      <c r="N221" s="29" t="s">
        <v>2547</v>
      </c>
      <c r="O221" s="29" t="s">
        <v>1781</v>
      </c>
      <c r="P221" s="29" t="s">
        <v>2358</v>
      </c>
      <c r="Q221" s="29" t="s">
        <v>1872</v>
      </c>
      <c r="R221" s="29" t="s">
        <v>2548</v>
      </c>
      <c r="S221" s="29" t="s">
        <v>1681</v>
      </c>
      <c r="T221" s="29" t="s">
        <v>1814</v>
      </c>
      <c r="U221" s="29" t="s">
        <v>193</v>
      </c>
      <c r="V221" s="29" t="s">
        <v>1083</v>
      </c>
      <c r="W221" s="35" t="s">
        <v>2549</v>
      </c>
      <c r="X221" s="35" t="s">
        <v>2550</v>
      </c>
      <c r="Y221" s="35" t="s">
        <v>1785</v>
      </c>
      <c r="Z221" s="35" t="s">
        <v>1684</v>
      </c>
      <c r="AA221" s="35" t="s">
        <v>1666</v>
      </c>
      <c r="AB221" s="29" t="s">
        <v>1681</v>
      </c>
      <c r="AC221" s="35" t="s">
        <v>1633</v>
      </c>
      <c r="AD221" s="35" t="s">
        <v>1668</v>
      </c>
      <c r="AE221" s="35" t="s">
        <v>1668</v>
      </c>
      <c r="AF221" s="35" t="s">
        <v>1635</v>
      </c>
      <c r="AG221" s="35" t="s">
        <v>1670</v>
      </c>
      <c r="AI221" s="35"/>
      <c r="AJ221" s="35" t="s">
        <v>1671</v>
      </c>
      <c r="AK221" s="35" t="s">
        <v>1672</v>
      </c>
      <c r="AL221" s="29" t="s">
        <v>1685</v>
      </c>
      <c r="AM221" s="35"/>
      <c r="AN221" s="35"/>
      <c r="AO221" s="35"/>
      <c r="AP221" s="35"/>
      <c r="AQ221" s="35"/>
      <c r="AS221" s="35"/>
      <c r="AU221" s="35"/>
      <c r="AV221" s="29" t="s">
        <v>1641</v>
      </c>
      <c r="AW221" s="35"/>
      <c r="AX221" s="29" t="s">
        <v>1674</v>
      </c>
      <c r="AY221" s="35"/>
      <c r="AZ221" s="35"/>
      <c r="BA221" s="35"/>
      <c r="BH221" s="29" t="s">
        <v>2551</v>
      </c>
      <c r="BI221" s="35"/>
      <c r="BJ221" s="35"/>
      <c r="BK221" s="29" t="str" cm="1">
        <f t="array" ref="BK221">_xlfn.UNIQUE(MID(BB221,16,14))</f>
        <v/>
      </c>
    </row>
    <row r="222" spans="1:63" x14ac:dyDescent="0.3">
      <c r="A222" s="29" t="s">
        <v>2552</v>
      </c>
      <c r="B222" s="36" t="str">
        <f t="shared" si="15"/>
        <v>V01NHC20CM001-BL01</v>
      </c>
      <c r="C222" s="33" t="s">
        <v>2553</v>
      </c>
      <c r="D222" s="34" t="str">
        <f t="shared" si="16"/>
        <v>GAS TRT H2 LP BUF TNK1 LVL1 ANALOG1</v>
      </c>
      <c r="E222" s="31">
        <f t="shared" si="17"/>
        <v>35</v>
      </c>
      <c r="F222" s="32" t="str">
        <f t="shared" si="18"/>
        <v>GAS TREATMENT SYSTEM GAS TREATMENT SYSTEM 1 H2 TREATMENT H2 BUFFER TANK BUFFER TANK SYSTEMS BUFFER TANK SYSTEM 10751; RADIOACTIVE LEVEL METER, COMP. SYST. ANALOG PROCESS SIGNAL</v>
      </c>
      <c r="G222" s="29" t="s">
        <v>2544</v>
      </c>
      <c r="H222" s="29" t="s">
        <v>2545</v>
      </c>
      <c r="I222" s="29" t="str">
        <f t="shared" si="19"/>
        <v>01</v>
      </c>
      <c r="J222" s="29" t="s">
        <v>2546</v>
      </c>
      <c r="K222" s="29" t="s">
        <v>1617</v>
      </c>
      <c r="L222" s="29" t="s">
        <v>1618</v>
      </c>
      <c r="M222" s="29" t="s">
        <v>2554</v>
      </c>
      <c r="N222" s="29" t="s">
        <v>2555</v>
      </c>
      <c r="O222" s="29" t="s">
        <v>1657</v>
      </c>
      <c r="P222" s="29" t="s">
        <v>2556</v>
      </c>
      <c r="Q222" s="29" t="s">
        <v>1623</v>
      </c>
      <c r="R222" s="29" t="s">
        <v>2557</v>
      </c>
      <c r="S222" s="29" t="s">
        <v>1660</v>
      </c>
      <c r="T222" s="29" t="s">
        <v>2558</v>
      </c>
      <c r="U222" s="29" t="s">
        <v>193</v>
      </c>
      <c r="V222" s="29" t="s">
        <v>1083</v>
      </c>
      <c r="W222" s="35" t="s">
        <v>2549</v>
      </c>
      <c r="X222" s="35" t="s">
        <v>2559</v>
      </c>
      <c r="Y222" s="35" t="s">
        <v>1664</v>
      </c>
      <c r="Z222" s="35" t="s">
        <v>1665</v>
      </c>
      <c r="AA222" s="35" t="s">
        <v>1666</v>
      </c>
      <c r="AB222" s="29" t="s">
        <v>1660</v>
      </c>
      <c r="AC222" s="35" t="s">
        <v>1633</v>
      </c>
      <c r="AD222" s="35" t="s">
        <v>1668</v>
      </c>
      <c r="AE222" s="35" t="s">
        <v>1668</v>
      </c>
      <c r="AF222" s="35" t="s">
        <v>1635</v>
      </c>
      <c r="AG222" s="35" t="s">
        <v>1670</v>
      </c>
      <c r="AI222" s="35"/>
      <c r="AJ222" s="35" t="s">
        <v>1671</v>
      </c>
      <c r="AK222" s="35" t="s">
        <v>1638</v>
      </c>
      <c r="AL222" s="29" t="s">
        <v>2560</v>
      </c>
      <c r="AM222" s="35"/>
      <c r="AN222" s="35"/>
      <c r="AO222" s="35"/>
      <c r="AP222" s="35"/>
      <c r="AQ222" s="35"/>
      <c r="AR222" s="29" t="s">
        <v>2561</v>
      </c>
      <c r="AS222" s="35"/>
      <c r="AU222" s="35"/>
      <c r="AW222" s="35"/>
      <c r="AX222" s="29" t="s">
        <v>2383</v>
      </c>
      <c r="AY222" s="35"/>
      <c r="AZ222" s="35" t="s">
        <v>1642</v>
      </c>
      <c r="BA222" s="35" t="s">
        <v>2002</v>
      </c>
      <c r="BH222" s="29" t="s">
        <v>2551</v>
      </c>
      <c r="BI222" s="35"/>
      <c r="BJ222" s="35"/>
      <c r="BK222" s="29" t="str" cm="1">
        <f t="array" ref="BK222">_xlfn.UNIQUE(MID(BB222,16,14))</f>
        <v/>
      </c>
    </row>
    <row r="223" spans="1:63" x14ac:dyDescent="0.3">
      <c r="A223" s="29" t="s">
        <v>2552</v>
      </c>
      <c r="B223" s="36" t="str">
        <f t="shared" si="15"/>
        <v>V01NHC20CM001-BL02</v>
      </c>
      <c r="C223" s="33" t="s">
        <v>2562</v>
      </c>
      <c r="D223" s="34" t="str">
        <f t="shared" si="16"/>
        <v>GAS TRT H2 LP BUF TNK1 LVL2 ANALOG1</v>
      </c>
      <c r="E223" s="31">
        <f t="shared" si="17"/>
        <v>35</v>
      </c>
      <c r="F223" s="32" t="str">
        <f t="shared" si="18"/>
        <v>GAS TREATMENT SYSTEM GAS TREATMENT SYSTEM 1 H2 TREATMENT H2 BUFFER TANK BUFFER TANK SYSTEMS BUFFER TANK SYSTEM 10751; RADIOACTIVE LEVEL METER, COMP. SYST. ANALOG PROCESS SIGNAL</v>
      </c>
      <c r="G223" s="29" t="s">
        <v>2544</v>
      </c>
      <c r="H223" s="29" t="s">
        <v>2545</v>
      </c>
      <c r="I223" s="29" t="str">
        <f t="shared" si="19"/>
        <v>01</v>
      </c>
      <c r="J223" s="29" t="s">
        <v>2546</v>
      </c>
      <c r="K223" s="29" t="s">
        <v>1617</v>
      </c>
      <c r="L223" s="29" t="s">
        <v>1618</v>
      </c>
      <c r="M223" s="29" t="s">
        <v>2554</v>
      </c>
      <c r="N223" s="29" t="s">
        <v>2555</v>
      </c>
      <c r="O223" s="29" t="s">
        <v>1657</v>
      </c>
      <c r="P223" s="29" t="s">
        <v>2556</v>
      </c>
      <c r="Q223" s="29" t="s">
        <v>1623</v>
      </c>
      <c r="R223" s="29" t="s">
        <v>2557</v>
      </c>
      <c r="S223" s="29" t="s">
        <v>2337</v>
      </c>
      <c r="T223" s="29" t="s">
        <v>2558</v>
      </c>
      <c r="U223" s="29" t="s">
        <v>193</v>
      </c>
      <c r="V223" s="29" t="s">
        <v>1083</v>
      </c>
      <c r="W223" s="35" t="s">
        <v>2549</v>
      </c>
      <c r="X223" s="35" t="s">
        <v>2559</v>
      </c>
      <c r="Y223" s="35" t="s">
        <v>1664</v>
      </c>
      <c r="Z223" s="35" t="s">
        <v>2338</v>
      </c>
      <c r="AA223" s="35" t="s">
        <v>1666</v>
      </c>
      <c r="AB223" s="29" t="s">
        <v>2337</v>
      </c>
      <c r="AC223" s="35" t="s">
        <v>1633</v>
      </c>
      <c r="AD223" s="35" t="s">
        <v>1668</v>
      </c>
      <c r="AE223" s="35" t="s">
        <v>1668</v>
      </c>
      <c r="AF223" s="35" t="s">
        <v>1635</v>
      </c>
      <c r="AG223" s="35" t="s">
        <v>1670</v>
      </c>
      <c r="AI223" s="35"/>
      <c r="AJ223" s="35" t="s">
        <v>1671</v>
      </c>
      <c r="AK223" s="35" t="s">
        <v>1672</v>
      </c>
      <c r="AL223" s="29" t="s">
        <v>2330</v>
      </c>
      <c r="AM223" s="35"/>
      <c r="AN223" s="35"/>
      <c r="AO223" s="35"/>
      <c r="AP223" s="35"/>
      <c r="AQ223" s="35"/>
      <c r="AR223" s="29" t="s">
        <v>1756</v>
      </c>
      <c r="AS223" s="35"/>
      <c r="AT223" s="29" t="s">
        <v>1640</v>
      </c>
      <c r="AU223" s="35"/>
      <c r="AV223" s="29" t="s">
        <v>1641</v>
      </c>
      <c r="AW223" s="35"/>
      <c r="AX223" s="29" t="s">
        <v>1674</v>
      </c>
      <c r="AY223" s="35"/>
      <c r="AZ223" s="35"/>
      <c r="BA223" s="35"/>
      <c r="BH223" s="29" t="s">
        <v>2551</v>
      </c>
      <c r="BI223" s="35"/>
      <c r="BJ223" s="35"/>
      <c r="BK223" s="29" t="str" cm="1">
        <f t="array" ref="BK223">_xlfn.UNIQUE(MID(BB223,16,14))</f>
        <v/>
      </c>
    </row>
    <row r="224" spans="1:63" x14ac:dyDescent="0.3">
      <c r="A224" s="29" t="s">
        <v>2552</v>
      </c>
      <c r="B224" s="36" t="str">
        <f t="shared" si="15"/>
        <v>V01NHC20CM001-BP01</v>
      </c>
      <c r="C224" s="33" t="s">
        <v>2563</v>
      </c>
      <c r="D224" s="34" t="str">
        <f t="shared" si="16"/>
        <v>GAS TRT H2 LP BUF TNK1 PRES1 ANALOG1</v>
      </c>
      <c r="E224" s="31">
        <f t="shared" si="17"/>
        <v>36</v>
      </c>
      <c r="F224" s="32" t="str">
        <f t="shared" si="18"/>
        <v>GAS TREATMENT SYSTEM GAS TREATMENT SYSTEM 1 H2 TREATMENT H2 BUFFER TANK BUFFER TANK SYSTEMS BUFFER TANK SYSTEM 10922; GAUGE PRESSURE TRANSM. WITHOUT PRESSURE REPEATER ANALOG PROCESS SIGNAL</v>
      </c>
      <c r="G224" s="29" t="s">
        <v>2544</v>
      </c>
      <c r="H224" s="29" t="s">
        <v>2545</v>
      </c>
      <c r="I224" s="29" t="str">
        <f t="shared" si="19"/>
        <v>01</v>
      </c>
      <c r="J224" s="29" t="s">
        <v>2546</v>
      </c>
      <c r="K224" s="29" t="s">
        <v>1617</v>
      </c>
      <c r="L224" s="29" t="s">
        <v>1618</v>
      </c>
      <c r="M224" s="29" t="s">
        <v>2554</v>
      </c>
      <c r="N224" s="29" t="s">
        <v>2555</v>
      </c>
      <c r="O224" s="29" t="s">
        <v>1657</v>
      </c>
      <c r="P224" s="29" t="s">
        <v>2556</v>
      </c>
      <c r="Q224" s="29" t="s">
        <v>1623</v>
      </c>
      <c r="R224" s="29" t="s">
        <v>2557</v>
      </c>
      <c r="S224" s="29" t="s">
        <v>1681</v>
      </c>
      <c r="T224" s="29" t="s">
        <v>1814</v>
      </c>
      <c r="U224" s="29" t="s">
        <v>193</v>
      </c>
      <c r="V224" s="29" t="s">
        <v>1083</v>
      </c>
      <c r="W224" s="35" t="s">
        <v>2549</v>
      </c>
      <c r="X224" s="35" t="s">
        <v>2559</v>
      </c>
      <c r="Y224" s="35" t="s">
        <v>1664</v>
      </c>
      <c r="Z224" s="35" t="s">
        <v>1684</v>
      </c>
      <c r="AA224" s="35" t="s">
        <v>1666</v>
      </c>
      <c r="AB224" s="29" t="s">
        <v>1681</v>
      </c>
      <c r="AC224" s="35" t="s">
        <v>1633</v>
      </c>
      <c r="AD224" s="35" t="s">
        <v>1668</v>
      </c>
      <c r="AE224" s="35" t="s">
        <v>1668</v>
      </c>
      <c r="AF224" s="35" t="s">
        <v>1635</v>
      </c>
      <c r="AG224" s="35" t="s">
        <v>1670</v>
      </c>
      <c r="AI224" s="35"/>
      <c r="AJ224" s="35" t="s">
        <v>1671</v>
      </c>
      <c r="AK224" s="35" t="s">
        <v>1672</v>
      </c>
      <c r="AL224" s="29" t="s">
        <v>1685</v>
      </c>
      <c r="AM224" s="35"/>
      <c r="AN224" s="35"/>
      <c r="AO224" s="35"/>
      <c r="AP224" s="35"/>
      <c r="AQ224" s="35"/>
      <c r="AS224" s="35"/>
      <c r="AU224" s="35"/>
      <c r="AV224" s="29" t="s">
        <v>1641</v>
      </c>
      <c r="AW224" s="35"/>
      <c r="AX224" s="29" t="s">
        <v>1674</v>
      </c>
      <c r="AY224" s="35"/>
      <c r="AZ224" s="35"/>
      <c r="BA224" s="35"/>
      <c r="BH224" s="29" t="s">
        <v>2551</v>
      </c>
      <c r="BI224" s="35"/>
      <c r="BJ224" s="35"/>
      <c r="BK224" s="29" t="str" cm="1">
        <f t="array" ref="BK224">_xlfn.UNIQUE(MID(BB224,16,14))</f>
        <v/>
      </c>
    </row>
    <row r="225" spans="1:63" x14ac:dyDescent="0.3">
      <c r="A225" s="29" t="s">
        <v>2552</v>
      </c>
      <c r="B225" s="36" t="str">
        <f t="shared" si="15"/>
        <v>V01NHC20CM001-BT01</v>
      </c>
      <c r="C225" s="33" t="s">
        <v>2564</v>
      </c>
      <c r="D225" s="34" t="str">
        <f t="shared" si="16"/>
        <v>GAS TRT H2 LP BUF TNK1 TEMP1 ANALOG1</v>
      </c>
      <c r="E225" s="31">
        <f t="shared" si="17"/>
        <v>36</v>
      </c>
      <c r="F225" s="32" t="str">
        <f t="shared" si="18"/>
        <v>GAS TREATMENT SYSTEM GAS TREATMENT SYSTEM 1 H2 TREATMENT H2 BUFFER TANK BUFFER TANK SYSTEMS BUFFER TANK SYSTEM 11332; RTD THERMOMETER WITHOUT CONDUIT ANALOG PROCESS SIGNAL</v>
      </c>
      <c r="G225" s="29" t="s">
        <v>2544</v>
      </c>
      <c r="H225" s="29" t="s">
        <v>2545</v>
      </c>
      <c r="I225" s="29" t="str">
        <f t="shared" si="19"/>
        <v>01</v>
      </c>
      <c r="J225" s="29" t="s">
        <v>2546</v>
      </c>
      <c r="K225" s="29" t="s">
        <v>1617</v>
      </c>
      <c r="L225" s="29" t="s">
        <v>1618</v>
      </c>
      <c r="M225" s="29" t="s">
        <v>2554</v>
      </c>
      <c r="N225" s="29" t="s">
        <v>2555</v>
      </c>
      <c r="O225" s="29" t="s">
        <v>1657</v>
      </c>
      <c r="P225" s="29" t="s">
        <v>2556</v>
      </c>
      <c r="Q225" s="29" t="s">
        <v>1623</v>
      </c>
      <c r="R225" s="29" t="s">
        <v>2557</v>
      </c>
      <c r="S225" s="29" t="s">
        <v>1715</v>
      </c>
      <c r="T225" s="29" t="s">
        <v>2565</v>
      </c>
      <c r="U225" s="29" t="s">
        <v>193</v>
      </c>
      <c r="V225" s="29" t="s">
        <v>1083</v>
      </c>
      <c r="W225" s="35" t="s">
        <v>2549</v>
      </c>
      <c r="X225" s="35" t="s">
        <v>2559</v>
      </c>
      <c r="Y225" s="35" t="s">
        <v>1664</v>
      </c>
      <c r="Z225" s="35" t="s">
        <v>1719</v>
      </c>
      <c r="AA225" s="35" t="s">
        <v>1666</v>
      </c>
      <c r="AB225" s="29" t="s">
        <v>1715</v>
      </c>
      <c r="AC225" s="35" t="s">
        <v>1633</v>
      </c>
      <c r="AD225" s="35" t="s">
        <v>1668</v>
      </c>
      <c r="AE225" s="35" t="s">
        <v>1668</v>
      </c>
      <c r="AF225" s="35" t="s">
        <v>1635</v>
      </c>
      <c r="AG225" s="35" t="s">
        <v>1670</v>
      </c>
      <c r="AI225" s="35"/>
      <c r="AJ225" s="35" t="s">
        <v>1671</v>
      </c>
      <c r="AK225" s="35" t="s">
        <v>1672</v>
      </c>
      <c r="AL225" s="29" t="s">
        <v>1706</v>
      </c>
      <c r="AM225" s="35"/>
      <c r="AN225" s="35"/>
      <c r="AO225" s="35"/>
      <c r="AP225" s="35"/>
      <c r="AQ225" s="35"/>
      <c r="AS225" s="35"/>
      <c r="AU225" s="35"/>
      <c r="AW225" s="35"/>
      <c r="AY225" s="35"/>
      <c r="AZ225" s="35"/>
      <c r="BA225" s="35"/>
      <c r="BH225" s="29" t="s">
        <v>2551</v>
      </c>
      <c r="BI225" s="35"/>
      <c r="BJ225" s="35"/>
      <c r="BK225" s="29" t="str" cm="1">
        <f t="array" ref="BK225">_xlfn.UNIQUE(MID(BB225,16,14))</f>
        <v/>
      </c>
    </row>
    <row r="226" spans="1:63" x14ac:dyDescent="0.3">
      <c r="A226" s="29" t="s">
        <v>2566</v>
      </c>
      <c r="B226" s="36" t="str">
        <f t="shared" si="15"/>
        <v>V01NHC30WP001-BP01</v>
      </c>
      <c r="C226" s="33" t="s">
        <v>2567</v>
      </c>
      <c r="D226" s="34" t="str">
        <f t="shared" si="16"/>
        <v>GAS TRT H2 COMPR PIPING PRES1 ANALOG1</v>
      </c>
      <c r="E226" s="31">
        <f t="shared" si="17"/>
        <v>37</v>
      </c>
      <c r="F226" s="32" t="str">
        <f t="shared" si="18"/>
        <v>GAS TREATMENT SYSTEM GAS TREATMENT SYSTEM 1 H2 TREATMENT H2 COMPRESSOR SYSTEM 30BAR COMPRESSOR PIPE SYSTEMS COMPRESSOR PIPE SYSTEM INLET LINE GENERAL POSITION ANALOG PROCESS SIGNAL</v>
      </c>
      <c r="G226" s="29" t="s">
        <v>2544</v>
      </c>
      <c r="H226" s="29" t="s">
        <v>2545</v>
      </c>
      <c r="I226" s="29" t="str">
        <f t="shared" si="19"/>
        <v>01</v>
      </c>
      <c r="J226" s="29" t="s">
        <v>2546</v>
      </c>
      <c r="K226" s="29" t="s">
        <v>1617</v>
      </c>
      <c r="L226" s="29" t="s">
        <v>1618</v>
      </c>
      <c r="M226" s="29" t="s">
        <v>2568</v>
      </c>
      <c r="N226" s="29" t="s">
        <v>2569</v>
      </c>
      <c r="O226" s="29" t="s">
        <v>1781</v>
      </c>
      <c r="P226" s="29" t="s">
        <v>2570</v>
      </c>
      <c r="Q226" s="29" t="s">
        <v>1623</v>
      </c>
      <c r="R226" s="29" t="s">
        <v>2571</v>
      </c>
      <c r="S226" s="29" t="s">
        <v>1681</v>
      </c>
      <c r="T226" s="29" t="s">
        <v>2572</v>
      </c>
      <c r="U226" s="29" t="s">
        <v>193</v>
      </c>
      <c r="V226" s="29" t="s">
        <v>1083</v>
      </c>
      <c r="W226" s="35" t="s">
        <v>2549</v>
      </c>
      <c r="X226" s="35" t="s">
        <v>2573</v>
      </c>
      <c r="Y226" s="35" t="s">
        <v>1785</v>
      </c>
      <c r="Z226" s="35" t="s">
        <v>1684</v>
      </c>
      <c r="AA226" s="35" t="s">
        <v>1666</v>
      </c>
      <c r="AC226" s="35" t="s">
        <v>1633</v>
      </c>
      <c r="AD226" s="35" t="s">
        <v>1668</v>
      </c>
      <c r="AE226" s="35" t="s">
        <v>1668</v>
      </c>
      <c r="AF226" s="35" t="s">
        <v>1635</v>
      </c>
      <c r="AG226" s="35" t="s">
        <v>1670</v>
      </c>
      <c r="AI226" s="35"/>
      <c r="AJ226" s="35" t="s">
        <v>1671</v>
      </c>
      <c r="AK226" s="35" t="s">
        <v>1672</v>
      </c>
      <c r="AL226" s="29" t="s">
        <v>2386</v>
      </c>
      <c r="AM226" s="35"/>
      <c r="AN226" s="35"/>
      <c r="AO226" s="35"/>
      <c r="AP226" s="35"/>
      <c r="AQ226" s="35"/>
      <c r="AS226" s="35"/>
      <c r="AU226" s="35"/>
      <c r="AW226" s="35"/>
      <c r="AY226" s="35"/>
      <c r="AZ226" s="35"/>
      <c r="BA226" s="35"/>
      <c r="BH226" s="29" t="s">
        <v>2574</v>
      </c>
      <c r="BI226" s="35"/>
      <c r="BJ226" s="35"/>
      <c r="BK226" s="29" t="str" cm="1">
        <f t="array" ref="BK226">_xlfn.UNIQUE(MID(BB226,16,14))</f>
        <v/>
      </c>
    </row>
    <row r="227" spans="1:63" x14ac:dyDescent="0.3">
      <c r="A227" s="29" t="s">
        <v>2575</v>
      </c>
      <c r="B227" s="36" t="str">
        <f t="shared" si="15"/>
        <v>V01NHC31WP001-BP01</v>
      </c>
      <c r="C227" s="33" t="s">
        <v>2576</v>
      </c>
      <c r="D227" s="34" t="str">
        <f t="shared" si="16"/>
        <v>GAS TRT H2 COMPR PIPING PRES1 ANALOG1</v>
      </c>
      <c r="E227" s="31">
        <f t="shared" si="17"/>
        <v>37</v>
      </c>
      <c r="F227" s="32" t="str">
        <f t="shared" si="18"/>
        <v>GAS TREATMENT SYSTEM GAS TREATMENT SYSTEM 1 H2 TREATMENT H2 COMPRESSOR SYSTEM 100BAR COMPRESSOR PIPE SYSTEMS COMPRESSOR PIPE SYSTEM INLET LINE GENERAL POSITION ANALOG PROCESS SIGNAL</v>
      </c>
      <c r="G227" s="29" t="s">
        <v>2544</v>
      </c>
      <c r="H227" s="29" t="s">
        <v>2545</v>
      </c>
      <c r="I227" s="29" t="str">
        <f t="shared" si="19"/>
        <v>01</v>
      </c>
      <c r="J227" s="29" t="s">
        <v>2546</v>
      </c>
      <c r="K227" s="29" t="s">
        <v>1617</v>
      </c>
      <c r="L227" s="29" t="s">
        <v>1618</v>
      </c>
      <c r="M227" s="29" t="s">
        <v>2577</v>
      </c>
      <c r="N227" s="29" t="s">
        <v>2578</v>
      </c>
      <c r="O227" s="29" t="s">
        <v>1781</v>
      </c>
      <c r="P227" s="29" t="s">
        <v>2570</v>
      </c>
      <c r="Q227" s="29" t="s">
        <v>1623</v>
      </c>
      <c r="R227" s="29" t="s">
        <v>2571</v>
      </c>
      <c r="S227" s="29" t="s">
        <v>1681</v>
      </c>
      <c r="T227" s="29" t="s">
        <v>2572</v>
      </c>
      <c r="U227" s="29" t="s">
        <v>193</v>
      </c>
      <c r="V227" s="29" t="s">
        <v>1083</v>
      </c>
      <c r="W227" s="35" t="s">
        <v>2549</v>
      </c>
      <c r="X227" s="35" t="s">
        <v>2573</v>
      </c>
      <c r="Y227" s="35" t="s">
        <v>1785</v>
      </c>
      <c r="Z227" s="35" t="s">
        <v>1684</v>
      </c>
      <c r="AA227" s="35" t="s">
        <v>1666</v>
      </c>
      <c r="AB227" s="29" t="s">
        <v>1667</v>
      </c>
      <c r="AC227" s="35" t="s">
        <v>1633</v>
      </c>
      <c r="AD227" s="35" t="s">
        <v>1668</v>
      </c>
      <c r="AE227" s="35" t="s">
        <v>1668</v>
      </c>
      <c r="AF227" s="35" t="s">
        <v>1635</v>
      </c>
      <c r="AG227" s="35" t="s">
        <v>1670</v>
      </c>
      <c r="AI227" s="35"/>
      <c r="AJ227" s="35" t="s">
        <v>1671</v>
      </c>
      <c r="AK227" s="35" t="s">
        <v>1672</v>
      </c>
      <c r="AL227" s="29" t="s">
        <v>2386</v>
      </c>
      <c r="AM227" s="35"/>
      <c r="AN227" s="35"/>
      <c r="AO227" s="35"/>
      <c r="AP227" s="35"/>
      <c r="AQ227" s="35"/>
      <c r="AS227" s="35"/>
      <c r="AU227" s="35"/>
      <c r="AW227" s="35"/>
      <c r="AY227" s="35"/>
      <c r="AZ227" s="35"/>
      <c r="BA227" s="35"/>
      <c r="BH227" s="29" t="s">
        <v>2579</v>
      </c>
      <c r="BI227" s="35"/>
      <c r="BJ227" s="35"/>
      <c r="BK227" s="29" t="str" cm="1">
        <f t="array" ref="BK227">_xlfn.UNIQUE(MID(BB227,16,14))</f>
        <v/>
      </c>
    </row>
    <row r="228" spans="1:63" x14ac:dyDescent="0.3">
      <c r="A228" s="29" t="s">
        <v>2580</v>
      </c>
      <c r="B228" s="36" t="str">
        <f t="shared" si="15"/>
        <v>V01NHC60BZ001-BF01</v>
      </c>
      <c r="C228" s="33" t="s">
        <v>2581</v>
      </c>
      <c r="D228" s="34" t="str">
        <f t="shared" si="16"/>
        <v>GAS TRT H2 HANDOVR MEAS1 FLOW1 ANALOG1</v>
      </c>
      <c r="E228" s="31">
        <f t="shared" si="17"/>
        <v>38</v>
      </c>
      <c r="F228" s="32" t="str">
        <f t="shared" si="18"/>
        <v>GAS TREATMENT SYSTEM GAS TREATMENT SYSTEM 1 H2 TREATMENT PRODUCT GAS ANALYTIC SYSTEM MEASUREMENT SYSTEMS MEASUREMENT SYSTEM 1 10301; FLOWMETER GENERAL ANALOG PROCESS SIGNAL</v>
      </c>
      <c r="G228" s="29" t="s">
        <v>2544</v>
      </c>
      <c r="H228" s="29" t="s">
        <v>2545</v>
      </c>
      <c r="I228" s="29" t="str">
        <f t="shared" si="19"/>
        <v>01</v>
      </c>
      <c r="J228" s="29" t="s">
        <v>2546</v>
      </c>
      <c r="K228" s="29" t="s">
        <v>1617</v>
      </c>
      <c r="L228" s="29" t="s">
        <v>1618</v>
      </c>
      <c r="M228" s="29" t="s">
        <v>2582</v>
      </c>
      <c r="N228" s="29" t="s">
        <v>2583</v>
      </c>
      <c r="O228" s="29" t="s">
        <v>1845</v>
      </c>
      <c r="P228" s="29" t="s">
        <v>2584</v>
      </c>
      <c r="Q228" s="29" t="s">
        <v>1623</v>
      </c>
      <c r="R228" s="29" t="s">
        <v>2585</v>
      </c>
      <c r="S228" s="29" t="s">
        <v>1625</v>
      </c>
      <c r="T228" s="29" t="s">
        <v>1626</v>
      </c>
      <c r="U228" s="29" t="s">
        <v>193</v>
      </c>
      <c r="V228" s="29" t="s">
        <v>1083</v>
      </c>
      <c r="W228" s="35" t="s">
        <v>2549</v>
      </c>
      <c r="X228" s="35" t="s">
        <v>2586</v>
      </c>
      <c r="Y228" s="35" t="s">
        <v>1851</v>
      </c>
      <c r="Z228" s="35" t="s">
        <v>1631</v>
      </c>
      <c r="AA228" s="35" t="s">
        <v>1666</v>
      </c>
      <c r="AB228" s="29" t="s">
        <v>1667</v>
      </c>
      <c r="AC228" s="35" t="s">
        <v>1633</v>
      </c>
      <c r="AD228" s="35" t="s">
        <v>1668</v>
      </c>
      <c r="AE228" s="35" t="s">
        <v>1668</v>
      </c>
      <c r="AF228" s="35" t="s">
        <v>1635</v>
      </c>
      <c r="AG228" s="35" t="s">
        <v>1670</v>
      </c>
      <c r="AI228" s="35"/>
      <c r="AJ228" s="35" t="s">
        <v>1671</v>
      </c>
      <c r="AK228" s="35" t="s">
        <v>1672</v>
      </c>
      <c r="AL228" s="29" t="s">
        <v>1697</v>
      </c>
      <c r="AM228" s="35"/>
      <c r="AN228" s="35"/>
      <c r="AO228" s="35"/>
      <c r="AP228" s="35"/>
      <c r="AQ228" s="35"/>
      <c r="AS228" s="35"/>
      <c r="AU228" s="35"/>
      <c r="AW228" s="35"/>
      <c r="AY228" s="35"/>
      <c r="AZ228" s="35"/>
      <c r="BA228" s="35"/>
      <c r="BH228" s="29" t="s">
        <v>2587</v>
      </c>
      <c r="BI228" s="35"/>
      <c r="BJ228" s="35"/>
      <c r="BK228" s="29" t="str" cm="1">
        <f t="array" ref="BK228">_xlfn.UNIQUE(MID(BB228,16,14))</f>
        <v/>
      </c>
    </row>
    <row r="229" spans="1:63" x14ac:dyDescent="0.3">
      <c r="A229" s="29" t="s">
        <v>2580</v>
      </c>
      <c r="B229" s="36" t="str">
        <f t="shared" si="15"/>
        <v>V01NHC60BZ001-BP01</v>
      </c>
      <c r="C229" s="33" t="s">
        <v>2588</v>
      </c>
      <c r="D229" s="34" t="str">
        <f t="shared" si="16"/>
        <v>GAS TRT H2 HANDOVR MEAS1 PRES1 ANALOG1</v>
      </c>
      <c r="E229" s="31">
        <f t="shared" si="17"/>
        <v>38</v>
      </c>
      <c r="F229" s="32" t="str">
        <f t="shared" si="18"/>
        <v>GAS TREATMENT SYSTEM GAS TREATMENT SYSTEM 1 H2 TREATMENT PRODUCT GAS ANALYTIC SYSTEM MEASUREMENT SYSTEMS MEASUREMENT SYSTEM 1 10922; GAUGE PRESSURE TRANSM. WITHOUT PRESSURE REPEATER ANALOG PROCESS SIGNAL</v>
      </c>
      <c r="G229" s="29" t="s">
        <v>2544</v>
      </c>
      <c r="H229" s="29" t="s">
        <v>2545</v>
      </c>
      <c r="I229" s="29" t="str">
        <f t="shared" si="19"/>
        <v>01</v>
      </c>
      <c r="J229" s="29" t="s">
        <v>2546</v>
      </c>
      <c r="K229" s="29" t="s">
        <v>1617</v>
      </c>
      <c r="L229" s="29" t="s">
        <v>1618</v>
      </c>
      <c r="M229" s="29" t="s">
        <v>2582</v>
      </c>
      <c r="N229" s="29" t="s">
        <v>2583</v>
      </c>
      <c r="O229" s="29" t="s">
        <v>1845</v>
      </c>
      <c r="P229" s="29" t="s">
        <v>2584</v>
      </c>
      <c r="Q229" s="29" t="s">
        <v>1623</v>
      </c>
      <c r="R229" s="29" t="s">
        <v>2585</v>
      </c>
      <c r="S229" s="29" t="s">
        <v>1681</v>
      </c>
      <c r="T229" s="29" t="s">
        <v>1814</v>
      </c>
      <c r="U229" s="29" t="s">
        <v>193</v>
      </c>
      <c r="V229" s="29" t="s">
        <v>1083</v>
      </c>
      <c r="W229" s="35" t="s">
        <v>2549</v>
      </c>
      <c r="X229" s="35" t="s">
        <v>2586</v>
      </c>
      <c r="Y229" s="35" t="s">
        <v>1851</v>
      </c>
      <c r="Z229" s="35" t="s">
        <v>1684</v>
      </c>
      <c r="AA229" s="35" t="s">
        <v>1666</v>
      </c>
      <c r="AB229" s="29" t="s">
        <v>1667</v>
      </c>
      <c r="AC229" s="35" t="s">
        <v>1633</v>
      </c>
      <c r="AD229" s="35" t="s">
        <v>1668</v>
      </c>
      <c r="AE229" s="35" t="s">
        <v>1668</v>
      </c>
      <c r="AF229" s="35" t="s">
        <v>1635</v>
      </c>
      <c r="AG229" s="35" t="s">
        <v>1670</v>
      </c>
      <c r="AI229" s="35"/>
      <c r="AJ229" s="35" t="s">
        <v>1671</v>
      </c>
      <c r="AK229" s="35" t="s">
        <v>1672</v>
      </c>
      <c r="AL229" s="29" t="s">
        <v>1685</v>
      </c>
      <c r="AM229" s="35"/>
      <c r="AN229" s="35"/>
      <c r="AO229" s="35"/>
      <c r="AP229" s="35"/>
      <c r="AQ229" s="35"/>
      <c r="AS229" s="35"/>
      <c r="AU229" s="35"/>
      <c r="AW229" s="35"/>
      <c r="AY229" s="35"/>
      <c r="AZ229" s="35"/>
      <c r="BA229" s="35"/>
      <c r="BH229" s="29" t="s">
        <v>2587</v>
      </c>
      <c r="BI229" s="35"/>
      <c r="BJ229" s="35"/>
      <c r="BK229" s="29" t="str" cm="1">
        <f t="array" ref="BK229">_xlfn.UNIQUE(MID(BB229,16,14))</f>
        <v/>
      </c>
    </row>
    <row r="230" spans="1:63" x14ac:dyDescent="0.3">
      <c r="A230" s="29" t="s">
        <v>2580</v>
      </c>
      <c r="B230" s="36" t="str">
        <f t="shared" si="15"/>
        <v>V01NHC60BZ001-BT01</v>
      </c>
      <c r="C230" s="33" t="s">
        <v>2589</v>
      </c>
      <c r="D230" s="34" t="str">
        <f t="shared" si="16"/>
        <v>GAS TRT H2 HANDOVR MEAS1 TEMP1 ANALOG1</v>
      </c>
      <c r="E230" s="31">
        <f t="shared" si="17"/>
        <v>38</v>
      </c>
      <c r="F230" s="32" t="str">
        <f t="shared" si="18"/>
        <v>GAS TREATMENT SYSTEM GAS TREATMENT SYSTEM 1 H2 TREATMENT PRODUCT GAS ANALYTIC SYSTEM MEASUREMENT SYSTEMS MEASUREMENT SYSTEM 1 11332; RTD THERMOMETER WITHOUT CONDUIT ANALOG PROCESS SIGNAL</v>
      </c>
      <c r="G230" s="29" t="s">
        <v>2544</v>
      </c>
      <c r="H230" s="29" t="s">
        <v>2545</v>
      </c>
      <c r="I230" s="29" t="str">
        <f t="shared" si="19"/>
        <v>01</v>
      </c>
      <c r="J230" s="29" t="s">
        <v>2546</v>
      </c>
      <c r="K230" s="29" t="s">
        <v>1617</v>
      </c>
      <c r="L230" s="29" t="s">
        <v>1618</v>
      </c>
      <c r="M230" s="29" t="s">
        <v>2582</v>
      </c>
      <c r="N230" s="29" t="s">
        <v>2583</v>
      </c>
      <c r="O230" s="29" t="s">
        <v>1845</v>
      </c>
      <c r="P230" s="29" t="s">
        <v>2584</v>
      </c>
      <c r="Q230" s="29" t="s">
        <v>1623</v>
      </c>
      <c r="R230" s="29" t="s">
        <v>2585</v>
      </c>
      <c r="S230" s="29" t="s">
        <v>1715</v>
      </c>
      <c r="T230" s="29" t="s">
        <v>2565</v>
      </c>
      <c r="U230" s="29" t="s">
        <v>193</v>
      </c>
      <c r="V230" s="29" t="s">
        <v>1083</v>
      </c>
      <c r="W230" s="35" t="s">
        <v>2549</v>
      </c>
      <c r="X230" s="35" t="s">
        <v>2586</v>
      </c>
      <c r="Y230" s="35" t="s">
        <v>1851</v>
      </c>
      <c r="Z230" s="35" t="s">
        <v>1719</v>
      </c>
      <c r="AA230" s="35" t="s">
        <v>1666</v>
      </c>
      <c r="AB230" s="29" t="s">
        <v>1667</v>
      </c>
      <c r="AC230" s="35" t="s">
        <v>1633</v>
      </c>
      <c r="AD230" s="35" t="s">
        <v>1668</v>
      </c>
      <c r="AE230" s="35" t="s">
        <v>1668</v>
      </c>
      <c r="AF230" s="35" t="s">
        <v>1635</v>
      </c>
      <c r="AG230" s="35" t="s">
        <v>1670</v>
      </c>
      <c r="AI230" s="35"/>
      <c r="AJ230" s="35" t="s">
        <v>1671</v>
      </c>
      <c r="AK230" s="35" t="s">
        <v>1672</v>
      </c>
      <c r="AL230" s="29" t="s">
        <v>1706</v>
      </c>
      <c r="AM230" s="35"/>
      <c r="AN230" s="35"/>
      <c r="AO230" s="35"/>
      <c r="AP230" s="35"/>
      <c r="AQ230" s="35"/>
      <c r="AS230" s="35"/>
      <c r="AU230" s="35"/>
      <c r="AW230" s="35"/>
      <c r="AY230" s="35"/>
      <c r="AZ230" s="35"/>
      <c r="BA230" s="35"/>
      <c r="BH230" s="29" t="s">
        <v>2587</v>
      </c>
      <c r="BI230" s="35"/>
      <c r="BJ230" s="35"/>
      <c r="BK230" s="29" t="str" cm="1">
        <f t="array" ref="BK230">_xlfn.UNIQUE(MID(BB230,16,14))</f>
        <v/>
      </c>
    </row>
    <row r="231" spans="1:63" x14ac:dyDescent="0.3">
      <c r="A231" s="29" t="s">
        <v>2590</v>
      </c>
      <c r="B231" s="36" t="str">
        <f t="shared" si="15"/>
        <v>V01NHC61BZ001-BF01</v>
      </c>
      <c r="C231" s="33" t="s">
        <v>2591</v>
      </c>
      <c r="D231" s="34" t="str">
        <f t="shared" si="16"/>
        <v>GAS TRT H2 HANDOVR MEAS1 FLOW1 ANALOG1</v>
      </c>
      <c r="E231" s="31">
        <f t="shared" si="17"/>
        <v>38</v>
      </c>
      <c r="F231" s="32" t="str">
        <f t="shared" si="18"/>
        <v>GAS TREATMENT SYSTEM GAS TREATMENT SYSTEM 1 H2 TREATMENT PRODUCT GAS ANALYTIK SYSTEM MEASUREMENT SYSTEMS MEASUREMENT SYSTEM 1 10301; FLOWMETER GENERAL ANALOG PROCESS SIGNAL</v>
      </c>
      <c r="G231" s="29" t="s">
        <v>2544</v>
      </c>
      <c r="H231" s="29" t="s">
        <v>2545</v>
      </c>
      <c r="I231" s="29" t="str">
        <f t="shared" si="19"/>
        <v>01</v>
      </c>
      <c r="J231" s="29" t="s">
        <v>2546</v>
      </c>
      <c r="K231" s="29" t="s">
        <v>1617</v>
      </c>
      <c r="L231" s="29" t="s">
        <v>1618</v>
      </c>
      <c r="M231" s="29" t="s">
        <v>2592</v>
      </c>
      <c r="N231" s="29" t="s">
        <v>2593</v>
      </c>
      <c r="O231" s="29" t="s">
        <v>1845</v>
      </c>
      <c r="P231" s="29" t="s">
        <v>2584</v>
      </c>
      <c r="Q231" s="29" t="s">
        <v>1623</v>
      </c>
      <c r="R231" s="29" t="s">
        <v>2585</v>
      </c>
      <c r="S231" s="29" t="s">
        <v>1625</v>
      </c>
      <c r="T231" s="29" t="s">
        <v>1626</v>
      </c>
      <c r="U231" s="29" t="s">
        <v>193</v>
      </c>
      <c r="V231" s="29" t="s">
        <v>1083</v>
      </c>
      <c r="W231" s="35" t="s">
        <v>2549</v>
      </c>
      <c r="X231" s="35" t="s">
        <v>2586</v>
      </c>
      <c r="Y231" s="35" t="s">
        <v>1851</v>
      </c>
      <c r="Z231" s="35" t="s">
        <v>1631</v>
      </c>
      <c r="AA231" s="35" t="s">
        <v>1666</v>
      </c>
      <c r="AB231" s="29" t="s">
        <v>1667</v>
      </c>
      <c r="AC231" s="35" t="s">
        <v>1633</v>
      </c>
      <c r="AD231" s="35" t="s">
        <v>1668</v>
      </c>
      <c r="AE231" s="35" t="s">
        <v>1668</v>
      </c>
      <c r="AF231" s="35" t="s">
        <v>1635</v>
      </c>
      <c r="AG231" s="35" t="s">
        <v>1670</v>
      </c>
      <c r="AI231" s="35"/>
      <c r="AJ231" s="35" t="s">
        <v>1671</v>
      </c>
      <c r="AK231" s="35" t="s">
        <v>1672</v>
      </c>
      <c r="AL231" s="29" t="s">
        <v>1697</v>
      </c>
      <c r="AM231" s="35"/>
      <c r="AN231" s="35"/>
      <c r="AO231" s="35"/>
      <c r="AP231" s="35"/>
      <c r="AQ231" s="35"/>
      <c r="AS231" s="35"/>
      <c r="AU231" s="35"/>
      <c r="AW231" s="35"/>
      <c r="AY231" s="35"/>
      <c r="AZ231" s="35"/>
      <c r="BA231" s="35"/>
      <c r="BH231" s="29" t="s">
        <v>2594</v>
      </c>
      <c r="BI231" s="35"/>
      <c r="BJ231" s="35"/>
      <c r="BK231" s="29" t="str" cm="1">
        <f t="array" ref="BK231">_xlfn.UNIQUE(MID(BB231,16,14))</f>
        <v/>
      </c>
    </row>
    <row r="232" spans="1:63" x14ac:dyDescent="0.3">
      <c r="A232" s="29" t="s">
        <v>2590</v>
      </c>
      <c r="B232" s="36" t="str">
        <f t="shared" si="15"/>
        <v>V01NHC61BZ001-BP01</v>
      </c>
      <c r="C232" s="33" t="s">
        <v>2595</v>
      </c>
      <c r="D232" s="34" t="str">
        <f t="shared" si="16"/>
        <v>GAS TRT H2 HANDOVR MEAS1 PRES1 ANALOG1</v>
      </c>
      <c r="E232" s="31">
        <f t="shared" si="17"/>
        <v>38</v>
      </c>
      <c r="F232" s="32" t="str">
        <f t="shared" si="18"/>
        <v>GAS TREATMENT SYSTEM GAS TREATMENT SYSTEM 1 H2 TREATMENT PRODUCT GAS ANALYTIK SYSTEM MEASUREMENT SYSTEMS MEASUREMENT SYSTEM 1 10922; GAUGE PRESSURE TRANSM. WITHOUT PRESSURE REPEATER ANALOG PROCESS SIGNAL</v>
      </c>
      <c r="G232" s="29" t="s">
        <v>2544</v>
      </c>
      <c r="H232" s="29" t="s">
        <v>2545</v>
      </c>
      <c r="I232" s="29" t="str">
        <f t="shared" si="19"/>
        <v>01</v>
      </c>
      <c r="J232" s="29" t="s">
        <v>2546</v>
      </c>
      <c r="K232" s="29" t="s">
        <v>1617</v>
      </c>
      <c r="L232" s="29" t="s">
        <v>1618</v>
      </c>
      <c r="M232" s="29" t="s">
        <v>2592</v>
      </c>
      <c r="N232" s="29" t="s">
        <v>2593</v>
      </c>
      <c r="O232" s="29" t="s">
        <v>1845</v>
      </c>
      <c r="P232" s="29" t="s">
        <v>2584</v>
      </c>
      <c r="Q232" s="29" t="s">
        <v>1623</v>
      </c>
      <c r="R232" s="29" t="s">
        <v>2585</v>
      </c>
      <c r="S232" s="29" t="s">
        <v>1681</v>
      </c>
      <c r="T232" s="29" t="s">
        <v>1814</v>
      </c>
      <c r="U232" s="29" t="s">
        <v>193</v>
      </c>
      <c r="V232" s="29" t="s">
        <v>1083</v>
      </c>
      <c r="W232" s="35" t="s">
        <v>2549</v>
      </c>
      <c r="X232" s="35" t="s">
        <v>2586</v>
      </c>
      <c r="Y232" s="35" t="s">
        <v>1851</v>
      </c>
      <c r="Z232" s="35" t="s">
        <v>1684</v>
      </c>
      <c r="AA232" s="35" t="s">
        <v>1666</v>
      </c>
      <c r="AB232" s="29" t="s">
        <v>1667</v>
      </c>
      <c r="AC232" s="35" t="s">
        <v>1633</v>
      </c>
      <c r="AD232" s="35" t="s">
        <v>1668</v>
      </c>
      <c r="AE232" s="35" t="s">
        <v>1668</v>
      </c>
      <c r="AF232" s="35" t="s">
        <v>1635</v>
      </c>
      <c r="AG232" s="35" t="s">
        <v>1670</v>
      </c>
      <c r="AI232" s="35"/>
      <c r="AJ232" s="35" t="s">
        <v>1671</v>
      </c>
      <c r="AK232" s="35" t="s">
        <v>1672</v>
      </c>
      <c r="AL232" s="29" t="s">
        <v>1685</v>
      </c>
      <c r="AM232" s="35"/>
      <c r="AN232" s="35"/>
      <c r="AO232" s="35"/>
      <c r="AP232" s="35"/>
      <c r="AQ232" s="35"/>
      <c r="AS232" s="35"/>
      <c r="AU232" s="35"/>
      <c r="AW232" s="35"/>
      <c r="AY232" s="35"/>
      <c r="AZ232" s="35"/>
      <c r="BA232" s="35"/>
      <c r="BH232" s="29" t="s">
        <v>2594</v>
      </c>
      <c r="BI232" s="35"/>
      <c r="BJ232" s="35"/>
      <c r="BK232" s="29" t="str" cm="1">
        <f t="array" ref="BK232">_xlfn.UNIQUE(MID(BB232,16,14))</f>
        <v/>
      </c>
    </row>
    <row r="233" spans="1:63" x14ac:dyDescent="0.3">
      <c r="A233" s="29" t="s">
        <v>2590</v>
      </c>
      <c r="B233" s="36" t="str">
        <f t="shared" si="15"/>
        <v>V01NHC61BZ001-BT01</v>
      </c>
      <c r="C233" s="33" t="s">
        <v>2596</v>
      </c>
      <c r="D233" s="34" t="str">
        <f t="shared" si="16"/>
        <v>GAS TRT H2 HANDOVR MEAS1 TEMP1 ANALOG1</v>
      </c>
      <c r="E233" s="31">
        <f t="shared" si="17"/>
        <v>38</v>
      </c>
      <c r="F233" s="32" t="str">
        <f t="shared" si="18"/>
        <v>GAS TREATMENT SYSTEM GAS TREATMENT SYSTEM 1 H2 TREATMENT PRODUCT GAS ANALYTIK SYSTEM MEASUREMENT SYSTEMS MEASUREMENT SYSTEM 1 11332; RTD THERMOMETER WITHOUT CONDUIT ANALOG PROCESS SIGNAL</v>
      </c>
      <c r="G233" s="29" t="s">
        <v>2544</v>
      </c>
      <c r="H233" s="29" t="s">
        <v>2545</v>
      </c>
      <c r="I233" s="29" t="str">
        <f t="shared" si="19"/>
        <v>01</v>
      </c>
      <c r="J233" s="29" t="s">
        <v>2546</v>
      </c>
      <c r="K233" s="29" t="s">
        <v>1617</v>
      </c>
      <c r="L233" s="29" t="s">
        <v>1618</v>
      </c>
      <c r="M233" s="29" t="s">
        <v>2592</v>
      </c>
      <c r="N233" s="29" t="s">
        <v>2593</v>
      </c>
      <c r="O233" s="29" t="s">
        <v>1845</v>
      </c>
      <c r="P233" s="29" t="s">
        <v>2584</v>
      </c>
      <c r="Q233" s="29" t="s">
        <v>1623</v>
      </c>
      <c r="R233" s="29" t="s">
        <v>2585</v>
      </c>
      <c r="S233" s="29" t="s">
        <v>1715</v>
      </c>
      <c r="T233" s="29" t="s">
        <v>2565</v>
      </c>
      <c r="U233" s="29" t="s">
        <v>193</v>
      </c>
      <c r="V233" s="29" t="s">
        <v>1083</v>
      </c>
      <c r="W233" s="35" t="s">
        <v>2549</v>
      </c>
      <c r="X233" s="35" t="s">
        <v>2586</v>
      </c>
      <c r="Y233" s="35" t="s">
        <v>1851</v>
      </c>
      <c r="Z233" s="35" t="s">
        <v>1719</v>
      </c>
      <c r="AA233" s="35" t="s">
        <v>1666</v>
      </c>
      <c r="AB233" s="29" t="s">
        <v>1667</v>
      </c>
      <c r="AC233" s="35" t="s">
        <v>1633</v>
      </c>
      <c r="AD233" s="35" t="s">
        <v>1668</v>
      </c>
      <c r="AE233" s="35" t="s">
        <v>1668</v>
      </c>
      <c r="AF233" s="35" t="s">
        <v>1635</v>
      </c>
      <c r="AG233" s="35" t="s">
        <v>1670</v>
      </c>
      <c r="AI233" s="35"/>
      <c r="AJ233" s="35" t="s">
        <v>1671</v>
      </c>
      <c r="AK233" s="35" t="s">
        <v>1672</v>
      </c>
      <c r="AL233" s="29" t="s">
        <v>1706</v>
      </c>
      <c r="AM233" s="35"/>
      <c r="AN233" s="35"/>
      <c r="AO233" s="35"/>
      <c r="AP233" s="35"/>
      <c r="AQ233" s="35"/>
      <c r="AS233" s="35"/>
      <c r="AU233" s="35"/>
      <c r="AW233" s="35"/>
      <c r="AY233" s="35"/>
      <c r="AZ233" s="35"/>
      <c r="BA233" s="35"/>
      <c r="BH233" s="29" t="s">
        <v>2594</v>
      </c>
      <c r="BI233" s="35"/>
      <c r="BJ233" s="35"/>
      <c r="BK233" s="29" t="str" cm="1">
        <f t="array" ref="BK233">_xlfn.UNIQUE(MID(BB233,16,14))</f>
        <v/>
      </c>
    </row>
    <row r="234" spans="1:63" hidden="1" x14ac:dyDescent="0.3">
      <c r="A234" s="29" t="s">
        <v>1707</v>
      </c>
      <c r="B234" s="36" t="str">
        <f t="shared" si="15"/>
        <v>A01PAD01EZ001-EQ01GQ01</v>
      </c>
      <c r="C234" s="33" t="s">
        <v>2597</v>
      </c>
      <c r="D234" s="34" t="str">
        <f t="shared" si="16"/>
        <v>AUX COOL WTR RECOOL AIR1-1 ANALOG1</v>
      </c>
      <c r="E234" s="31">
        <f t="shared" si="17"/>
        <v>34</v>
      </c>
      <c r="F234" s="32" t="str">
        <f t="shared" si="18"/>
        <v>ANCILLARY/AUXILIARY SYSTEMS AUXILLIARY SYSTEMS COOLING WATER SYSTEMS COOLING WATER SYSTEM RECOOLING SYSTEMS RECOOLING CIRCUIT AIR COOLED HEAT EXCHANGER 1 - 1 ANALOG PROCESS SIGNAL</v>
      </c>
      <c r="G234" s="29" t="s">
        <v>1651</v>
      </c>
      <c r="H234" s="29" t="s">
        <v>1652</v>
      </c>
      <c r="I234" s="29" t="str">
        <f t="shared" si="19"/>
        <v>01</v>
      </c>
      <c r="J234" s="29" t="s">
        <v>1653</v>
      </c>
      <c r="K234" s="29" t="s">
        <v>1709</v>
      </c>
      <c r="L234" s="29" t="s">
        <v>1710</v>
      </c>
      <c r="M234" s="29" t="s">
        <v>1619</v>
      </c>
      <c r="N234" s="29" t="s">
        <v>1711</v>
      </c>
      <c r="O234" s="29" t="s">
        <v>1712</v>
      </c>
      <c r="P234" s="29" t="s">
        <v>1713</v>
      </c>
      <c r="Q234" s="29" t="s">
        <v>1623</v>
      </c>
      <c r="R234" s="29" t="s">
        <v>1714</v>
      </c>
      <c r="S234" s="29" t="s">
        <v>1725</v>
      </c>
      <c r="T234" s="29" t="s">
        <v>1726</v>
      </c>
      <c r="U234" s="29" t="s">
        <v>2598</v>
      </c>
      <c r="V234" s="29" t="s">
        <v>1083</v>
      </c>
      <c r="W234" s="35" t="s">
        <v>1662</v>
      </c>
      <c r="X234" s="35" t="s">
        <v>1717</v>
      </c>
      <c r="Y234" s="35" t="s">
        <v>1718</v>
      </c>
      <c r="Z234" s="35" t="s">
        <v>1727</v>
      </c>
      <c r="AA234" s="35" t="s">
        <v>1666</v>
      </c>
      <c r="AC234" s="35" t="s">
        <v>1633</v>
      </c>
      <c r="AD234" s="35" t="s">
        <v>1728</v>
      </c>
      <c r="AE234" s="35" t="s">
        <v>1728</v>
      </c>
      <c r="AF234" s="35" t="s">
        <v>1669</v>
      </c>
      <c r="AG234" s="35" t="s">
        <v>1728</v>
      </c>
      <c r="AI234" s="35"/>
      <c r="AJ234" s="35" t="s">
        <v>2599</v>
      </c>
      <c r="AK234" s="35" t="s">
        <v>1672</v>
      </c>
      <c r="AL234" s="29" t="s">
        <v>1729</v>
      </c>
      <c r="AM234" s="35"/>
      <c r="AN234" s="35"/>
      <c r="AO234" s="35"/>
      <c r="AP234" s="35"/>
      <c r="AQ234" s="35"/>
      <c r="AS234" s="35"/>
      <c r="AU234" s="35"/>
      <c r="AW234" s="35"/>
      <c r="AY234" s="35"/>
      <c r="AZ234" s="35"/>
      <c r="BA234" s="35"/>
      <c r="BH234" s="29" t="s">
        <v>1723</v>
      </c>
      <c r="BI234" s="35"/>
      <c r="BJ234" s="35"/>
    </row>
    <row r="235" spans="1:63" hidden="1" x14ac:dyDescent="0.3">
      <c r="A235" s="29" t="s">
        <v>1707</v>
      </c>
      <c r="B235" s="36" t="str">
        <f t="shared" si="15"/>
        <v>A01PAD01EZ001-EQ01GQxx</v>
      </c>
      <c r="C235" s="33" t="s">
        <v>2600</v>
      </c>
      <c r="D235" s="34" t="str">
        <f t="shared" si="16"/>
        <v>AUX COOL WTR RECOOL AIR1-X ANALOG1</v>
      </c>
      <c r="E235" s="31">
        <f t="shared" si="17"/>
        <v>34</v>
      </c>
      <c r="F235" s="32" t="str">
        <f t="shared" si="18"/>
        <v>ANCILLARY/AUXILIARY SYSTEMS AUXILLIARY SYSTEMS COOLING WATER SYSTEMS COOLING WATER SYSTEM RECOOLING SYSTEMS RECOOLING CIRCUIT AIR COOLED HEAT EXCHANGER 1 - X ANALOG PROCESS SIGNAL</v>
      </c>
      <c r="G235" s="29" t="s">
        <v>1651</v>
      </c>
      <c r="H235" s="29" t="s">
        <v>1652</v>
      </c>
      <c r="I235" s="29" t="str">
        <f t="shared" si="19"/>
        <v>01</v>
      </c>
      <c r="J235" s="29" t="s">
        <v>1653</v>
      </c>
      <c r="K235" s="29" t="s">
        <v>1709</v>
      </c>
      <c r="L235" s="29" t="s">
        <v>1710</v>
      </c>
      <c r="M235" s="29" t="s">
        <v>1619</v>
      </c>
      <c r="N235" s="29" t="s">
        <v>1711</v>
      </c>
      <c r="O235" s="29" t="s">
        <v>1712</v>
      </c>
      <c r="P235" s="29" t="s">
        <v>1713</v>
      </c>
      <c r="Q235" s="29" t="s">
        <v>1623</v>
      </c>
      <c r="R235" s="29" t="s">
        <v>1714</v>
      </c>
      <c r="S235" s="29" t="s">
        <v>1731</v>
      </c>
      <c r="T235" s="29" t="s">
        <v>1732</v>
      </c>
      <c r="U235" s="29" t="s">
        <v>2598</v>
      </c>
      <c r="V235" s="29" t="s">
        <v>1083</v>
      </c>
      <c r="W235" s="35" t="s">
        <v>1662</v>
      </c>
      <c r="X235" s="35" t="s">
        <v>1717</v>
      </c>
      <c r="Y235" s="35" t="s">
        <v>1718</v>
      </c>
      <c r="Z235" s="35" t="s">
        <v>1733</v>
      </c>
      <c r="AA235" s="35" t="s">
        <v>1666</v>
      </c>
      <c r="AC235" s="35" t="s">
        <v>1633</v>
      </c>
      <c r="AD235" s="35" t="s">
        <v>1728</v>
      </c>
      <c r="AE235" s="35" t="s">
        <v>1728</v>
      </c>
      <c r="AF235" s="35" t="s">
        <v>1669</v>
      </c>
      <c r="AG235" s="35" t="s">
        <v>1728</v>
      </c>
      <c r="AI235" s="35"/>
      <c r="AJ235" s="35" t="s">
        <v>2599</v>
      </c>
      <c r="AK235" s="35" t="s">
        <v>1672</v>
      </c>
      <c r="AL235" s="29" t="s">
        <v>1729</v>
      </c>
      <c r="AM235" s="35"/>
      <c r="AN235" s="35"/>
      <c r="AO235" s="35"/>
      <c r="AP235" s="35"/>
      <c r="AQ235" s="35"/>
      <c r="AS235" s="35"/>
      <c r="AU235" s="35"/>
      <c r="AW235" s="35"/>
      <c r="AY235" s="35"/>
      <c r="AZ235" s="35"/>
      <c r="BA235" s="35"/>
      <c r="BH235" s="29" t="s">
        <v>1723</v>
      </c>
      <c r="BI235" s="35"/>
      <c r="BJ235" s="35"/>
    </row>
    <row r="236" spans="1:63" hidden="1" x14ac:dyDescent="0.3">
      <c r="A236" s="29" t="s">
        <v>1707</v>
      </c>
      <c r="B236" s="36" t="str">
        <f t="shared" si="15"/>
        <v>A01PAD01EZ001-EQ02GQ01</v>
      </c>
      <c r="C236" s="33" t="s">
        <v>2601</v>
      </c>
      <c r="D236" s="34" t="str">
        <f t="shared" si="16"/>
        <v>AUX COOL WTR RECOOL AIR2-1 ANALOG1</v>
      </c>
      <c r="E236" s="31">
        <f t="shared" si="17"/>
        <v>34</v>
      </c>
      <c r="F236" s="32" t="str">
        <f t="shared" si="18"/>
        <v>ANCILLARY/AUXILIARY SYSTEMS AUXILLIARY SYSTEMS COOLING WATER SYSTEMS COOLING WATER SYSTEM RECOOLING SYSTEMS RECOOLING CIRCUIT AIR COOLED HEAT EXCHANGER 2 - 1 ANALOG PROCESS SIGNAL</v>
      </c>
      <c r="G236" s="29" t="s">
        <v>1651</v>
      </c>
      <c r="H236" s="29" t="s">
        <v>1652</v>
      </c>
      <c r="I236" s="29" t="str">
        <f t="shared" si="19"/>
        <v>01</v>
      </c>
      <c r="J236" s="29" t="s">
        <v>1653</v>
      </c>
      <c r="K236" s="29" t="s">
        <v>1709</v>
      </c>
      <c r="L236" s="29" t="s">
        <v>1710</v>
      </c>
      <c r="M236" s="29" t="s">
        <v>1619</v>
      </c>
      <c r="N236" s="29" t="s">
        <v>1711</v>
      </c>
      <c r="O236" s="29" t="s">
        <v>1712</v>
      </c>
      <c r="P236" s="29" t="s">
        <v>1713</v>
      </c>
      <c r="Q236" s="29" t="s">
        <v>1623</v>
      </c>
      <c r="R236" s="29" t="s">
        <v>1714</v>
      </c>
      <c r="S236" s="29" t="s">
        <v>1735</v>
      </c>
      <c r="T236" s="29" t="s">
        <v>1736</v>
      </c>
      <c r="U236" s="29" t="s">
        <v>2598</v>
      </c>
      <c r="V236" s="29" t="s">
        <v>1083</v>
      </c>
      <c r="W236" s="35" t="s">
        <v>1662</v>
      </c>
      <c r="X236" s="35" t="s">
        <v>1717</v>
      </c>
      <c r="Y236" s="35" t="s">
        <v>1718</v>
      </c>
      <c r="Z236" s="35" t="s">
        <v>1737</v>
      </c>
      <c r="AA236" s="35" t="s">
        <v>1666</v>
      </c>
      <c r="AC236" s="35" t="s">
        <v>1633</v>
      </c>
      <c r="AD236" s="35" t="s">
        <v>1728</v>
      </c>
      <c r="AE236" s="35" t="s">
        <v>1728</v>
      </c>
      <c r="AF236" s="35" t="s">
        <v>1669</v>
      </c>
      <c r="AG236" s="35" t="s">
        <v>1728</v>
      </c>
      <c r="AI236" s="35"/>
      <c r="AJ236" s="35" t="s">
        <v>2599</v>
      </c>
      <c r="AK236" s="35" t="s">
        <v>1672</v>
      </c>
      <c r="AL236" s="29" t="s">
        <v>1729</v>
      </c>
      <c r="AM236" s="35"/>
      <c r="AN236" s="35"/>
      <c r="AO236" s="35"/>
      <c r="AP236" s="35"/>
      <c r="AQ236" s="35"/>
      <c r="AS236" s="35"/>
      <c r="AU236" s="35"/>
      <c r="AW236" s="35"/>
      <c r="AY236" s="35"/>
      <c r="AZ236" s="35"/>
      <c r="BA236" s="35"/>
      <c r="BH236" s="29" t="s">
        <v>1723</v>
      </c>
      <c r="BI236" s="35"/>
      <c r="BJ236" s="35"/>
    </row>
    <row r="237" spans="1:63" hidden="1" x14ac:dyDescent="0.3">
      <c r="A237" s="29" t="s">
        <v>1707</v>
      </c>
      <c r="B237" s="36" t="str">
        <f t="shared" si="15"/>
        <v>A01PAD01EZ001-EQ02GQxx</v>
      </c>
      <c r="C237" s="33" t="s">
        <v>2602</v>
      </c>
      <c r="D237" s="34" t="str">
        <f t="shared" si="16"/>
        <v>AUX COOL WTR RECOOL AIR2-X ANALOG1</v>
      </c>
      <c r="E237" s="31">
        <f t="shared" si="17"/>
        <v>34</v>
      </c>
      <c r="F237" s="32" t="str">
        <f t="shared" si="18"/>
        <v>ANCILLARY/AUXILIARY SYSTEMS AUXILLIARY SYSTEMS COOLING WATER SYSTEMS COOLING WATER SYSTEM RECOOLING SYSTEMS RECOOLING CIRCUIT AIR COOLED HEAT EXCHANGER 2 - X ANALOG PROCESS SIGNAL</v>
      </c>
      <c r="G237" s="29" t="s">
        <v>1651</v>
      </c>
      <c r="H237" s="29" t="s">
        <v>1652</v>
      </c>
      <c r="I237" s="29" t="str">
        <f t="shared" si="19"/>
        <v>01</v>
      </c>
      <c r="J237" s="29" t="s">
        <v>1653</v>
      </c>
      <c r="K237" s="29" t="s">
        <v>1709</v>
      </c>
      <c r="L237" s="29" t="s">
        <v>1710</v>
      </c>
      <c r="M237" s="29" t="s">
        <v>1619</v>
      </c>
      <c r="N237" s="29" t="s">
        <v>1711</v>
      </c>
      <c r="O237" s="29" t="s">
        <v>1712</v>
      </c>
      <c r="P237" s="29" t="s">
        <v>1713</v>
      </c>
      <c r="Q237" s="29" t="s">
        <v>1623</v>
      </c>
      <c r="R237" s="29" t="s">
        <v>1714</v>
      </c>
      <c r="S237" s="29" t="s">
        <v>1739</v>
      </c>
      <c r="T237" s="29" t="s">
        <v>1740</v>
      </c>
      <c r="U237" s="29" t="s">
        <v>2598</v>
      </c>
      <c r="V237" s="29" t="s">
        <v>1083</v>
      </c>
      <c r="W237" s="35" t="s">
        <v>1662</v>
      </c>
      <c r="X237" s="35" t="s">
        <v>1717</v>
      </c>
      <c r="Y237" s="35" t="s">
        <v>1718</v>
      </c>
      <c r="Z237" s="35" t="s">
        <v>1741</v>
      </c>
      <c r="AA237" s="35" t="s">
        <v>1666</v>
      </c>
      <c r="AC237" s="35" t="s">
        <v>1633</v>
      </c>
      <c r="AD237" s="35" t="s">
        <v>1728</v>
      </c>
      <c r="AE237" s="35" t="s">
        <v>1728</v>
      </c>
      <c r="AF237" s="35" t="s">
        <v>1669</v>
      </c>
      <c r="AG237" s="35" t="s">
        <v>1728</v>
      </c>
      <c r="AI237" s="35"/>
      <c r="AJ237" s="35" t="s">
        <v>2599</v>
      </c>
      <c r="AK237" s="35" t="s">
        <v>1672</v>
      </c>
      <c r="AL237" s="29" t="s">
        <v>1729</v>
      </c>
      <c r="AM237" s="35"/>
      <c r="AN237" s="35"/>
      <c r="AO237" s="35"/>
      <c r="AP237" s="35"/>
      <c r="AQ237" s="35"/>
      <c r="AS237" s="35"/>
      <c r="AU237" s="35"/>
      <c r="AW237" s="35"/>
      <c r="AY237" s="35"/>
      <c r="AZ237" s="35"/>
      <c r="BA237" s="35"/>
      <c r="BH237" s="29" t="s">
        <v>1723</v>
      </c>
      <c r="BI237" s="35"/>
      <c r="BJ237" s="35"/>
    </row>
    <row r="238" spans="1:63" hidden="1" x14ac:dyDescent="0.3">
      <c r="A238" s="29" t="s">
        <v>1707</v>
      </c>
      <c r="B238" s="36" t="str">
        <f t="shared" si="15"/>
        <v>A01PAD01EZ001-EQ03GQ01</v>
      </c>
      <c r="C238" s="33" t="s">
        <v>2603</v>
      </c>
      <c r="D238" s="34" t="str">
        <f t="shared" si="16"/>
        <v>AUX COOL WTR RECOOL AIR3-1 ANALOG1</v>
      </c>
      <c r="E238" s="31">
        <f t="shared" si="17"/>
        <v>34</v>
      </c>
      <c r="F238" s="32" t="str">
        <f t="shared" si="18"/>
        <v>ANCILLARY/AUXILIARY SYSTEMS AUXILLIARY SYSTEMS COOLING WATER SYSTEMS COOLING WATER SYSTEM RECOOLING SYSTEMS RECOOLING CIRCUIT AIR COOLED HEAT EXCHANGER 3 - 1 ANALOG PROCESS SIGNAL</v>
      </c>
      <c r="G238" s="29" t="s">
        <v>1651</v>
      </c>
      <c r="H238" s="29" t="s">
        <v>1652</v>
      </c>
      <c r="I238" s="29" t="str">
        <f t="shared" si="19"/>
        <v>01</v>
      </c>
      <c r="J238" s="29" t="s">
        <v>1653</v>
      </c>
      <c r="K238" s="29" t="s">
        <v>1709</v>
      </c>
      <c r="L238" s="29" t="s">
        <v>1710</v>
      </c>
      <c r="M238" s="29" t="s">
        <v>1619</v>
      </c>
      <c r="N238" s="29" t="s">
        <v>1711</v>
      </c>
      <c r="O238" s="29" t="s">
        <v>1712</v>
      </c>
      <c r="P238" s="29" t="s">
        <v>1713</v>
      </c>
      <c r="Q238" s="29" t="s">
        <v>1623</v>
      </c>
      <c r="R238" s="29" t="s">
        <v>1714</v>
      </c>
      <c r="S238" s="29" t="s">
        <v>1743</v>
      </c>
      <c r="T238" s="29" t="s">
        <v>1744</v>
      </c>
      <c r="U238" s="29" t="s">
        <v>2598</v>
      </c>
      <c r="V238" s="29" t="s">
        <v>1083</v>
      </c>
      <c r="W238" s="35" t="s">
        <v>1662</v>
      </c>
      <c r="X238" s="35" t="s">
        <v>1717</v>
      </c>
      <c r="Y238" s="35" t="s">
        <v>1718</v>
      </c>
      <c r="Z238" s="35" t="s">
        <v>1745</v>
      </c>
      <c r="AA238" s="35" t="s">
        <v>1666</v>
      </c>
      <c r="AC238" s="35" t="s">
        <v>1633</v>
      </c>
      <c r="AD238" s="35" t="s">
        <v>1728</v>
      </c>
      <c r="AE238" s="35" t="s">
        <v>1728</v>
      </c>
      <c r="AF238" s="35" t="s">
        <v>1669</v>
      </c>
      <c r="AG238" s="35" t="s">
        <v>1728</v>
      </c>
      <c r="AI238" s="35"/>
      <c r="AJ238" s="35" t="s">
        <v>2599</v>
      </c>
      <c r="AK238" s="35" t="s">
        <v>1672</v>
      </c>
      <c r="AL238" s="29" t="s">
        <v>1729</v>
      </c>
      <c r="AM238" s="35"/>
      <c r="AN238" s="35"/>
      <c r="AO238" s="35"/>
      <c r="AP238" s="35"/>
      <c r="AQ238" s="35"/>
      <c r="AS238" s="35"/>
      <c r="AU238" s="35"/>
      <c r="AW238" s="35"/>
      <c r="AY238" s="35"/>
      <c r="AZ238" s="35"/>
      <c r="BA238" s="35"/>
      <c r="BH238" s="29" t="s">
        <v>1723</v>
      </c>
      <c r="BI238" s="35"/>
      <c r="BJ238" s="35"/>
    </row>
    <row r="239" spans="1:63" hidden="1" x14ac:dyDescent="0.3">
      <c r="A239" s="29" t="s">
        <v>1707</v>
      </c>
      <c r="B239" s="36" t="str">
        <f t="shared" si="15"/>
        <v>A01PAD01EZ001-EQ03GQxx</v>
      </c>
      <c r="C239" s="33" t="s">
        <v>2604</v>
      </c>
      <c r="D239" s="34" t="str">
        <f t="shared" si="16"/>
        <v>AUX COOL WTR RECOOL AIR3-X ANALOG1</v>
      </c>
      <c r="E239" s="31">
        <f t="shared" si="17"/>
        <v>34</v>
      </c>
      <c r="F239" s="32" t="str">
        <f t="shared" si="18"/>
        <v>ANCILLARY/AUXILIARY SYSTEMS AUXILLIARY SYSTEMS COOLING WATER SYSTEMS COOLING WATER SYSTEM RECOOLING SYSTEMS RECOOLING CIRCUIT AIR COOLED HEAT EXCHANGER 3 - X ANALOG PROCESS SIGNAL</v>
      </c>
      <c r="G239" s="29" t="s">
        <v>1651</v>
      </c>
      <c r="H239" s="29" t="s">
        <v>1652</v>
      </c>
      <c r="I239" s="29" t="str">
        <f t="shared" si="19"/>
        <v>01</v>
      </c>
      <c r="J239" s="29" t="s">
        <v>1653</v>
      </c>
      <c r="K239" s="29" t="s">
        <v>1709</v>
      </c>
      <c r="L239" s="29" t="s">
        <v>1710</v>
      </c>
      <c r="M239" s="29" t="s">
        <v>1619</v>
      </c>
      <c r="N239" s="29" t="s">
        <v>1711</v>
      </c>
      <c r="O239" s="29" t="s">
        <v>1712</v>
      </c>
      <c r="P239" s="29" t="s">
        <v>1713</v>
      </c>
      <c r="Q239" s="29" t="s">
        <v>1623</v>
      </c>
      <c r="R239" s="29" t="s">
        <v>1714</v>
      </c>
      <c r="S239" s="29" t="s">
        <v>1747</v>
      </c>
      <c r="T239" s="29" t="s">
        <v>1748</v>
      </c>
      <c r="U239" s="29" t="s">
        <v>2598</v>
      </c>
      <c r="V239" s="29" t="s">
        <v>1083</v>
      </c>
      <c r="W239" s="35" t="s">
        <v>1662</v>
      </c>
      <c r="X239" s="35" t="s">
        <v>1717</v>
      </c>
      <c r="Y239" s="35" t="s">
        <v>1718</v>
      </c>
      <c r="Z239" s="35" t="s">
        <v>1749</v>
      </c>
      <c r="AA239" s="35" t="s">
        <v>1666</v>
      </c>
      <c r="AC239" s="35" t="s">
        <v>1633</v>
      </c>
      <c r="AD239" s="35" t="s">
        <v>1728</v>
      </c>
      <c r="AE239" s="35" t="s">
        <v>1728</v>
      </c>
      <c r="AF239" s="35" t="s">
        <v>1669</v>
      </c>
      <c r="AG239" s="35" t="s">
        <v>1728</v>
      </c>
      <c r="AI239" s="35"/>
      <c r="AJ239" s="35" t="s">
        <v>2599</v>
      </c>
      <c r="AK239" s="35" t="s">
        <v>1672</v>
      </c>
      <c r="AL239" s="29" t="s">
        <v>1729</v>
      </c>
      <c r="AM239" s="35"/>
      <c r="AN239" s="35"/>
      <c r="AO239" s="35"/>
      <c r="AP239" s="35"/>
      <c r="AQ239" s="35"/>
      <c r="AS239" s="35"/>
      <c r="AU239" s="35"/>
      <c r="AW239" s="35"/>
      <c r="AY239" s="35"/>
      <c r="AZ239" s="35"/>
      <c r="BA239" s="35"/>
      <c r="BH239" s="29" t="s">
        <v>1723</v>
      </c>
      <c r="BI239" s="35"/>
      <c r="BJ239" s="35"/>
    </row>
    <row r="240" spans="1:63" hidden="1" x14ac:dyDescent="0.3">
      <c r="A240" s="29" t="s">
        <v>1779</v>
      </c>
      <c r="B240" s="36" t="str">
        <f t="shared" si="15"/>
        <v>A01PAD01WP001-QN01</v>
      </c>
      <c r="C240" s="33" t="s">
        <v>2605</v>
      </c>
      <c r="D240" s="34" t="str">
        <f t="shared" si="16"/>
        <v>AUX COOL WTR PIPING CV1 ANALOG1</v>
      </c>
      <c r="E240" s="31">
        <f t="shared" si="17"/>
        <v>31</v>
      </c>
      <c r="F240" s="32" t="str">
        <f t="shared" si="18"/>
        <v>ANCILLARY/AUXILIARY SYSTEMS AUXILLIARY SYSTEMS COOLING WATER SYSTEMS COOLING WATER SYSTEM RECOOLING WATER DISTRIBUTION SYSTEM COOLING WATER PIPE SYSTEM CONTROL VALVE - COMPRESSOR COOLINGWATER RETURN ANALOG PROCESS SIGNAL</v>
      </c>
      <c r="G240" s="29" t="s">
        <v>1651</v>
      </c>
      <c r="H240" s="29" t="s">
        <v>1652</v>
      </c>
      <c r="I240" s="29" t="str">
        <f t="shared" si="19"/>
        <v>01</v>
      </c>
      <c r="J240" s="29" t="s">
        <v>1653</v>
      </c>
      <c r="K240" s="29" t="s">
        <v>1709</v>
      </c>
      <c r="L240" s="29" t="s">
        <v>1710</v>
      </c>
      <c r="M240" s="29" t="s">
        <v>1619</v>
      </c>
      <c r="N240" s="29" t="s">
        <v>1711</v>
      </c>
      <c r="O240" s="29" t="s">
        <v>1781</v>
      </c>
      <c r="P240" s="29" t="s">
        <v>1782</v>
      </c>
      <c r="Q240" s="29" t="s">
        <v>1623</v>
      </c>
      <c r="R240" s="29" t="s">
        <v>1783</v>
      </c>
      <c r="S240" s="29" t="s">
        <v>1800</v>
      </c>
      <c r="T240" s="29" t="s">
        <v>1801</v>
      </c>
      <c r="U240" s="29" t="s">
        <v>2598</v>
      </c>
      <c r="V240" s="29" t="s">
        <v>1083</v>
      </c>
      <c r="W240" s="35" t="s">
        <v>1662</v>
      </c>
      <c r="X240" s="35" t="s">
        <v>1717</v>
      </c>
      <c r="Y240" s="35" t="s">
        <v>1785</v>
      </c>
      <c r="Z240" s="35" t="s">
        <v>1802</v>
      </c>
      <c r="AA240" s="35" t="s">
        <v>1666</v>
      </c>
      <c r="AB240" s="29" t="s">
        <v>1667</v>
      </c>
      <c r="AC240" s="35" t="s">
        <v>1633</v>
      </c>
      <c r="AD240" s="35" t="s">
        <v>1668</v>
      </c>
      <c r="AE240" s="35" t="s">
        <v>1668</v>
      </c>
      <c r="AF240" s="35" t="s">
        <v>1635</v>
      </c>
      <c r="AG240" s="35" t="s">
        <v>1670</v>
      </c>
      <c r="AI240" s="35"/>
      <c r="AJ240" s="35" t="s">
        <v>2599</v>
      </c>
      <c r="AK240" s="35" t="s">
        <v>1672</v>
      </c>
      <c r="AL240" s="29" t="s">
        <v>2606</v>
      </c>
      <c r="AM240" s="35"/>
      <c r="AN240" s="35"/>
      <c r="AO240" s="35"/>
      <c r="AP240" s="35"/>
      <c r="AQ240" s="35"/>
      <c r="AS240" s="35"/>
      <c r="AU240" s="35"/>
      <c r="AW240" s="35"/>
      <c r="AY240" s="35"/>
      <c r="AZ240" s="35"/>
      <c r="BA240" s="35"/>
      <c r="BD240" s="29" t="s">
        <v>2607</v>
      </c>
      <c r="BE240" s="29" t="s">
        <v>1805</v>
      </c>
      <c r="BH240" s="29" t="s">
        <v>1794</v>
      </c>
      <c r="BI240" s="35"/>
      <c r="BJ240" s="35"/>
      <c r="BK240" s="29" t="str" cm="1">
        <f t="array" ref="BK240">_xlfn.UNIQUE(MID(BB240,16,14))</f>
        <v/>
      </c>
    </row>
    <row r="241" spans="1:63" hidden="1" x14ac:dyDescent="0.3">
      <c r="A241" s="29" t="s">
        <v>1974</v>
      </c>
      <c r="B241" s="36" t="str">
        <f t="shared" si="15"/>
        <v>G01NHB01EQ001-QN01</v>
      </c>
      <c r="C241" s="33" t="s">
        <v>2608</v>
      </c>
      <c r="D241" s="34" t="str">
        <f t="shared" si="16"/>
        <v>ELY1 GRP1 COOL CV1 ANALOG1</v>
      </c>
      <c r="E241" s="31">
        <f t="shared" si="17"/>
        <v>26</v>
      </c>
      <c r="F241" s="32" t="str">
        <f t="shared" si="18"/>
        <v>ELECTROLYSIS SYSTEM ELECTROLYSIS ARRAY 1 ELECTROLYZER SYSTEM MODULE GROUP 1 HEAT EXCHANGING SYSTEMS HEAT EXCHANGING SYSTEM 1 COOLING WATER - CONTROL VALVE ANALOG PROCESS SIGNAL</v>
      </c>
      <c r="G241" s="29" t="s">
        <v>1614</v>
      </c>
      <c r="H241" s="29" t="s">
        <v>1615</v>
      </c>
      <c r="I241" s="29" t="str">
        <f t="shared" si="19"/>
        <v>01</v>
      </c>
      <c r="J241" s="29" t="s">
        <v>1616</v>
      </c>
      <c r="K241" s="29" t="s">
        <v>1976</v>
      </c>
      <c r="L241" s="29" t="s">
        <v>1977</v>
      </c>
      <c r="M241" s="29" t="s">
        <v>1619</v>
      </c>
      <c r="N241" s="29" t="s">
        <v>1978</v>
      </c>
      <c r="O241" s="29" t="s">
        <v>1894</v>
      </c>
      <c r="P241" s="29" t="s">
        <v>1979</v>
      </c>
      <c r="Q241" s="29" t="s">
        <v>1623</v>
      </c>
      <c r="R241" s="29" t="s">
        <v>1980</v>
      </c>
      <c r="S241" s="29" t="s">
        <v>1800</v>
      </c>
      <c r="T241" s="29" t="s">
        <v>2014</v>
      </c>
      <c r="U241" s="29" t="s">
        <v>2598</v>
      </c>
      <c r="V241" s="29" t="s">
        <v>1083</v>
      </c>
      <c r="W241" s="35" t="s">
        <v>1628</v>
      </c>
      <c r="X241" s="35" t="s">
        <v>1982</v>
      </c>
      <c r="Y241" s="35" t="s">
        <v>1898</v>
      </c>
      <c r="Z241" s="35" t="s">
        <v>1802</v>
      </c>
      <c r="AA241" s="35" t="s">
        <v>1666</v>
      </c>
      <c r="AB241" s="29" t="s">
        <v>2015</v>
      </c>
      <c r="AC241" s="35" t="s">
        <v>1633</v>
      </c>
      <c r="AD241" s="35" t="s">
        <v>1668</v>
      </c>
      <c r="AE241" s="35" t="s">
        <v>1668</v>
      </c>
      <c r="AF241" s="35" t="s">
        <v>1635</v>
      </c>
      <c r="AG241" s="35" t="s">
        <v>1670</v>
      </c>
      <c r="AI241" s="35"/>
      <c r="AJ241" s="35" t="s">
        <v>2599</v>
      </c>
      <c r="AK241" s="35" t="s">
        <v>1672</v>
      </c>
      <c r="AL241" s="29" t="s">
        <v>2606</v>
      </c>
      <c r="AM241" s="35"/>
      <c r="AN241" s="35"/>
      <c r="AO241" s="35"/>
      <c r="AP241" s="35"/>
      <c r="AQ241" s="35"/>
      <c r="AS241" s="35"/>
      <c r="AU241" s="35"/>
      <c r="AW241" s="35"/>
      <c r="AY241" s="35"/>
      <c r="AZ241" s="35"/>
      <c r="BA241" s="35"/>
      <c r="BB241" s="29" t="s">
        <v>2609</v>
      </c>
      <c r="BC241" s="29" t="s">
        <v>2610</v>
      </c>
      <c r="BF241" s="29" t="s">
        <v>1619</v>
      </c>
      <c r="BG241" s="29" t="s">
        <v>2017</v>
      </c>
      <c r="BH241" s="29" t="s">
        <v>1986</v>
      </c>
      <c r="BI241" s="35"/>
      <c r="BJ241" s="35"/>
      <c r="BK241" s="29" t="str" cm="1">
        <f t="array" ref="BK241">_xlfn.UNIQUE(MID(BB241,16,14))</f>
        <v>U012UNA01UH111</v>
      </c>
    </row>
    <row r="242" spans="1:63" hidden="1" x14ac:dyDescent="0.3">
      <c r="A242" s="29" t="s">
        <v>2087</v>
      </c>
      <c r="B242" s="36" t="str">
        <f t="shared" si="15"/>
        <v>G01NHB02EQ001-QN01</v>
      </c>
      <c r="C242" s="33" t="s">
        <v>2611</v>
      </c>
      <c r="D242" s="34" t="str">
        <f t="shared" si="16"/>
        <v>ELY1 GRP2 COOL CV1 ANALOG1</v>
      </c>
      <c r="E242" s="31">
        <f t="shared" si="17"/>
        <v>26</v>
      </c>
      <c r="F242" s="32" t="str">
        <f t="shared" si="18"/>
        <v>ELECTROLYSIS SYSTEM ELECTROLYSIS ARRAY 1 ELECTROLYZER SYSTEM MODULE GROUP 2 HEAT EXCHANGING SYSTEMS HEAT EXCHANGING SYSTEM 1 COOLING WATER - CONTROL VALVE ANALOG PROCESS SIGNAL</v>
      </c>
      <c r="G242" s="29" t="s">
        <v>1614</v>
      </c>
      <c r="H242" s="29" t="s">
        <v>1615</v>
      </c>
      <c r="I242" s="29" t="str">
        <f t="shared" si="19"/>
        <v>01</v>
      </c>
      <c r="J242" s="29" t="s">
        <v>1616</v>
      </c>
      <c r="K242" s="29" t="s">
        <v>1976</v>
      </c>
      <c r="L242" s="29" t="s">
        <v>1977</v>
      </c>
      <c r="M242" s="29" t="s">
        <v>1905</v>
      </c>
      <c r="N242" s="29" t="s">
        <v>2089</v>
      </c>
      <c r="O242" s="29" t="s">
        <v>1894</v>
      </c>
      <c r="P242" s="29" t="s">
        <v>1979</v>
      </c>
      <c r="Q242" s="29" t="s">
        <v>1623</v>
      </c>
      <c r="R242" s="29" t="s">
        <v>1980</v>
      </c>
      <c r="S242" s="29" t="s">
        <v>1800</v>
      </c>
      <c r="T242" s="29" t="s">
        <v>2014</v>
      </c>
      <c r="U242" s="29" t="s">
        <v>2598</v>
      </c>
      <c r="V242" s="29" t="s">
        <v>1083</v>
      </c>
      <c r="W242" s="35" t="s">
        <v>1628</v>
      </c>
      <c r="X242" s="35" t="s">
        <v>2090</v>
      </c>
      <c r="Y242" s="35" t="s">
        <v>1898</v>
      </c>
      <c r="Z242" s="35" t="s">
        <v>1802</v>
      </c>
      <c r="AA242" s="35" t="s">
        <v>1666</v>
      </c>
      <c r="AB242" s="29" t="s">
        <v>2015</v>
      </c>
      <c r="AC242" s="35" t="s">
        <v>1633</v>
      </c>
      <c r="AD242" s="35" t="s">
        <v>1668</v>
      </c>
      <c r="AE242" s="35" t="s">
        <v>1668</v>
      </c>
      <c r="AF242" s="35" t="s">
        <v>1635</v>
      </c>
      <c r="AG242" s="35" t="s">
        <v>1670</v>
      </c>
      <c r="AI242" s="35"/>
      <c r="AJ242" s="35" t="s">
        <v>2599</v>
      </c>
      <c r="AK242" s="35" t="s">
        <v>1672</v>
      </c>
      <c r="AL242" s="29" t="s">
        <v>2606</v>
      </c>
      <c r="AM242" s="35"/>
      <c r="AN242" s="35"/>
      <c r="AO242" s="35"/>
      <c r="AP242" s="35"/>
      <c r="AQ242" s="35"/>
      <c r="AS242" s="35"/>
      <c r="AU242" s="35"/>
      <c r="AW242" s="35"/>
      <c r="AY242" s="35"/>
      <c r="AZ242" s="35"/>
      <c r="BA242" s="35"/>
      <c r="BB242" s="29" t="s">
        <v>2612</v>
      </c>
      <c r="BC242" s="29" t="s">
        <v>2610</v>
      </c>
      <c r="BD242" s="29" t="s">
        <v>2607</v>
      </c>
      <c r="BE242" s="29" t="s">
        <v>1805</v>
      </c>
      <c r="BF242" s="29" t="s">
        <v>1619</v>
      </c>
      <c r="BG242" s="29" t="s">
        <v>2105</v>
      </c>
      <c r="BH242" s="29" t="s">
        <v>2093</v>
      </c>
      <c r="BI242" s="35"/>
      <c r="BJ242" s="35"/>
      <c r="BK242" s="29" t="str" cm="1">
        <f t="array" ref="BK242">_xlfn.UNIQUE(MID(BB242,16,14))</f>
        <v>U012UNA01UH121</v>
      </c>
    </row>
    <row r="243" spans="1:63" hidden="1" x14ac:dyDescent="0.3">
      <c r="A243" s="29" t="s">
        <v>2134</v>
      </c>
      <c r="B243" s="36" t="str">
        <f t="shared" si="15"/>
        <v>G01NHB03EQ001-QN01</v>
      </c>
      <c r="C243" s="33" t="s">
        <v>2613</v>
      </c>
      <c r="D243" s="34" t="str">
        <f t="shared" si="16"/>
        <v>ELY1 GRP3 COOL CV1 ANALOG1</v>
      </c>
      <c r="E243" s="31">
        <f t="shared" si="17"/>
        <v>26</v>
      </c>
      <c r="F243" s="32" t="str">
        <f t="shared" si="18"/>
        <v>ELECTROLYSIS SYSTEM ELECTROLYSIS ARRAY 1 ELECTROLYZER SYSTEM MODULE GROUP 3 HEAT EXCHANGING SYSTEMS HEAT EXCHANGING SYSTEM 1 COOLING WATER - CONTROL VALVE ANALOG PROCESS SIGNAL</v>
      </c>
      <c r="G243" s="29" t="s">
        <v>1614</v>
      </c>
      <c r="H243" s="29" t="s">
        <v>1615</v>
      </c>
      <c r="I243" s="29" t="str">
        <f t="shared" si="19"/>
        <v>01</v>
      </c>
      <c r="J243" s="29" t="s">
        <v>1616</v>
      </c>
      <c r="K243" s="29" t="s">
        <v>1976</v>
      </c>
      <c r="L243" s="29" t="s">
        <v>1977</v>
      </c>
      <c r="M243" s="29" t="s">
        <v>1909</v>
      </c>
      <c r="N243" s="29" t="s">
        <v>2136</v>
      </c>
      <c r="O243" s="29" t="s">
        <v>1894</v>
      </c>
      <c r="P243" s="29" t="s">
        <v>1979</v>
      </c>
      <c r="Q243" s="29" t="s">
        <v>1623</v>
      </c>
      <c r="R243" s="29" t="s">
        <v>1980</v>
      </c>
      <c r="S243" s="29" t="s">
        <v>1800</v>
      </c>
      <c r="T243" s="29" t="s">
        <v>2014</v>
      </c>
      <c r="U243" s="29" t="s">
        <v>2598</v>
      </c>
      <c r="V243" s="29" t="s">
        <v>1083</v>
      </c>
      <c r="W243" s="35" t="s">
        <v>1628</v>
      </c>
      <c r="X243" s="35" t="s">
        <v>2137</v>
      </c>
      <c r="Y243" s="35" t="s">
        <v>1898</v>
      </c>
      <c r="Z243" s="35" t="s">
        <v>1802</v>
      </c>
      <c r="AA243" s="35" t="s">
        <v>1666</v>
      </c>
      <c r="AB243" s="29" t="s">
        <v>2015</v>
      </c>
      <c r="AC243" s="35" t="s">
        <v>1633</v>
      </c>
      <c r="AD243" s="35" t="s">
        <v>1668</v>
      </c>
      <c r="AE243" s="35" t="s">
        <v>1668</v>
      </c>
      <c r="AF243" s="35" t="s">
        <v>1635</v>
      </c>
      <c r="AG243" s="35" t="s">
        <v>1670</v>
      </c>
      <c r="AI243" s="35"/>
      <c r="AJ243" s="35" t="s">
        <v>2599</v>
      </c>
      <c r="AK243" s="35" t="s">
        <v>1672</v>
      </c>
      <c r="AL243" s="29" t="s">
        <v>2606</v>
      </c>
      <c r="AM243" s="35"/>
      <c r="AN243" s="35"/>
      <c r="AO243" s="35"/>
      <c r="AP243" s="35"/>
      <c r="AQ243" s="35"/>
      <c r="AS243" s="35"/>
      <c r="AU243" s="35"/>
      <c r="AW243" s="35"/>
      <c r="AY243" s="35"/>
      <c r="AZ243" s="35"/>
      <c r="BA243" s="35"/>
      <c r="BB243" s="29" t="s">
        <v>2614</v>
      </c>
      <c r="BC243" s="29" t="s">
        <v>2610</v>
      </c>
      <c r="BD243" s="29" t="s">
        <v>2607</v>
      </c>
      <c r="BE243" s="29" t="s">
        <v>1805</v>
      </c>
      <c r="BF243" s="29" t="s">
        <v>1619</v>
      </c>
      <c r="BG243" s="29" t="s">
        <v>2152</v>
      </c>
      <c r="BH243" s="29" t="s">
        <v>2140</v>
      </c>
      <c r="BI243" s="35"/>
      <c r="BJ243" s="35"/>
      <c r="BK243" s="29" t="str" cm="1">
        <f t="array" ref="BK243">_xlfn.UNIQUE(MID(BB243,16,14))</f>
        <v>U012UNA01UH131</v>
      </c>
    </row>
    <row r="244" spans="1:63" hidden="1" x14ac:dyDescent="0.3">
      <c r="A244" s="29" t="s">
        <v>2181</v>
      </c>
      <c r="B244" s="36" t="str">
        <f t="shared" si="15"/>
        <v>G01NHB04EQ001-QN01</v>
      </c>
      <c r="C244" s="33" t="s">
        <v>2615</v>
      </c>
      <c r="D244" s="34" t="str">
        <f t="shared" si="16"/>
        <v>ELY1 GRP4 COOL CV1 ANALOG1</v>
      </c>
      <c r="E244" s="31">
        <f t="shared" si="17"/>
        <v>26</v>
      </c>
      <c r="F244" s="32" t="str">
        <f t="shared" si="18"/>
        <v>ELECTROLYSIS SYSTEM ELECTROLYSIS ARRAY 1 ELECTROLYZER SYSTEM MODULE GROUP 4 HEAT EXCHANGING SYSTEMS HEAT EXCHANGING SYSTEM 1 COOLING WATER - CONTROL VALVE ANALOG PROCESS SIGNAL</v>
      </c>
      <c r="G244" s="29" t="s">
        <v>1614</v>
      </c>
      <c r="H244" s="29" t="s">
        <v>1615</v>
      </c>
      <c r="I244" s="29" t="str">
        <f t="shared" si="19"/>
        <v>01</v>
      </c>
      <c r="J244" s="29" t="s">
        <v>1616</v>
      </c>
      <c r="K244" s="29" t="s">
        <v>1976</v>
      </c>
      <c r="L244" s="29" t="s">
        <v>1977</v>
      </c>
      <c r="M244" s="29" t="s">
        <v>1915</v>
      </c>
      <c r="N244" s="29" t="s">
        <v>2183</v>
      </c>
      <c r="O244" s="29" t="s">
        <v>1894</v>
      </c>
      <c r="P244" s="29" t="s">
        <v>1979</v>
      </c>
      <c r="Q244" s="29" t="s">
        <v>1623</v>
      </c>
      <c r="R244" s="29" t="s">
        <v>1980</v>
      </c>
      <c r="S244" s="29" t="s">
        <v>1800</v>
      </c>
      <c r="T244" s="29" t="s">
        <v>2014</v>
      </c>
      <c r="U244" s="29" t="s">
        <v>2598</v>
      </c>
      <c r="V244" s="29" t="s">
        <v>1083</v>
      </c>
      <c r="W244" s="35" t="s">
        <v>1628</v>
      </c>
      <c r="X244" s="35" t="s">
        <v>2184</v>
      </c>
      <c r="Y244" s="35" t="s">
        <v>1898</v>
      </c>
      <c r="Z244" s="35" t="s">
        <v>1802</v>
      </c>
      <c r="AA244" s="35" t="s">
        <v>1666</v>
      </c>
      <c r="AB244" s="29" t="s">
        <v>2015</v>
      </c>
      <c r="AC244" s="35" t="s">
        <v>1633</v>
      </c>
      <c r="AD244" s="35" t="s">
        <v>1668</v>
      </c>
      <c r="AE244" s="35" t="s">
        <v>1668</v>
      </c>
      <c r="AF244" s="35" t="s">
        <v>1635</v>
      </c>
      <c r="AG244" s="35" t="s">
        <v>1670</v>
      </c>
      <c r="AI244" s="35"/>
      <c r="AJ244" s="35" t="s">
        <v>2599</v>
      </c>
      <c r="AK244" s="35" t="s">
        <v>1672</v>
      </c>
      <c r="AL244" s="29" t="s">
        <v>2606</v>
      </c>
      <c r="AM244" s="35"/>
      <c r="AN244" s="35"/>
      <c r="AO244" s="35"/>
      <c r="AP244" s="35"/>
      <c r="AQ244" s="35"/>
      <c r="AS244" s="35"/>
      <c r="AU244" s="35"/>
      <c r="AW244" s="35"/>
      <c r="AY244" s="35"/>
      <c r="AZ244" s="35"/>
      <c r="BA244" s="35"/>
      <c r="BB244" s="29" t="s">
        <v>2616</v>
      </c>
      <c r="BC244" s="29" t="s">
        <v>2610</v>
      </c>
      <c r="BD244" s="29" t="s">
        <v>2607</v>
      </c>
      <c r="BE244" s="29" t="s">
        <v>1805</v>
      </c>
      <c r="BF244" s="29" t="s">
        <v>1619</v>
      </c>
      <c r="BG244" s="29" t="s">
        <v>2200</v>
      </c>
      <c r="BH244" s="29" t="s">
        <v>2187</v>
      </c>
      <c r="BI244" s="35"/>
      <c r="BJ244" s="35"/>
      <c r="BK244" s="29" t="str" cm="1">
        <f t="array" ref="BK244">_xlfn.UNIQUE(MID(BB244,16,14))</f>
        <v>U012UNA01UH141</v>
      </c>
    </row>
    <row r="245" spans="1:63" hidden="1" x14ac:dyDescent="0.3">
      <c r="A245" s="29" t="s">
        <v>2229</v>
      </c>
      <c r="B245" s="36" t="str">
        <f t="shared" si="15"/>
        <v>G01NHB05EQ001-QN01</v>
      </c>
      <c r="C245" s="33" t="s">
        <v>2617</v>
      </c>
      <c r="D245" s="34" t="str">
        <f t="shared" si="16"/>
        <v>ELY1 GRP5 COOL CV1 ANALOG1</v>
      </c>
      <c r="E245" s="31">
        <f t="shared" si="17"/>
        <v>26</v>
      </c>
      <c r="F245" s="32" t="str">
        <f t="shared" si="18"/>
        <v>ELECTROLYSIS SYSTEM ELECTROLYSIS ARRAY 1 ELECTROLYZER SYSTEM MODULE GROUP 5 HEAT EXCHANGING SYSTEMS HEAT EXCHANGING SYSTEM 1 COOLING WATER - CONTROL VALVE ANALOG PROCESS SIGNAL</v>
      </c>
      <c r="G245" s="29" t="s">
        <v>1614</v>
      </c>
      <c r="H245" s="29" t="s">
        <v>1615</v>
      </c>
      <c r="I245" s="29" t="str">
        <f t="shared" si="19"/>
        <v>01</v>
      </c>
      <c r="J245" s="29" t="s">
        <v>1616</v>
      </c>
      <c r="K245" s="29" t="s">
        <v>1976</v>
      </c>
      <c r="L245" s="29" t="s">
        <v>1977</v>
      </c>
      <c r="M245" s="29" t="s">
        <v>1919</v>
      </c>
      <c r="N245" s="29" t="s">
        <v>2231</v>
      </c>
      <c r="O245" s="29" t="s">
        <v>1894</v>
      </c>
      <c r="P245" s="29" t="s">
        <v>1979</v>
      </c>
      <c r="Q245" s="29" t="s">
        <v>1623</v>
      </c>
      <c r="R245" s="29" t="s">
        <v>1980</v>
      </c>
      <c r="S245" s="29" t="s">
        <v>1800</v>
      </c>
      <c r="T245" s="29" t="s">
        <v>2014</v>
      </c>
      <c r="U245" s="29" t="s">
        <v>2598</v>
      </c>
      <c r="V245" s="29" t="s">
        <v>1083</v>
      </c>
      <c r="W245" s="35" t="s">
        <v>1628</v>
      </c>
      <c r="X245" s="35" t="s">
        <v>2232</v>
      </c>
      <c r="Y245" s="35" t="s">
        <v>1898</v>
      </c>
      <c r="Z245" s="35" t="s">
        <v>1802</v>
      </c>
      <c r="AA245" s="35" t="s">
        <v>1666</v>
      </c>
      <c r="AB245" s="29" t="s">
        <v>2015</v>
      </c>
      <c r="AC245" s="35" t="s">
        <v>1633</v>
      </c>
      <c r="AD245" s="35" t="s">
        <v>1668</v>
      </c>
      <c r="AE245" s="35" t="s">
        <v>1668</v>
      </c>
      <c r="AF245" s="35" t="s">
        <v>1635</v>
      </c>
      <c r="AG245" s="35" t="s">
        <v>1670</v>
      </c>
      <c r="AI245" s="35"/>
      <c r="AJ245" s="35" t="s">
        <v>2599</v>
      </c>
      <c r="AK245" s="35" t="s">
        <v>1672</v>
      </c>
      <c r="AL245" s="29" t="s">
        <v>2606</v>
      </c>
      <c r="AM245" s="35"/>
      <c r="AN245" s="35"/>
      <c r="AO245" s="35"/>
      <c r="AP245" s="35"/>
      <c r="AQ245" s="35"/>
      <c r="AS245" s="35"/>
      <c r="AU245" s="35"/>
      <c r="AW245" s="35"/>
      <c r="AY245" s="35"/>
      <c r="AZ245" s="35"/>
      <c r="BA245" s="35"/>
      <c r="BB245" s="29" t="s">
        <v>2618</v>
      </c>
      <c r="BC245" s="29" t="s">
        <v>2610</v>
      </c>
      <c r="BD245" s="29" t="s">
        <v>2607</v>
      </c>
      <c r="BE245" s="29" t="s">
        <v>1805</v>
      </c>
      <c r="BF245" s="29" t="s">
        <v>1619</v>
      </c>
      <c r="BG245" s="29" t="s">
        <v>2247</v>
      </c>
      <c r="BH245" s="29" t="s">
        <v>2235</v>
      </c>
      <c r="BI245" s="35"/>
      <c r="BJ245" s="35"/>
      <c r="BK245" s="29" t="str" cm="1">
        <f t="array" ref="BK245">_xlfn.UNIQUE(MID(BB245,16,14))</f>
        <v>U012UNA01UH151</v>
      </c>
    </row>
    <row r="246" spans="1:63" hidden="1" x14ac:dyDescent="0.3">
      <c r="A246" s="29" t="s">
        <v>2276</v>
      </c>
      <c r="B246" s="36" t="str">
        <f t="shared" si="15"/>
        <v>G01NHB06EQ001-QN01</v>
      </c>
      <c r="C246" s="33" t="s">
        <v>2619</v>
      </c>
      <c r="D246" s="34" t="str">
        <f t="shared" si="16"/>
        <v>ELY1 GRP6 COOL CV1 ANALOG1</v>
      </c>
      <c r="E246" s="31">
        <f t="shared" si="17"/>
        <v>26</v>
      </c>
      <c r="F246" s="32" t="str">
        <f t="shared" si="18"/>
        <v>ELECTROLYSIS SYSTEM ELECTROLYSIS ARRAY 1 ELECTROLYZER SYSTEM MODULE GROUP 6 HEAT EXCHANGING SYSTEMS HEAT EXCHANGING SYSTEM 1 COOLING WATER - CONTROL VALVE ANALOG PROCESS SIGNAL</v>
      </c>
      <c r="G246" s="29" t="s">
        <v>1614</v>
      </c>
      <c r="H246" s="29" t="s">
        <v>1615</v>
      </c>
      <c r="I246" s="29" t="str">
        <f t="shared" si="19"/>
        <v>01</v>
      </c>
      <c r="J246" s="29" t="s">
        <v>1616</v>
      </c>
      <c r="K246" s="29" t="s">
        <v>1976</v>
      </c>
      <c r="L246" s="29" t="s">
        <v>1977</v>
      </c>
      <c r="M246" s="29" t="s">
        <v>1922</v>
      </c>
      <c r="N246" s="29" t="s">
        <v>2278</v>
      </c>
      <c r="O246" s="29" t="s">
        <v>1894</v>
      </c>
      <c r="P246" s="29" t="s">
        <v>1979</v>
      </c>
      <c r="Q246" s="29" t="s">
        <v>1623</v>
      </c>
      <c r="R246" s="29" t="s">
        <v>1980</v>
      </c>
      <c r="S246" s="29" t="s">
        <v>1800</v>
      </c>
      <c r="T246" s="29" t="s">
        <v>2014</v>
      </c>
      <c r="U246" s="29" t="s">
        <v>2598</v>
      </c>
      <c r="V246" s="29" t="s">
        <v>1083</v>
      </c>
      <c r="W246" s="35" t="s">
        <v>1628</v>
      </c>
      <c r="X246" s="35" t="s">
        <v>2279</v>
      </c>
      <c r="Y246" s="35" t="s">
        <v>1898</v>
      </c>
      <c r="Z246" s="35" t="s">
        <v>1802</v>
      </c>
      <c r="AA246" s="35" t="s">
        <v>1666</v>
      </c>
      <c r="AB246" s="29" t="s">
        <v>2015</v>
      </c>
      <c r="AC246" s="35" t="s">
        <v>1633</v>
      </c>
      <c r="AD246" s="35" t="s">
        <v>1668</v>
      </c>
      <c r="AE246" s="35" t="s">
        <v>1668</v>
      </c>
      <c r="AF246" s="35" t="s">
        <v>1635</v>
      </c>
      <c r="AG246" s="35" t="s">
        <v>1670</v>
      </c>
      <c r="AI246" s="35"/>
      <c r="AJ246" s="35" t="s">
        <v>2599</v>
      </c>
      <c r="AK246" s="35" t="s">
        <v>1672</v>
      </c>
      <c r="AL246" s="29" t="s">
        <v>2606</v>
      </c>
      <c r="AM246" s="35"/>
      <c r="AN246" s="35"/>
      <c r="AO246" s="35"/>
      <c r="AP246" s="35"/>
      <c r="AQ246" s="35"/>
      <c r="AS246" s="35"/>
      <c r="AU246" s="35"/>
      <c r="AW246" s="35"/>
      <c r="AY246" s="35"/>
      <c r="AZ246" s="35"/>
      <c r="BA246" s="35"/>
      <c r="BB246" s="29" t="s">
        <v>2620</v>
      </c>
      <c r="BC246" s="29" t="s">
        <v>2610</v>
      </c>
      <c r="BD246" s="29" t="s">
        <v>2607</v>
      </c>
      <c r="BE246" s="29" t="s">
        <v>1805</v>
      </c>
      <c r="BF246" s="29" t="s">
        <v>1619</v>
      </c>
      <c r="BG246" s="29" t="s">
        <v>2294</v>
      </c>
      <c r="BH246" s="29" t="s">
        <v>2282</v>
      </c>
      <c r="BI246" s="35"/>
      <c r="BJ246" s="35"/>
      <c r="BK246" s="29" t="str" cm="1">
        <f t="array" ref="BK246">_xlfn.UNIQUE(MID(BB246,16,14))</f>
        <v>U012UNA01UH161</v>
      </c>
    </row>
    <row r="247" spans="1:63" hidden="1" x14ac:dyDescent="0.3">
      <c r="A247" s="29" t="s">
        <v>2355</v>
      </c>
      <c r="B247" s="36" t="str">
        <f t="shared" si="15"/>
        <v>G01NHC01GT001-QN01</v>
      </c>
      <c r="C247" s="33" t="s">
        <v>2621</v>
      </c>
      <c r="D247" s="34" t="str">
        <f t="shared" si="16"/>
        <v>ELY1 H2 TRT LEAD OFF CV1 ANALOG1</v>
      </c>
      <c r="E247" s="31">
        <f t="shared" si="17"/>
        <v>32</v>
      </c>
      <c r="F247" s="32" t="str">
        <f t="shared" si="18"/>
        <v>ELECTROLYSIS SYSTEM ELECTROLYSIS ARRAY 1 H2 TREATMENT H2 TREATMENT SYSTEM GAS LEAD OFF SYSTEMS GAS LEAD OFF SYSTEM 1 CONTROL VALVE - H2 PRODUCT ANALOG PROCESS SIGNAL</v>
      </c>
      <c r="G247" s="29" t="s">
        <v>1614</v>
      </c>
      <c r="H247" s="29" t="s">
        <v>1615</v>
      </c>
      <c r="I247" s="29" t="str">
        <f t="shared" si="19"/>
        <v>01</v>
      </c>
      <c r="J247" s="29" t="s">
        <v>1616</v>
      </c>
      <c r="K247" s="29" t="s">
        <v>1617</v>
      </c>
      <c r="L247" s="29" t="s">
        <v>1618</v>
      </c>
      <c r="M247" s="29" t="s">
        <v>1619</v>
      </c>
      <c r="N247" s="29" t="s">
        <v>1620</v>
      </c>
      <c r="O247" s="29" t="s">
        <v>2357</v>
      </c>
      <c r="P247" s="29" t="s">
        <v>2358</v>
      </c>
      <c r="Q247" s="29" t="s">
        <v>1623</v>
      </c>
      <c r="R247" s="29" t="s">
        <v>2359</v>
      </c>
      <c r="S247" s="29" t="s">
        <v>1800</v>
      </c>
      <c r="T247" s="29" t="s">
        <v>2366</v>
      </c>
      <c r="U247" s="29" t="s">
        <v>2598</v>
      </c>
      <c r="V247" s="29" t="s">
        <v>1083</v>
      </c>
      <c r="W247" s="35" t="s">
        <v>1628</v>
      </c>
      <c r="X247" s="35" t="s">
        <v>1629</v>
      </c>
      <c r="Y247" s="35" t="s">
        <v>2361</v>
      </c>
      <c r="Z247" s="35" t="s">
        <v>1802</v>
      </c>
      <c r="AA247" s="35" t="s">
        <v>1666</v>
      </c>
      <c r="AB247" s="29" t="s">
        <v>2015</v>
      </c>
      <c r="AC247" s="35" t="s">
        <v>1633</v>
      </c>
      <c r="AD247" s="35" t="s">
        <v>1668</v>
      </c>
      <c r="AE247" s="35" t="s">
        <v>1668</v>
      </c>
      <c r="AF247" s="35" t="s">
        <v>1635</v>
      </c>
      <c r="AG247" s="35" t="s">
        <v>1670</v>
      </c>
      <c r="AI247" s="35"/>
      <c r="AJ247" s="35" t="s">
        <v>2599</v>
      </c>
      <c r="AK247" s="35" t="s">
        <v>1672</v>
      </c>
      <c r="AL247" s="29" t="s">
        <v>2606</v>
      </c>
      <c r="AM247" s="35"/>
      <c r="AN247" s="35"/>
      <c r="AO247" s="35"/>
      <c r="AP247" s="35"/>
      <c r="AQ247" s="35"/>
      <c r="AS247" s="35"/>
      <c r="AU247" s="35"/>
      <c r="AW247" s="35"/>
      <c r="AY247" s="35"/>
      <c r="AZ247" s="35"/>
      <c r="BA247" s="35"/>
      <c r="BB247" s="29" t="s">
        <v>2622</v>
      </c>
      <c r="BC247" s="29" t="s">
        <v>2610</v>
      </c>
      <c r="BD247" s="29" t="s">
        <v>2607</v>
      </c>
      <c r="BE247" s="29" t="s">
        <v>1805</v>
      </c>
      <c r="BF247" s="29" t="s">
        <v>1619</v>
      </c>
      <c r="BG247" s="29" t="s">
        <v>2367</v>
      </c>
      <c r="BH247" s="29" t="s">
        <v>2364</v>
      </c>
      <c r="BI247" s="35"/>
      <c r="BJ247" s="35"/>
      <c r="BK247" s="29" t="str" cm="1">
        <f t="array" ref="BK247">_xlfn.UNIQUE(MID(BB247,16,14))</f>
        <v>U012UNA01UH100</v>
      </c>
    </row>
    <row r="248" spans="1:63" hidden="1" x14ac:dyDescent="0.3">
      <c r="A248" s="29" t="s">
        <v>2355</v>
      </c>
      <c r="B248" s="36" t="str">
        <f t="shared" si="15"/>
        <v>G01NHC01GT001-QN02</v>
      </c>
      <c r="C248" s="33" t="s">
        <v>2623</v>
      </c>
      <c r="D248" s="34" t="str">
        <f t="shared" si="16"/>
        <v>ELY1 H2 TRT LEAD OFF CV2 ANALOG1</v>
      </c>
      <c r="E248" s="31">
        <f t="shared" si="17"/>
        <v>32</v>
      </c>
      <c r="F248" s="32" t="str">
        <f t="shared" si="18"/>
        <v>ELECTROLYSIS SYSTEM ELECTROLYSIS ARRAY 1 H2 TREATMENT H2 TREATMENT SYSTEM GAS LEAD OFF SYSTEMS GAS LEAD OFF SYSTEM 1 CONTROL VALVE - H2 BLOW OFF ANALOG PROCESS SIGNAL</v>
      </c>
      <c r="G248" s="29" t="s">
        <v>1614</v>
      </c>
      <c r="H248" s="29" t="s">
        <v>1615</v>
      </c>
      <c r="I248" s="29" t="str">
        <f t="shared" si="19"/>
        <v>01</v>
      </c>
      <c r="J248" s="29" t="s">
        <v>1616</v>
      </c>
      <c r="K248" s="29" t="s">
        <v>1617</v>
      </c>
      <c r="L248" s="29" t="s">
        <v>1618</v>
      </c>
      <c r="M248" s="29" t="s">
        <v>1619</v>
      </c>
      <c r="N248" s="29" t="s">
        <v>1620</v>
      </c>
      <c r="O248" s="29" t="s">
        <v>2357</v>
      </c>
      <c r="P248" s="29" t="s">
        <v>2358</v>
      </c>
      <c r="Q248" s="29" t="s">
        <v>1623</v>
      </c>
      <c r="R248" s="29" t="s">
        <v>2359</v>
      </c>
      <c r="S248" s="29" t="s">
        <v>2369</v>
      </c>
      <c r="T248" s="29" t="s">
        <v>2370</v>
      </c>
      <c r="U248" s="29" t="s">
        <v>2598</v>
      </c>
      <c r="V248" s="29" t="s">
        <v>1083</v>
      </c>
      <c r="W248" s="35" t="s">
        <v>1628</v>
      </c>
      <c r="X248" s="35" t="s">
        <v>1629</v>
      </c>
      <c r="Y248" s="35" t="s">
        <v>2361</v>
      </c>
      <c r="Z248" s="35" t="s">
        <v>2371</v>
      </c>
      <c r="AA248" s="35" t="s">
        <v>1666</v>
      </c>
      <c r="AB248" s="29" t="s">
        <v>2372</v>
      </c>
      <c r="AC248" s="35" t="s">
        <v>1633</v>
      </c>
      <c r="AD248" s="35" t="s">
        <v>1668</v>
      </c>
      <c r="AE248" s="35" t="s">
        <v>1668</v>
      </c>
      <c r="AF248" s="35" t="s">
        <v>1635</v>
      </c>
      <c r="AG248" s="35" t="s">
        <v>1670</v>
      </c>
      <c r="AI248" s="35"/>
      <c r="AJ248" s="35" t="s">
        <v>2599</v>
      </c>
      <c r="AK248" s="35" t="s">
        <v>1672</v>
      </c>
      <c r="AL248" s="29" t="s">
        <v>2606</v>
      </c>
      <c r="AM248" s="35"/>
      <c r="AN248" s="35"/>
      <c r="AO248" s="35"/>
      <c r="AP248" s="35"/>
      <c r="AQ248" s="35"/>
      <c r="AS248" s="35"/>
      <c r="AU248" s="35"/>
      <c r="AW248" s="35"/>
      <c r="AY248" s="35"/>
      <c r="AZ248" s="35"/>
      <c r="BA248" s="35"/>
      <c r="BB248" s="29" t="s">
        <v>2622</v>
      </c>
      <c r="BC248" s="29" t="s">
        <v>2610</v>
      </c>
      <c r="BD248" s="29" t="s">
        <v>2607</v>
      </c>
      <c r="BE248" s="29" t="s">
        <v>1805</v>
      </c>
      <c r="BF248" s="29" t="s">
        <v>1905</v>
      </c>
      <c r="BG248" s="29" t="s">
        <v>2373</v>
      </c>
      <c r="BH248" s="29" t="s">
        <v>2364</v>
      </c>
      <c r="BI248" s="35"/>
      <c r="BJ248" s="35"/>
      <c r="BK248" s="29" t="str" cm="1">
        <f t="array" ref="BK248">_xlfn.UNIQUE(MID(BB248,16,14))</f>
        <v>U012UNA01UH100</v>
      </c>
    </row>
    <row r="249" spans="1:63" hidden="1" x14ac:dyDescent="0.3">
      <c r="A249" s="29" t="s">
        <v>2409</v>
      </c>
      <c r="B249" s="36" t="str">
        <f t="shared" si="15"/>
        <v>G01NHE01GT001-QN01</v>
      </c>
      <c r="C249" s="33" t="s">
        <v>2624</v>
      </c>
      <c r="D249" s="34" t="str">
        <f t="shared" si="16"/>
        <v>ELY1 O2 TRT LEAD OFF CV1 ANALOG1</v>
      </c>
      <c r="E249" s="31">
        <f t="shared" si="17"/>
        <v>32</v>
      </c>
      <c r="F249" s="32" t="str">
        <f t="shared" si="18"/>
        <v>ELECTROLYSIS SYSTEM ELECTROLYSIS ARRAY 1 O2 TREATMENT O2 TREATMENT SYSTEM GAS LEAD OFF SYSTEMS GAS LEAD OFF SYSTEM 1 CONTROL VALVE - O2 BLOW OFF ANALOG PROCESS SIGNAL</v>
      </c>
      <c r="G249" s="29" t="s">
        <v>1614</v>
      </c>
      <c r="H249" s="29" t="s">
        <v>1615</v>
      </c>
      <c r="I249" s="29" t="str">
        <f t="shared" si="19"/>
        <v>01</v>
      </c>
      <c r="J249" s="29" t="s">
        <v>1616</v>
      </c>
      <c r="K249" s="29" t="s">
        <v>2395</v>
      </c>
      <c r="L249" s="29" t="s">
        <v>2396</v>
      </c>
      <c r="M249" s="29" t="s">
        <v>1619</v>
      </c>
      <c r="N249" s="29" t="s">
        <v>2397</v>
      </c>
      <c r="O249" s="29" t="s">
        <v>2357</v>
      </c>
      <c r="P249" s="29" t="s">
        <v>2358</v>
      </c>
      <c r="Q249" s="29" t="s">
        <v>1623</v>
      </c>
      <c r="R249" s="29" t="s">
        <v>2359</v>
      </c>
      <c r="S249" s="29" t="s">
        <v>1800</v>
      </c>
      <c r="T249" s="29" t="s">
        <v>2415</v>
      </c>
      <c r="U249" s="29" t="s">
        <v>2598</v>
      </c>
      <c r="V249" s="29" t="s">
        <v>1083</v>
      </c>
      <c r="W249" s="35" t="s">
        <v>1628</v>
      </c>
      <c r="X249" s="35" t="s">
        <v>2399</v>
      </c>
      <c r="Y249" s="35" t="s">
        <v>2361</v>
      </c>
      <c r="Z249" s="35" t="s">
        <v>1802</v>
      </c>
      <c r="AA249" s="35" t="s">
        <v>1666</v>
      </c>
      <c r="AB249" s="29" t="s">
        <v>2015</v>
      </c>
      <c r="AC249" s="35" t="s">
        <v>1633</v>
      </c>
      <c r="AD249" s="35" t="s">
        <v>1668</v>
      </c>
      <c r="AE249" s="35" t="s">
        <v>1668</v>
      </c>
      <c r="AF249" s="35" t="s">
        <v>1635</v>
      </c>
      <c r="AG249" s="35" t="s">
        <v>1670</v>
      </c>
      <c r="AI249" s="35"/>
      <c r="AJ249" s="35" t="s">
        <v>2599</v>
      </c>
      <c r="AK249" s="35" t="s">
        <v>1672</v>
      </c>
      <c r="AL249" s="29" t="s">
        <v>2606</v>
      </c>
      <c r="AM249" s="35"/>
      <c r="AN249" s="35"/>
      <c r="AO249" s="35"/>
      <c r="AP249" s="35"/>
      <c r="AQ249" s="35"/>
      <c r="AS249" s="35"/>
      <c r="AU249" s="35"/>
      <c r="AW249" s="35"/>
      <c r="AY249" s="35"/>
      <c r="AZ249" s="35"/>
      <c r="BA249" s="35"/>
      <c r="BB249" s="29" t="s">
        <v>2622</v>
      </c>
      <c r="BC249" s="29" t="s">
        <v>2610</v>
      </c>
      <c r="BD249" s="29" t="s">
        <v>2607</v>
      </c>
      <c r="BE249" s="29" t="s">
        <v>1805</v>
      </c>
      <c r="BF249" s="29" t="s">
        <v>1909</v>
      </c>
      <c r="BG249" s="29" t="s">
        <v>2416</v>
      </c>
      <c r="BH249" s="29" t="s">
        <v>2413</v>
      </c>
      <c r="BI249" s="35"/>
      <c r="BJ249" s="35"/>
      <c r="BK249" s="29" t="str" cm="1">
        <f t="array" ref="BK249">_xlfn.UNIQUE(MID(BB249,16,14))</f>
        <v>U012UNA01UH100</v>
      </c>
    </row>
    <row r="250" spans="1:63" hidden="1" x14ac:dyDescent="0.3">
      <c r="A250" s="29" t="s">
        <v>2427</v>
      </c>
      <c r="B250" s="36" t="str">
        <f t="shared" si="15"/>
        <v>G01NHG01QM001-QN01</v>
      </c>
      <c r="C250" s="33" t="s">
        <v>2625</v>
      </c>
      <c r="D250" s="34" t="str">
        <f t="shared" si="16"/>
        <v>ELY1 PROC WTR SUP DIST CV1 ANALOG1</v>
      </c>
      <c r="E250" s="31">
        <f t="shared" si="17"/>
        <v>34</v>
      </c>
      <c r="F250" s="32" t="str">
        <f t="shared" si="18"/>
        <v>ELECTROLYSIS SYSTEM ELECTROLYSIS ARRAY 1 WATER SUPPLY SYSTEMS PROCESS WATER SUPPLY SYSTEM PROCESS WATER DISTRIBUTION SYSTEMS PROCESS WATER DISTRIBUTION SYSTEM CONTROL VALVE - DEMIN WATER SUPPLY ANALOG PROCESS SIGNAL</v>
      </c>
      <c r="G250" s="29" t="s">
        <v>1614</v>
      </c>
      <c r="H250" s="29" t="s">
        <v>1615</v>
      </c>
      <c r="I250" s="29" t="str">
        <f t="shared" si="19"/>
        <v>01</v>
      </c>
      <c r="J250" s="29" t="s">
        <v>1616</v>
      </c>
      <c r="K250" s="29" t="s">
        <v>2429</v>
      </c>
      <c r="L250" s="29" t="s">
        <v>2430</v>
      </c>
      <c r="M250" s="29" t="s">
        <v>1619</v>
      </c>
      <c r="N250" s="29" t="s">
        <v>2431</v>
      </c>
      <c r="O250" s="29" t="s">
        <v>1811</v>
      </c>
      <c r="P250" s="29" t="s">
        <v>2432</v>
      </c>
      <c r="Q250" s="29" t="s">
        <v>1623</v>
      </c>
      <c r="R250" s="29" t="s">
        <v>2433</v>
      </c>
      <c r="S250" s="29" t="s">
        <v>1800</v>
      </c>
      <c r="T250" s="29" t="s">
        <v>2434</v>
      </c>
      <c r="U250" s="29" t="s">
        <v>2598</v>
      </c>
      <c r="V250" s="29" t="s">
        <v>1083</v>
      </c>
      <c r="W250" s="35" t="s">
        <v>1628</v>
      </c>
      <c r="X250" s="35" t="s">
        <v>2435</v>
      </c>
      <c r="Y250" s="35" t="s">
        <v>1816</v>
      </c>
      <c r="Z250" s="35" t="s">
        <v>1802</v>
      </c>
      <c r="AA250" s="35" t="s">
        <v>1666</v>
      </c>
      <c r="AB250" s="29" t="s">
        <v>2015</v>
      </c>
      <c r="AC250" s="35" t="s">
        <v>1633</v>
      </c>
      <c r="AD250" s="35" t="s">
        <v>1668</v>
      </c>
      <c r="AE250" s="35" t="s">
        <v>1668</v>
      </c>
      <c r="AF250" s="35" t="s">
        <v>1635</v>
      </c>
      <c r="AG250" s="35" t="s">
        <v>1670</v>
      </c>
      <c r="AI250" s="35"/>
      <c r="AJ250" s="35" t="s">
        <v>2599</v>
      </c>
      <c r="AK250" s="35" t="s">
        <v>1672</v>
      </c>
      <c r="AL250" s="29" t="s">
        <v>2606</v>
      </c>
      <c r="AM250" s="35"/>
      <c r="AN250" s="35"/>
      <c r="AO250" s="35"/>
      <c r="AP250" s="35"/>
      <c r="AQ250" s="35"/>
      <c r="AS250" s="35"/>
      <c r="AU250" s="35"/>
      <c r="AW250" s="35"/>
      <c r="AY250" s="35"/>
      <c r="AZ250" s="35"/>
      <c r="BA250" s="35"/>
      <c r="BB250" s="29" t="s">
        <v>2622</v>
      </c>
      <c r="BC250" s="29" t="s">
        <v>2610</v>
      </c>
      <c r="BD250" s="29" t="s">
        <v>2607</v>
      </c>
      <c r="BE250" s="29" t="s">
        <v>1805</v>
      </c>
      <c r="BF250" s="29" t="s">
        <v>1915</v>
      </c>
      <c r="BG250" s="29" t="s">
        <v>2436</v>
      </c>
      <c r="BH250" s="29" t="s">
        <v>2335</v>
      </c>
      <c r="BI250" s="35"/>
      <c r="BJ250" s="35"/>
      <c r="BK250" s="29" t="str" cm="1">
        <f t="array" ref="BK250">_xlfn.UNIQUE(MID(BB250,16,14))</f>
        <v>U012UNA01UH100</v>
      </c>
    </row>
    <row r="251" spans="1:63" hidden="1" x14ac:dyDescent="0.3">
      <c r="A251" s="29" t="s">
        <v>2437</v>
      </c>
      <c r="B251" s="36" t="str">
        <f t="shared" si="15"/>
        <v>G01NHH01HP001-QN01</v>
      </c>
      <c r="C251" s="33" t="s">
        <v>2626</v>
      </c>
      <c r="D251" s="34" t="str">
        <f t="shared" si="16"/>
        <v>ELY1 PROC WTR REF SYS 1 CV1 ANALOG1</v>
      </c>
      <c r="E251" s="31">
        <f t="shared" si="17"/>
        <v>35</v>
      </c>
      <c r="F251" s="32" t="str">
        <f t="shared" si="18"/>
        <v>ELECTROLYSIS SYSTEM ELECTROLYSIS ARRAY 1 PROCESS WATER REFINEMENT PROCESS WATER REFINEMENT LOOP PROCESS WATER REFINEMENT UNIT PROCESS WATER REFINEMENT UNIT 1 3-WAY CONTROL VALVE - WATER REFINEMENT SKID ANALOG PROCESS SIGNAL</v>
      </c>
      <c r="G251" s="29" t="s">
        <v>1614</v>
      </c>
      <c r="H251" s="29" t="s">
        <v>1615</v>
      </c>
      <c r="I251" s="29" t="str">
        <f t="shared" si="19"/>
        <v>01</v>
      </c>
      <c r="J251" s="29" t="s">
        <v>1616</v>
      </c>
      <c r="K251" s="29" t="s">
        <v>2439</v>
      </c>
      <c r="L251" s="29" t="s">
        <v>2440</v>
      </c>
      <c r="M251" s="29" t="s">
        <v>1619</v>
      </c>
      <c r="N251" s="29" t="s">
        <v>2441</v>
      </c>
      <c r="O251" s="29" t="s">
        <v>2376</v>
      </c>
      <c r="P251" s="29" t="s">
        <v>2442</v>
      </c>
      <c r="Q251" s="29" t="s">
        <v>1623</v>
      </c>
      <c r="R251" s="29" t="s">
        <v>2443</v>
      </c>
      <c r="S251" s="29" t="s">
        <v>1800</v>
      </c>
      <c r="T251" s="29" t="s">
        <v>2487</v>
      </c>
      <c r="U251" s="29" t="s">
        <v>2598</v>
      </c>
      <c r="V251" s="29" t="s">
        <v>1083</v>
      </c>
      <c r="W251" s="35" t="s">
        <v>1628</v>
      </c>
      <c r="X251" s="35" t="s">
        <v>2445</v>
      </c>
      <c r="Y251" s="35" t="s">
        <v>2380</v>
      </c>
      <c r="Z251" s="35" t="s">
        <v>1802</v>
      </c>
      <c r="AA251" s="35" t="s">
        <v>1666</v>
      </c>
      <c r="AB251" s="29" t="s">
        <v>2015</v>
      </c>
      <c r="AC251" s="35" t="s">
        <v>1633</v>
      </c>
      <c r="AD251" s="35" t="s">
        <v>1668</v>
      </c>
      <c r="AE251" s="35" t="s">
        <v>1668</v>
      </c>
      <c r="AF251" s="35" t="s">
        <v>1635</v>
      </c>
      <c r="AG251" s="35" t="s">
        <v>1670</v>
      </c>
      <c r="AI251" s="35"/>
      <c r="AJ251" s="35" t="s">
        <v>2599</v>
      </c>
      <c r="AK251" s="35" t="s">
        <v>1672</v>
      </c>
      <c r="AL251" s="29" t="s">
        <v>2606</v>
      </c>
      <c r="AM251" s="35"/>
      <c r="AN251" s="35"/>
      <c r="AO251" s="35"/>
      <c r="AP251" s="35"/>
      <c r="AQ251" s="35"/>
      <c r="AS251" s="35"/>
      <c r="AU251" s="35"/>
      <c r="AW251" s="35"/>
      <c r="AY251" s="35"/>
      <c r="AZ251" s="35"/>
      <c r="BA251" s="35"/>
      <c r="BB251" s="29" t="s">
        <v>2622</v>
      </c>
      <c r="BC251" s="29" t="s">
        <v>2610</v>
      </c>
      <c r="BD251" s="29" t="s">
        <v>2607</v>
      </c>
      <c r="BE251" s="29" t="s">
        <v>1805</v>
      </c>
      <c r="BF251" s="29" t="s">
        <v>1919</v>
      </c>
      <c r="BG251" s="29" t="s">
        <v>2488</v>
      </c>
      <c r="BH251" s="29" t="s">
        <v>2450</v>
      </c>
      <c r="BI251" s="35"/>
      <c r="BJ251" s="35"/>
      <c r="BK251" s="29" t="str" cm="1">
        <f t="array" ref="BK251">_xlfn.UNIQUE(MID(BB251,16,14))</f>
        <v>U012UNA01UH100</v>
      </c>
    </row>
    <row r="252" spans="1:63" hidden="1" x14ac:dyDescent="0.3">
      <c r="A252" s="29" t="s">
        <v>2489</v>
      </c>
      <c r="B252" s="36" t="str">
        <f t="shared" si="15"/>
        <v>G01NHP01WP001-QN01</v>
      </c>
      <c r="C252" s="33" t="s">
        <v>2627</v>
      </c>
      <c r="D252" s="34" t="str">
        <f t="shared" si="16"/>
        <v>ELY1 HEAT DISS PIPING CV1 ANALOG1</v>
      </c>
      <c r="E252" s="31">
        <f t="shared" si="17"/>
        <v>33</v>
      </c>
      <c r="F252" s="32" t="str">
        <f t="shared" si="18"/>
        <v>ELECTROLYSIS SYSTEM ELECTROLYSIS ARRAY 1 HEAT DISSIPATION SYSTEMS HEAT DISSIPATION (ELECTROLYSER SYSTEM) DISTRIBUTION COOLING WATER (ELECTROLYSER SYSTEM) PLANT COOLING WATER PIPE SYSTEM CONTROL VALVE - GAS COOLER H2 COOLING WATER ANALOG PROCESS SIGNAL</v>
      </c>
      <c r="G252" s="29" t="s">
        <v>1614</v>
      </c>
      <c r="H252" s="29" t="s">
        <v>1615</v>
      </c>
      <c r="I252" s="29" t="str">
        <f t="shared" si="19"/>
        <v>01</v>
      </c>
      <c r="J252" s="29" t="s">
        <v>1616</v>
      </c>
      <c r="K252" s="29" t="s">
        <v>2491</v>
      </c>
      <c r="L252" s="29" t="s">
        <v>2492</v>
      </c>
      <c r="M252" s="29" t="s">
        <v>1619</v>
      </c>
      <c r="N252" s="29" t="s">
        <v>2493</v>
      </c>
      <c r="O252" s="29" t="s">
        <v>1781</v>
      </c>
      <c r="P252" s="29" t="s">
        <v>2494</v>
      </c>
      <c r="Q252" s="29" t="s">
        <v>1623</v>
      </c>
      <c r="R252" s="29" t="s">
        <v>2495</v>
      </c>
      <c r="S252" s="29" t="s">
        <v>1800</v>
      </c>
      <c r="T252" s="29" t="s">
        <v>1348</v>
      </c>
      <c r="U252" s="29" t="s">
        <v>2598</v>
      </c>
      <c r="V252" s="29" t="s">
        <v>1083</v>
      </c>
      <c r="W252" s="35" t="s">
        <v>1628</v>
      </c>
      <c r="X252" s="35" t="s">
        <v>2496</v>
      </c>
      <c r="Y252" s="35" t="s">
        <v>1785</v>
      </c>
      <c r="Z252" s="35" t="s">
        <v>1802</v>
      </c>
      <c r="AA252" s="35" t="s">
        <v>1666</v>
      </c>
      <c r="AB252" s="29" t="s">
        <v>2015</v>
      </c>
      <c r="AC252" s="35" t="s">
        <v>1633</v>
      </c>
      <c r="AD252" s="35" t="s">
        <v>1668</v>
      </c>
      <c r="AE252" s="35" t="s">
        <v>1668</v>
      </c>
      <c r="AF252" s="35" t="s">
        <v>1635</v>
      </c>
      <c r="AG252" s="35" t="s">
        <v>1670</v>
      </c>
      <c r="AI252" s="35"/>
      <c r="AJ252" s="35" t="s">
        <v>2599</v>
      </c>
      <c r="AK252" s="35" t="s">
        <v>1672</v>
      </c>
      <c r="AL252" s="29" t="s">
        <v>2606</v>
      </c>
      <c r="AM252" s="35"/>
      <c r="AN252" s="35"/>
      <c r="AO252" s="35"/>
      <c r="AP252" s="35"/>
      <c r="AQ252" s="35"/>
      <c r="AS252" s="35"/>
      <c r="AU252" s="35"/>
      <c r="AW252" s="35"/>
      <c r="AY252" s="35"/>
      <c r="AZ252" s="35"/>
      <c r="BA252" s="35"/>
      <c r="BB252" s="29" t="s">
        <v>2622</v>
      </c>
      <c r="BC252" s="29" t="s">
        <v>2610</v>
      </c>
      <c r="BD252" s="29" t="s">
        <v>2607</v>
      </c>
      <c r="BE252" s="29" t="s">
        <v>1805</v>
      </c>
      <c r="BF252" s="29" t="s">
        <v>1922</v>
      </c>
      <c r="BG252" s="29" t="s">
        <v>2501</v>
      </c>
      <c r="BH252" s="29" t="s">
        <v>2364</v>
      </c>
      <c r="BI252" s="35"/>
      <c r="BJ252" s="35"/>
      <c r="BK252" s="29" t="str" cm="1">
        <f t="array" ref="BK252">_xlfn.UNIQUE(MID(BB252,16,14))</f>
        <v>U012UNA01UH100</v>
      </c>
    </row>
    <row r="253" spans="1:63" hidden="1" x14ac:dyDescent="0.3">
      <c r="A253" s="29" t="s">
        <v>2489</v>
      </c>
      <c r="B253" s="36" t="str">
        <f t="shared" si="15"/>
        <v>G01NHP01WP001-QN02</v>
      </c>
      <c r="C253" s="33" t="s">
        <v>2628</v>
      </c>
      <c r="D253" s="34" t="str">
        <f t="shared" si="16"/>
        <v>ELY1 HEAT DISS PIPING CV2 ANALOG1</v>
      </c>
      <c r="E253" s="31">
        <f t="shared" si="17"/>
        <v>33</v>
      </c>
      <c r="F253" s="32" t="str">
        <f t="shared" si="18"/>
        <v>ELECTROLYSIS SYSTEM ELECTROLYSIS ARRAY 1 HEAT DISSIPATION SYSTEMS HEAT DISSIPATION (ELECTROLYSER SYSTEM) DISTRIBUTION COOLING WATER (ELECTROLYSER SYSTEM) PLANT COOLING WATER PIPE SYSTEM CONTROL VALVE - GAS COOLER O2 COOLING WATER ANALOG PROCESS SIGNAL</v>
      </c>
      <c r="G253" s="29" t="s">
        <v>1614</v>
      </c>
      <c r="H253" s="29" t="s">
        <v>1615</v>
      </c>
      <c r="I253" s="29" t="str">
        <f t="shared" si="19"/>
        <v>01</v>
      </c>
      <c r="J253" s="29" t="s">
        <v>1616</v>
      </c>
      <c r="K253" s="29" t="s">
        <v>2491</v>
      </c>
      <c r="L253" s="29" t="s">
        <v>2492</v>
      </c>
      <c r="M253" s="29" t="s">
        <v>1619</v>
      </c>
      <c r="N253" s="29" t="s">
        <v>2493</v>
      </c>
      <c r="O253" s="29" t="s">
        <v>1781</v>
      </c>
      <c r="P253" s="29" t="s">
        <v>2494</v>
      </c>
      <c r="Q253" s="29" t="s">
        <v>1623</v>
      </c>
      <c r="R253" s="29" t="s">
        <v>2495</v>
      </c>
      <c r="S253" s="29" t="s">
        <v>2369</v>
      </c>
      <c r="T253" s="29" t="s">
        <v>1350</v>
      </c>
      <c r="U253" s="29" t="s">
        <v>2598</v>
      </c>
      <c r="V253" s="29" t="s">
        <v>1083</v>
      </c>
      <c r="W253" s="35" t="s">
        <v>1628</v>
      </c>
      <c r="X253" s="35" t="s">
        <v>2496</v>
      </c>
      <c r="Y253" s="35" t="s">
        <v>1785</v>
      </c>
      <c r="Z253" s="35" t="s">
        <v>2371</v>
      </c>
      <c r="AA253" s="35" t="s">
        <v>1666</v>
      </c>
      <c r="AB253" s="29" t="s">
        <v>2372</v>
      </c>
      <c r="AC253" s="35" t="s">
        <v>1633</v>
      </c>
      <c r="AD253" s="35" t="s">
        <v>1668</v>
      </c>
      <c r="AE253" s="35" t="s">
        <v>1668</v>
      </c>
      <c r="AF253" s="35" t="s">
        <v>1635</v>
      </c>
      <c r="AG253" s="35" t="s">
        <v>1670</v>
      </c>
      <c r="AI253" s="35"/>
      <c r="AJ253" s="35" t="s">
        <v>2599</v>
      </c>
      <c r="AK253" s="35" t="s">
        <v>1672</v>
      </c>
      <c r="AL253" s="29" t="s">
        <v>2606</v>
      </c>
      <c r="AM253" s="35"/>
      <c r="AN253" s="35"/>
      <c r="AO253" s="35"/>
      <c r="AP253" s="35"/>
      <c r="AQ253" s="35"/>
      <c r="AS253" s="35"/>
      <c r="AU253" s="35"/>
      <c r="AW253" s="35"/>
      <c r="AY253" s="35"/>
      <c r="AZ253" s="35"/>
      <c r="BA253" s="35"/>
      <c r="BB253" s="29" t="s">
        <v>2622</v>
      </c>
      <c r="BC253" s="29" t="s">
        <v>2610</v>
      </c>
      <c r="BD253" s="29" t="s">
        <v>2607</v>
      </c>
      <c r="BE253" s="29" t="s">
        <v>1805</v>
      </c>
      <c r="BF253" s="29" t="s">
        <v>1931</v>
      </c>
      <c r="BG253" s="29" t="s">
        <v>2503</v>
      </c>
      <c r="BH253" s="29" t="s">
        <v>2413</v>
      </c>
      <c r="BI253" s="35"/>
      <c r="BJ253" s="35"/>
      <c r="BK253" s="29" t="str" cm="1">
        <f t="array" ref="BK253">_xlfn.UNIQUE(MID(BB253,16,14))</f>
        <v>U012UNA01UH100</v>
      </c>
    </row>
    <row r="254" spans="1:63" hidden="1" x14ac:dyDescent="0.3">
      <c r="A254" s="29" t="s">
        <v>2504</v>
      </c>
      <c r="B254" s="36" t="str">
        <f t="shared" si="15"/>
        <v>G01NHX01QN001-QN01</v>
      </c>
      <c r="C254" s="33" t="s">
        <v>2629</v>
      </c>
      <c r="D254" s="34" t="str">
        <f t="shared" si="16"/>
        <v>ELY1 N2 DIST CTRL H2 CV1 ANALOG1</v>
      </c>
      <c r="E254" s="31">
        <f t="shared" si="17"/>
        <v>32</v>
      </c>
      <c r="F254" s="32" t="str">
        <f t="shared" si="18"/>
        <v>ELECTROLYSIS SYSTEM ELECTROLYSIS ARRAY 1 AUXILIARY SYSTEMS NITROGEN DISTRIBUTION NITROGEN REGULATION SYSTEMS NITROGEN REGULATION H2 CONTROL VALVE - NITROGEN H2 SIDE ANALOG PROCESS SIGNAL</v>
      </c>
      <c r="G254" s="29" t="s">
        <v>1614</v>
      </c>
      <c r="H254" s="29" t="s">
        <v>1615</v>
      </c>
      <c r="I254" s="29" t="str">
        <f t="shared" si="19"/>
        <v>01</v>
      </c>
      <c r="J254" s="29" t="s">
        <v>1616</v>
      </c>
      <c r="K254" s="29" t="s">
        <v>2506</v>
      </c>
      <c r="L254" s="29" t="s">
        <v>2507</v>
      </c>
      <c r="M254" s="29" t="s">
        <v>1619</v>
      </c>
      <c r="N254" s="29" t="s">
        <v>2508</v>
      </c>
      <c r="O254" s="29" t="s">
        <v>2509</v>
      </c>
      <c r="P254" s="29" t="s">
        <v>2510</v>
      </c>
      <c r="Q254" s="29" t="s">
        <v>1623</v>
      </c>
      <c r="R254" s="29" t="s">
        <v>2511</v>
      </c>
      <c r="S254" s="29" t="s">
        <v>1800</v>
      </c>
      <c r="T254" s="29" t="s">
        <v>2527</v>
      </c>
      <c r="U254" s="29" t="s">
        <v>2598</v>
      </c>
      <c r="V254" s="29" t="s">
        <v>1083</v>
      </c>
      <c r="W254" s="35" t="s">
        <v>1628</v>
      </c>
      <c r="X254" s="35" t="s">
        <v>2512</v>
      </c>
      <c r="Y254" s="35" t="s">
        <v>2513</v>
      </c>
      <c r="Z254" s="35" t="s">
        <v>1802</v>
      </c>
      <c r="AA254" s="35" t="s">
        <v>1666</v>
      </c>
      <c r="AB254" s="29" t="s">
        <v>2015</v>
      </c>
      <c r="AC254" s="35" t="s">
        <v>1633</v>
      </c>
      <c r="AD254" s="35" t="s">
        <v>1668</v>
      </c>
      <c r="AE254" s="35" t="s">
        <v>1668</v>
      </c>
      <c r="AF254" s="35" t="s">
        <v>1635</v>
      </c>
      <c r="AG254" s="35" t="s">
        <v>1670</v>
      </c>
      <c r="AI254" s="35"/>
      <c r="AJ254" s="35" t="s">
        <v>2599</v>
      </c>
      <c r="AK254" s="35" t="s">
        <v>1672</v>
      </c>
      <c r="AL254" s="29" t="s">
        <v>2606</v>
      </c>
      <c r="AM254" s="35"/>
      <c r="AN254" s="35"/>
      <c r="AO254" s="35"/>
      <c r="AP254" s="35"/>
      <c r="AQ254" s="35"/>
      <c r="AS254" s="35"/>
      <c r="AU254" s="35"/>
      <c r="AW254" s="35"/>
      <c r="AY254" s="35"/>
      <c r="AZ254" s="35"/>
      <c r="BA254" s="35"/>
      <c r="BB254" s="29" t="s">
        <v>2622</v>
      </c>
      <c r="BC254" s="29" t="s">
        <v>2610</v>
      </c>
      <c r="BD254" s="29" t="s">
        <v>2607</v>
      </c>
      <c r="BE254" s="29" t="s">
        <v>1805</v>
      </c>
      <c r="BF254" s="29" t="s">
        <v>1936</v>
      </c>
      <c r="BG254" s="29" t="s">
        <v>2528</v>
      </c>
      <c r="BH254" s="29" t="s">
        <v>2515</v>
      </c>
      <c r="BI254" s="35"/>
      <c r="BJ254" s="35"/>
      <c r="BK254" s="29" t="str" cm="1">
        <f t="array" ref="BK254">_xlfn.UNIQUE(MID(BB254,16,14))</f>
        <v>U012UNA01UH100</v>
      </c>
    </row>
    <row r="255" spans="1:63" hidden="1" x14ac:dyDescent="0.3">
      <c r="A255" s="29" t="s">
        <v>2529</v>
      </c>
      <c r="B255" s="36" t="str">
        <f t="shared" si="15"/>
        <v>G01NHX01QN002-QN01</v>
      </c>
      <c r="C255" s="33" t="s">
        <v>2630</v>
      </c>
      <c r="D255" s="34" t="str">
        <f t="shared" si="16"/>
        <v>ELY1 N2 DIST CTRL O2 CV1 ANALOG1</v>
      </c>
      <c r="E255" s="31">
        <f t="shared" si="17"/>
        <v>32</v>
      </c>
      <c r="F255" s="32" t="str">
        <f t="shared" si="18"/>
        <v>ELECTROLYSIS SYSTEM ELECTROLYSIS ARRAY 1 AUXILIARY SYSTEMS NITROGEN DISTRIBUTION NITROGEN REGULATION SYSTEMS NITROGEN REGULATION O2 CONTROL VALVE - NITROGEN O2 SIDE ANALOG PROCESS SIGNAL</v>
      </c>
      <c r="G255" s="29" t="s">
        <v>1614</v>
      </c>
      <c r="H255" s="29" t="s">
        <v>1615</v>
      </c>
      <c r="I255" s="29" t="str">
        <f t="shared" si="19"/>
        <v>01</v>
      </c>
      <c r="J255" s="29" t="s">
        <v>1616</v>
      </c>
      <c r="K255" s="29" t="s">
        <v>2506</v>
      </c>
      <c r="L255" s="29" t="s">
        <v>2507</v>
      </c>
      <c r="M255" s="29" t="s">
        <v>1619</v>
      </c>
      <c r="N255" s="29" t="s">
        <v>2508</v>
      </c>
      <c r="O255" s="29" t="s">
        <v>2509</v>
      </c>
      <c r="P255" s="29" t="s">
        <v>2510</v>
      </c>
      <c r="Q255" s="29" t="s">
        <v>1872</v>
      </c>
      <c r="R255" s="29" t="s">
        <v>2531</v>
      </c>
      <c r="S255" s="29" t="s">
        <v>1800</v>
      </c>
      <c r="T255" s="29" t="s">
        <v>2540</v>
      </c>
      <c r="U255" s="29" t="s">
        <v>2598</v>
      </c>
      <c r="V255" s="29" t="s">
        <v>1083</v>
      </c>
      <c r="W255" s="35" t="s">
        <v>1628</v>
      </c>
      <c r="X255" s="35" t="s">
        <v>2512</v>
      </c>
      <c r="Y255" s="35" t="s">
        <v>2532</v>
      </c>
      <c r="Z255" s="35" t="s">
        <v>1802</v>
      </c>
      <c r="AA255" s="35" t="s">
        <v>1666</v>
      </c>
      <c r="AB255" s="29" t="s">
        <v>2015</v>
      </c>
      <c r="AC255" s="35" t="s">
        <v>1633</v>
      </c>
      <c r="AD255" s="35" t="s">
        <v>1668</v>
      </c>
      <c r="AE255" s="35" t="s">
        <v>1668</v>
      </c>
      <c r="AF255" s="35" t="s">
        <v>1635</v>
      </c>
      <c r="AG255" s="35" t="s">
        <v>1670</v>
      </c>
      <c r="AI255" s="35"/>
      <c r="AJ255" s="35" t="s">
        <v>2599</v>
      </c>
      <c r="AK255" s="35" t="s">
        <v>1672</v>
      </c>
      <c r="AL255" s="29" t="s">
        <v>2606</v>
      </c>
      <c r="AM255" s="35"/>
      <c r="AN255" s="35"/>
      <c r="AO255" s="35"/>
      <c r="AP255" s="35"/>
      <c r="AQ255" s="35"/>
      <c r="AS255" s="35"/>
      <c r="AU255" s="35"/>
      <c r="AW255" s="35"/>
      <c r="AY255" s="35"/>
      <c r="AZ255" s="35"/>
      <c r="BA255" s="35"/>
      <c r="BB255" s="29" t="s">
        <v>2631</v>
      </c>
      <c r="BC255" s="29" t="s">
        <v>2610</v>
      </c>
      <c r="BD255" s="29" t="s">
        <v>2607</v>
      </c>
      <c r="BE255" s="29" t="s">
        <v>1805</v>
      </c>
      <c r="BF255" s="29" t="s">
        <v>1619</v>
      </c>
      <c r="BG255" s="29" t="s">
        <v>2541</v>
      </c>
      <c r="BH255" s="29" t="s">
        <v>2515</v>
      </c>
      <c r="BI255" s="35"/>
      <c r="BJ255" s="35"/>
      <c r="BK255" s="29" t="str" cm="1">
        <f t="array" ref="BK255">_xlfn.UNIQUE(MID(BB255,16,14))</f>
        <v>U012UNA01UH100</v>
      </c>
    </row>
    <row r="256" spans="1:63" x14ac:dyDescent="0.3">
      <c r="A256" s="29" t="s">
        <v>1779</v>
      </c>
      <c r="B256" s="36" t="str">
        <f t="shared" si="15"/>
        <v>A01PAD01WP001-QN01</v>
      </c>
      <c r="C256" s="33" t="s">
        <v>2632</v>
      </c>
      <c r="D256" s="34" t="str">
        <f t="shared" si="16"/>
        <v>AUX COOL WTR PIPING CV1 GRP FLT</v>
      </c>
      <c r="E256" s="31">
        <f t="shared" si="17"/>
        <v>31</v>
      </c>
      <c r="F256" s="32" t="str">
        <f t="shared" si="18"/>
        <v>ANCILLARY/AUXILIARY SYSTEMS AUXILLIARY SYSTEMS COOLING WATER SYSTEMS COOLING WATER SYSTEM RECOOLING WATER DISTRIBUTION SYSTEM COOLING WATER PIPE SYSTEM CONTROL VALVE - COMPRESSOR COOLINGWATER RETURN GROUP FAULT ALARM</v>
      </c>
      <c r="G256" s="29" t="s">
        <v>1651</v>
      </c>
      <c r="H256" s="29" t="s">
        <v>1652</v>
      </c>
      <c r="I256" s="29" t="str">
        <f t="shared" si="19"/>
        <v>01</v>
      </c>
      <c r="J256" s="29" t="s">
        <v>1653</v>
      </c>
      <c r="K256" s="29" t="s">
        <v>1709</v>
      </c>
      <c r="L256" s="29" t="s">
        <v>1710</v>
      </c>
      <c r="M256" s="29" t="s">
        <v>1619</v>
      </c>
      <c r="N256" s="29" t="s">
        <v>1711</v>
      </c>
      <c r="O256" s="29" t="s">
        <v>1781</v>
      </c>
      <c r="P256" s="29" t="s">
        <v>1782</v>
      </c>
      <c r="Q256" s="29" t="s">
        <v>1623</v>
      </c>
      <c r="R256" s="29" t="s">
        <v>1783</v>
      </c>
      <c r="S256" s="29" t="s">
        <v>1800</v>
      </c>
      <c r="T256" s="29" t="s">
        <v>1801</v>
      </c>
      <c r="U256" s="29" t="s">
        <v>1033</v>
      </c>
      <c r="V256" s="29" t="s">
        <v>1288</v>
      </c>
      <c r="W256" s="35" t="s">
        <v>1662</v>
      </c>
      <c r="X256" s="35" t="s">
        <v>1717</v>
      </c>
      <c r="Y256" s="35" t="s">
        <v>1785</v>
      </c>
      <c r="Z256" s="35" t="s">
        <v>1802</v>
      </c>
      <c r="AA256" s="35" t="s">
        <v>2633</v>
      </c>
      <c r="AB256" s="29" t="s">
        <v>1667</v>
      </c>
      <c r="AC256" s="35" t="s">
        <v>1633</v>
      </c>
      <c r="AD256" s="35" t="s">
        <v>1634</v>
      </c>
      <c r="AE256" s="35" t="s">
        <v>1634</v>
      </c>
      <c r="AF256" s="35" t="s">
        <v>1635</v>
      </c>
      <c r="AG256" s="35" t="s">
        <v>2634</v>
      </c>
      <c r="AI256" s="35"/>
      <c r="AJ256" s="35" t="s">
        <v>1637</v>
      </c>
      <c r="AK256" s="35" t="s">
        <v>1672</v>
      </c>
      <c r="AL256" s="29" t="s">
        <v>2606</v>
      </c>
      <c r="AM256" s="35"/>
      <c r="AN256" s="35"/>
      <c r="AO256" s="35"/>
      <c r="AP256" s="35"/>
      <c r="AQ256" s="35"/>
      <c r="AS256" s="35"/>
      <c r="AU256" s="35"/>
      <c r="AW256" s="35"/>
      <c r="AY256" s="35"/>
      <c r="AZ256" s="35"/>
      <c r="BA256" s="35"/>
      <c r="BD256" s="29" t="s">
        <v>2635</v>
      </c>
      <c r="BE256" s="29" t="s">
        <v>1805</v>
      </c>
      <c r="BH256" s="29" t="s">
        <v>1794</v>
      </c>
      <c r="BI256" s="35"/>
      <c r="BJ256" s="35"/>
      <c r="BK256" s="29" t="str" cm="1">
        <f t="array" ref="BK256">_xlfn.UNIQUE(MID(BB256,16,14))</f>
        <v/>
      </c>
    </row>
    <row r="257" spans="1:63" x14ac:dyDescent="0.3">
      <c r="A257" s="29" t="s">
        <v>1828</v>
      </c>
      <c r="B257" s="36" t="str">
        <f t="shared" si="15"/>
        <v>A01QJB01WP003-QM11</v>
      </c>
      <c r="C257" s="33" t="s">
        <v>2636</v>
      </c>
      <c r="D257" s="34" t="str">
        <f t="shared" si="16"/>
        <v>AUX N2 SUP PIPING SV11 CB ON/OPN</v>
      </c>
      <c r="E257" s="31">
        <f t="shared" si="17"/>
        <v>32</v>
      </c>
      <c r="F257" s="32" t="str">
        <f t="shared" si="18"/>
        <v>ANCILLARY/AUXILIARY SYSTEMS AUXILLIARY SYSTEMS NITROGEN SUPPLY SYSTEMS NITROGEN SUPPLY SYSTEM 1 PIPE SYSTEM NITROGEN SUPPLY AUX1 BALL VALVE (GENERAL) CHECK BACK ON/OPEN</v>
      </c>
      <c r="G257" s="29" t="s">
        <v>1651</v>
      </c>
      <c r="H257" s="29" t="s">
        <v>1652</v>
      </c>
      <c r="I257" s="29" t="str">
        <f t="shared" si="19"/>
        <v>01</v>
      </c>
      <c r="J257" s="29" t="s">
        <v>1653</v>
      </c>
      <c r="K257" s="29" t="s">
        <v>1820</v>
      </c>
      <c r="L257" s="29" t="s">
        <v>1821</v>
      </c>
      <c r="M257" s="29" t="s">
        <v>1619</v>
      </c>
      <c r="N257" s="29" t="s">
        <v>1822</v>
      </c>
      <c r="O257" s="29" t="s">
        <v>1781</v>
      </c>
      <c r="P257" s="29" t="s">
        <v>1823</v>
      </c>
      <c r="Q257" s="29" t="s">
        <v>1830</v>
      </c>
      <c r="R257" s="29" t="s">
        <v>1831</v>
      </c>
      <c r="S257" s="29" t="s">
        <v>2637</v>
      </c>
      <c r="T257" s="29" t="s">
        <v>2638</v>
      </c>
      <c r="U257" s="29" t="s">
        <v>790</v>
      </c>
      <c r="V257" s="29" t="s">
        <v>2639</v>
      </c>
      <c r="W257" s="35" t="s">
        <v>1662</v>
      </c>
      <c r="X257" s="35" t="s">
        <v>1826</v>
      </c>
      <c r="Y257" s="35" t="s">
        <v>1785</v>
      </c>
      <c r="Z257" s="35" t="s">
        <v>2640</v>
      </c>
      <c r="AA257" s="35" t="s">
        <v>2641</v>
      </c>
      <c r="AB257" s="29" t="s">
        <v>1667</v>
      </c>
      <c r="AC257" s="35" t="s">
        <v>1633</v>
      </c>
      <c r="AD257" s="35" t="s">
        <v>2642</v>
      </c>
      <c r="AE257" s="35" t="s">
        <v>2642</v>
      </c>
      <c r="AF257" s="35" t="s">
        <v>1635</v>
      </c>
      <c r="AG257" s="35" t="s">
        <v>1636</v>
      </c>
      <c r="AI257" s="35"/>
      <c r="AJ257" s="35" t="s">
        <v>1637</v>
      </c>
      <c r="AK257" s="35" t="s">
        <v>1672</v>
      </c>
      <c r="AL257" s="29" t="s">
        <v>1803</v>
      </c>
      <c r="AM257" s="35"/>
      <c r="AN257" s="35"/>
      <c r="AO257" s="35"/>
      <c r="AP257" s="35"/>
      <c r="AQ257" s="35"/>
      <c r="AS257" s="35"/>
      <c r="AU257" s="35"/>
      <c r="AW257" s="35"/>
      <c r="AY257" s="35"/>
      <c r="AZ257" s="35"/>
      <c r="BA257" s="35"/>
      <c r="BH257" s="29" t="s">
        <v>2643</v>
      </c>
      <c r="BI257" s="35"/>
      <c r="BJ257" s="35"/>
      <c r="BK257" s="29" t="str" cm="1">
        <f t="array" ref="BK257">_xlfn.UNIQUE(MID(BB257,16,14))</f>
        <v/>
      </c>
    </row>
    <row r="258" spans="1:63" x14ac:dyDescent="0.3">
      <c r="A258" s="29" t="s">
        <v>1828</v>
      </c>
      <c r="B258" s="36" t="str">
        <f t="shared" ref="B258:B321" si="20">RIGHT(A258,LEN(A258)-1)&amp;S258</f>
        <v>A01QJB01WP003-QM11</v>
      </c>
      <c r="C258" s="33" t="s">
        <v>2644</v>
      </c>
      <c r="D258" s="34" t="str">
        <f t="shared" ref="D258:D321" si="21">UPPER(W258&amp;" "&amp;X258&amp;" "&amp;Y258&amp;" "&amp;Z258&amp;" "&amp;AA258)</f>
        <v>AUX N2 SUP PIPING SV11 CB OFF/CLD</v>
      </c>
      <c r="E258" s="31">
        <f t="shared" ref="E258:E321" si="22">LEN(D258)</f>
        <v>33</v>
      </c>
      <c r="F258" s="32" t="str">
        <f t="shared" ref="F258:F321" si="23">UPPER(H258&amp;" "&amp;J258&amp;" "&amp;L258&amp;" "&amp;N258&amp;" "&amp;P258&amp;" "&amp;R258&amp;" "&amp;T258&amp;" "&amp;V258)</f>
        <v>ANCILLARY/AUXILIARY SYSTEMS AUXILLIARY SYSTEMS NITROGEN SUPPLY SYSTEMS NITROGEN SUPPLY SYSTEM 1 PIPE SYSTEM NITROGEN SUPPLY AUX1 BALL VALVE (GENERAL) CHECK BACK OFF/CLOSED</v>
      </c>
      <c r="G258" s="29" t="s">
        <v>1651</v>
      </c>
      <c r="H258" s="29" t="s">
        <v>1652</v>
      </c>
      <c r="I258" s="29" t="str">
        <f t="shared" ref="I258:I321" si="24">RIGHT(LEFT(A258,4),2)</f>
        <v>01</v>
      </c>
      <c r="J258" s="29" t="s">
        <v>1653</v>
      </c>
      <c r="K258" s="29" t="s">
        <v>1820</v>
      </c>
      <c r="L258" s="29" t="s">
        <v>1821</v>
      </c>
      <c r="M258" s="29" t="s">
        <v>1619</v>
      </c>
      <c r="N258" s="29" t="s">
        <v>1822</v>
      </c>
      <c r="O258" s="29" t="s">
        <v>1781</v>
      </c>
      <c r="P258" s="29" t="s">
        <v>1823</v>
      </c>
      <c r="Q258" s="29" t="s">
        <v>1830</v>
      </c>
      <c r="R258" s="29" t="s">
        <v>1831</v>
      </c>
      <c r="S258" s="29" t="s">
        <v>2637</v>
      </c>
      <c r="T258" s="29" t="s">
        <v>2638</v>
      </c>
      <c r="U258" s="29" t="s">
        <v>363</v>
      </c>
      <c r="V258" s="29" t="s">
        <v>2645</v>
      </c>
      <c r="W258" s="35" t="s">
        <v>1662</v>
      </c>
      <c r="X258" s="35" t="s">
        <v>1826</v>
      </c>
      <c r="Y258" s="35" t="s">
        <v>1785</v>
      </c>
      <c r="Z258" s="35" t="s">
        <v>2640</v>
      </c>
      <c r="AA258" s="35" t="s">
        <v>2646</v>
      </c>
      <c r="AB258" s="29" t="s">
        <v>1667</v>
      </c>
      <c r="AC258" s="35" t="s">
        <v>1633</v>
      </c>
      <c r="AD258" s="35" t="s">
        <v>2642</v>
      </c>
      <c r="AE258" s="35" t="s">
        <v>2642</v>
      </c>
      <c r="AF258" s="35" t="s">
        <v>1635</v>
      </c>
      <c r="AG258" s="35" t="s">
        <v>1636</v>
      </c>
      <c r="AI258" s="35"/>
      <c r="AJ258" s="35" t="s">
        <v>1637</v>
      </c>
      <c r="AK258" s="35" t="s">
        <v>1672</v>
      </c>
      <c r="AL258" s="29" t="s">
        <v>1803</v>
      </c>
      <c r="AM258" s="35"/>
      <c r="AN258" s="35"/>
      <c r="AO258" s="35"/>
      <c r="AP258" s="35"/>
      <c r="AQ258" s="35"/>
      <c r="AS258" s="35"/>
      <c r="AU258" s="35"/>
      <c r="AW258" s="35"/>
      <c r="AY258" s="35"/>
      <c r="AZ258" s="35"/>
      <c r="BA258" s="35"/>
      <c r="BH258" s="29" t="s">
        <v>2643</v>
      </c>
      <c r="BI258" s="35"/>
      <c r="BJ258" s="35"/>
      <c r="BK258" s="29" t="str" cm="1">
        <f t="array" ref="BK258">_xlfn.UNIQUE(MID(BB258,16,14))</f>
        <v/>
      </c>
    </row>
    <row r="259" spans="1:63" x14ac:dyDescent="0.3">
      <c r="A259" s="29" t="s">
        <v>1828</v>
      </c>
      <c r="B259" s="36" t="str">
        <f t="shared" si="20"/>
        <v>A01QJB01WP003-QM60</v>
      </c>
      <c r="C259" s="33" t="s">
        <v>2647</v>
      </c>
      <c r="D259" s="34" t="str">
        <f t="shared" si="21"/>
        <v>AUX N2 SUP PIPING SV60 CB ON/OPN</v>
      </c>
      <c r="E259" s="31">
        <f t="shared" si="22"/>
        <v>32</v>
      </c>
      <c r="F259" s="32" t="str">
        <f t="shared" si="23"/>
        <v>ANCILLARY/AUXILIARY SYSTEMS AUXILLIARY SYSTEMS NITROGEN SUPPLY SYSTEMS NITROGEN SUPPLY SYSTEM 1 PIPE SYSTEM NITROGEN SUPPLY AUX1 BALL VALVE (GENERAL) CHECK BACK ON/OPEN</v>
      </c>
      <c r="G259" s="29" t="s">
        <v>1651</v>
      </c>
      <c r="H259" s="29" t="s">
        <v>1652</v>
      </c>
      <c r="I259" s="29" t="str">
        <f t="shared" si="24"/>
        <v>01</v>
      </c>
      <c r="J259" s="29" t="s">
        <v>1653</v>
      </c>
      <c r="K259" s="29" t="s">
        <v>1820</v>
      </c>
      <c r="L259" s="29" t="s">
        <v>1821</v>
      </c>
      <c r="M259" s="29" t="s">
        <v>1619</v>
      </c>
      <c r="N259" s="29" t="s">
        <v>1822</v>
      </c>
      <c r="O259" s="29" t="s">
        <v>1781</v>
      </c>
      <c r="P259" s="29" t="s">
        <v>1823</v>
      </c>
      <c r="Q259" s="29" t="s">
        <v>1830</v>
      </c>
      <c r="R259" s="29" t="s">
        <v>1831</v>
      </c>
      <c r="S259" s="29" t="s">
        <v>2648</v>
      </c>
      <c r="T259" s="29" t="s">
        <v>2638</v>
      </c>
      <c r="U259" s="29" t="s">
        <v>790</v>
      </c>
      <c r="V259" s="29" t="s">
        <v>2639</v>
      </c>
      <c r="W259" s="35" t="s">
        <v>1662</v>
      </c>
      <c r="X259" s="35" t="s">
        <v>1826</v>
      </c>
      <c r="Y259" s="35" t="s">
        <v>1785</v>
      </c>
      <c r="Z259" s="35" t="s">
        <v>2649</v>
      </c>
      <c r="AA259" s="35" t="s">
        <v>2641</v>
      </c>
      <c r="AB259" s="29" t="s">
        <v>2650</v>
      </c>
      <c r="AC259" s="35" t="s">
        <v>1633</v>
      </c>
      <c r="AD259" s="35" t="s">
        <v>2642</v>
      </c>
      <c r="AE259" s="35" t="s">
        <v>2642</v>
      </c>
      <c r="AF259" s="35" t="s">
        <v>1635</v>
      </c>
      <c r="AG259" s="35" t="s">
        <v>1636</v>
      </c>
      <c r="AI259" s="35"/>
      <c r="AJ259" s="35" t="s">
        <v>1637</v>
      </c>
      <c r="AK259" s="35" t="s">
        <v>1672</v>
      </c>
      <c r="AL259" s="29" t="s">
        <v>1803</v>
      </c>
      <c r="AM259" s="35"/>
      <c r="AN259" s="35"/>
      <c r="AO259" s="35"/>
      <c r="AP259" s="35"/>
      <c r="AQ259" s="35"/>
      <c r="AS259" s="35"/>
      <c r="AU259" s="35"/>
      <c r="AW259" s="35"/>
      <c r="AY259" s="35"/>
      <c r="AZ259" s="35"/>
      <c r="BA259" s="35"/>
      <c r="BH259" s="29" t="s">
        <v>1827</v>
      </c>
      <c r="BI259" s="35"/>
      <c r="BJ259" s="35"/>
      <c r="BK259" s="29" t="str" cm="1">
        <f t="array" ref="BK259">_xlfn.UNIQUE(MID(BB259,16,14))</f>
        <v/>
      </c>
    </row>
    <row r="260" spans="1:63" x14ac:dyDescent="0.3">
      <c r="A260" s="29" t="s">
        <v>1828</v>
      </c>
      <c r="B260" s="36" t="str">
        <f t="shared" si="20"/>
        <v>A01QJB01WP003-QM60</v>
      </c>
      <c r="C260" s="33" t="s">
        <v>2651</v>
      </c>
      <c r="D260" s="34" t="str">
        <f t="shared" si="21"/>
        <v>AUX N2 SUP PIPING SV60 CB OFF/CLD</v>
      </c>
      <c r="E260" s="31">
        <f t="shared" si="22"/>
        <v>33</v>
      </c>
      <c r="F260" s="32" t="str">
        <f t="shared" si="23"/>
        <v>ANCILLARY/AUXILIARY SYSTEMS AUXILLIARY SYSTEMS NITROGEN SUPPLY SYSTEMS NITROGEN SUPPLY SYSTEM 1 PIPE SYSTEM NITROGEN SUPPLY AUX1 BALL VALVE (GENERAL) CHECK BACK OFF/CLOSED</v>
      </c>
      <c r="G260" s="29" t="s">
        <v>1651</v>
      </c>
      <c r="H260" s="29" t="s">
        <v>1652</v>
      </c>
      <c r="I260" s="29" t="str">
        <f t="shared" si="24"/>
        <v>01</v>
      </c>
      <c r="J260" s="29" t="s">
        <v>1653</v>
      </c>
      <c r="K260" s="29" t="s">
        <v>1820</v>
      </c>
      <c r="L260" s="29" t="s">
        <v>1821</v>
      </c>
      <c r="M260" s="29" t="s">
        <v>1619</v>
      </c>
      <c r="N260" s="29" t="s">
        <v>1822</v>
      </c>
      <c r="O260" s="29" t="s">
        <v>1781</v>
      </c>
      <c r="P260" s="29" t="s">
        <v>1823</v>
      </c>
      <c r="Q260" s="29" t="s">
        <v>1830</v>
      </c>
      <c r="R260" s="29" t="s">
        <v>1831</v>
      </c>
      <c r="S260" s="29" t="s">
        <v>2648</v>
      </c>
      <c r="T260" s="29" t="s">
        <v>2638</v>
      </c>
      <c r="U260" s="29" t="s">
        <v>363</v>
      </c>
      <c r="V260" s="29" t="s">
        <v>2645</v>
      </c>
      <c r="W260" s="35" t="s">
        <v>1662</v>
      </c>
      <c r="X260" s="35" t="s">
        <v>1826</v>
      </c>
      <c r="Y260" s="35" t="s">
        <v>1785</v>
      </c>
      <c r="Z260" s="35" t="s">
        <v>2649</v>
      </c>
      <c r="AA260" s="35" t="s">
        <v>2646</v>
      </c>
      <c r="AB260" s="29" t="s">
        <v>2650</v>
      </c>
      <c r="AC260" s="35" t="s">
        <v>1633</v>
      </c>
      <c r="AD260" s="35" t="s">
        <v>2642</v>
      </c>
      <c r="AE260" s="35" t="s">
        <v>2642</v>
      </c>
      <c r="AF260" s="35" t="s">
        <v>1635</v>
      </c>
      <c r="AG260" s="35" t="s">
        <v>1636</v>
      </c>
      <c r="AI260" s="35"/>
      <c r="AJ260" s="35" t="s">
        <v>1637</v>
      </c>
      <c r="AK260" s="35" t="s">
        <v>1672</v>
      </c>
      <c r="AL260" s="29" t="s">
        <v>1803</v>
      </c>
      <c r="AM260" s="35"/>
      <c r="AN260" s="35"/>
      <c r="AO260" s="35"/>
      <c r="AP260" s="35"/>
      <c r="AQ260" s="35"/>
      <c r="AS260" s="35"/>
      <c r="AU260" s="35"/>
      <c r="AW260" s="35"/>
      <c r="AY260" s="35"/>
      <c r="AZ260" s="35"/>
      <c r="BA260" s="35"/>
      <c r="BH260" s="29" t="s">
        <v>1827</v>
      </c>
      <c r="BI260" s="35"/>
      <c r="BJ260" s="35"/>
      <c r="BK260" s="29" t="str" cm="1">
        <f t="array" ref="BK260">_xlfn.UNIQUE(MID(BB260,16,14))</f>
        <v/>
      </c>
    </row>
    <row r="261" spans="1:63" x14ac:dyDescent="0.3">
      <c r="A261" s="29" t="s">
        <v>1840</v>
      </c>
      <c r="B261" s="36" t="str">
        <f t="shared" si="20"/>
        <v>G01NHA01BZ001-BC01</v>
      </c>
      <c r="C261" s="33" t="s">
        <v>2652</v>
      </c>
      <c r="D261" s="34" t="str">
        <f t="shared" si="21"/>
        <v>ELY1 RECT1 MEAS1 CURR1 GRP FLT</v>
      </c>
      <c r="E261" s="31">
        <f t="shared" si="22"/>
        <v>30</v>
      </c>
      <c r="F261" s="32" t="str">
        <f t="shared" si="23"/>
        <v>ELECTROLYSIS SYSTEM ELECTROLYSIS ARRAY 1 RECTIFIER SYSTEMS RECTIFIER SYSTEM 1 MEASURING SYSTEMS MEASURING SYSTEM 1 DC CURRENT MEASUREMENT GROUP FAULT ALARM</v>
      </c>
      <c r="G261" s="29" t="s">
        <v>1614</v>
      </c>
      <c r="H261" s="29" t="s">
        <v>1615</v>
      </c>
      <c r="I261" s="29" t="str">
        <f t="shared" si="24"/>
        <v>01</v>
      </c>
      <c r="J261" s="29" t="s">
        <v>1616</v>
      </c>
      <c r="K261" s="29" t="s">
        <v>1842</v>
      </c>
      <c r="L261" s="29" t="s">
        <v>1843</v>
      </c>
      <c r="M261" s="29" t="s">
        <v>1619</v>
      </c>
      <c r="N261" s="29" t="s">
        <v>1844</v>
      </c>
      <c r="O261" s="29" t="s">
        <v>1845</v>
      </c>
      <c r="P261" s="29" t="s">
        <v>1846</v>
      </c>
      <c r="Q261" s="29" t="s">
        <v>1623</v>
      </c>
      <c r="R261" s="29" t="s">
        <v>1847</v>
      </c>
      <c r="S261" s="29" t="s">
        <v>1848</v>
      </c>
      <c r="T261" s="29" t="s">
        <v>1849</v>
      </c>
      <c r="U261" s="29" t="s">
        <v>1033</v>
      </c>
      <c r="V261" s="29" t="s">
        <v>1288</v>
      </c>
      <c r="W261" s="35" t="s">
        <v>1628</v>
      </c>
      <c r="X261" s="35" t="s">
        <v>1850</v>
      </c>
      <c r="Y261" s="35" t="s">
        <v>1851</v>
      </c>
      <c r="Z261" s="35" t="s">
        <v>1852</v>
      </c>
      <c r="AA261" s="35" t="s">
        <v>2633</v>
      </c>
      <c r="AB261" s="29" t="s">
        <v>2653</v>
      </c>
      <c r="AC261" s="35" t="s">
        <v>1633</v>
      </c>
      <c r="AD261" s="35" t="s">
        <v>1634</v>
      </c>
      <c r="AE261" s="35" t="s">
        <v>1634</v>
      </c>
      <c r="AF261" s="35" t="s">
        <v>1635</v>
      </c>
      <c r="AG261" s="35" t="s">
        <v>1636</v>
      </c>
      <c r="AI261" s="35"/>
      <c r="AJ261" s="35" t="s">
        <v>1637</v>
      </c>
      <c r="AK261" s="35" t="s">
        <v>1672</v>
      </c>
      <c r="AL261" s="29" t="s">
        <v>1853</v>
      </c>
      <c r="AM261" s="35"/>
      <c r="AN261" s="35"/>
      <c r="AO261" s="35"/>
      <c r="AP261" s="35"/>
      <c r="AQ261" s="35"/>
      <c r="AS261" s="35"/>
      <c r="AU261" s="35"/>
      <c r="AW261" s="35"/>
      <c r="AY261" s="35"/>
      <c r="AZ261" s="35"/>
      <c r="BA261" s="35"/>
      <c r="BB261" s="29" t="s">
        <v>2654</v>
      </c>
      <c r="BC261" s="29" t="s">
        <v>2347</v>
      </c>
      <c r="BD261" s="29" t="s">
        <v>2635</v>
      </c>
      <c r="BE261" s="29" t="s">
        <v>1805</v>
      </c>
      <c r="BF261" s="29" t="s">
        <v>1619</v>
      </c>
      <c r="BG261" s="29" t="s">
        <v>2655</v>
      </c>
      <c r="BI261" s="35"/>
      <c r="BJ261" s="35"/>
      <c r="BK261" s="29" t="str" cm="1">
        <f t="array" ref="BK261">_xlfn.UNIQUE(MID(BB261,16,14))</f>
        <v>U012UBB01UC001</v>
      </c>
    </row>
    <row r="262" spans="1:63" x14ac:dyDescent="0.3">
      <c r="A262" s="29" t="s">
        <v>1840</v>
      </c>
      <c r="B262" s="36" t="str">
        <f t="shared" si="20"/>
        <v>G01NHA01BZ001-FC01</v>
      </c>
      <c r="C262" s="33" t="s">
        <v>2656</v>
      </c>
      <c r="D262" s="34" t="str">
        <f t="shared" si="21"/>
        <v>ELY1 RECT1 MEAS1 24V MON1 GRP FLT</v>
      </c>
      <c r="E262" s="31">
        <f t="shared" si="22"/>
        <v>33</v>
      </c>
      <c r="F262" s="32" t="str">
        <f t="shared" si="23"/>
        <v>ELECTROLYSIS SYSTEM ELECTROLYSIS ARRAY 1 RECTIFIER SYSTEMS RECTIFIER SYSTEM 1 MEASURING SYSTEMS MEASURING SYSTEM 1 24VDC DISTRIBUTION GROUP FAULT ALARM</v>
      </c>
      <c r="G262" s="29" t="s">
        <v>1614</v>
      </c>
      <c r="H262" s="29" t="s">
        <v>1615</v>
      </c>
      <c r="I262" s="29" t="str">
        <f t="shared" si="24"/>
        <v>01</v>
      </c>
      <c r="J262" s="29" t="s">
        <v>1616</v>
      </c>
      <c r="K262" s="29" t="s">
        <v>1842</v>
      </c>
      <c r="L262" s="29" t="s">
        <v>1843</v>
      </c>
      <c r="M262" s="29" t="s">
        <v>1619</v>
      </c>
      <c r="N262" s="29" t="s">
        <v>1844</v>
      </c>
      <c r="O262" s="29" t="s">
        <v>1845</v>
      </c>
      <c r="P262" s="29" t="s">
        <v>1846</v>
      </c>
      <c r="Q262" s="29" t="s">
        <v>1623</v>
      </c>
      <c r="R262" s="29" t="s">
        <v>1847</v>
      </c>
      <c r="S262" s="29" t="s">
        <v>2657</v>
      </c>
      <c r="T262" s="29" t="s">
        <v>2658</v>
      </c>
      <c r="U262" s="29" t="s">
        <v>1033</v>
      </c>
      <c r="V262" s="29" t="s">
        <v>1288</v>
      </c>
      <c r="W262" s="35" t="s">
        <v>1628</v>
      </c>
      <c r="X262" s="35" t="s">
        <v>1850</v>
      </c>
      <c r="Y262" s="35" t="s">
        <v>1851</v>
      </c>
      <c r="Z262" s="35" t="s">
        <v>2659</v>
      </c>
      <c r="AA262" s="35" t="s">
        <v>2633</v>
      </c>
      <c r="AB262" s="29" t="s">
        <v>1865</v>
      </c>
      <c r="AC262" s="35" t="s">
        <v>1633</v>
      </c>
      <c r="AD262" s="35" t="s">
        <v>1634</v>
      </c>
      <c r="AE262" s="35" t="s">
        <v>1634</v>
      </c>
      <c r="AF262" s="35" t="s">
        <v>1635</v>
      </c>
      <c r="AG262" s="35" t="s">
        <v>2660</v>
      </c>
      <c r="AI262" s="35"/>
      <c r="AJ262" s="35" t="s">
        <v>1637</v>
      </c>
      <c r="AK262" s="35" t="s">
        <v>1672</v>
      </c>
      <c r="AL262" s="29" t="s">
        <v>2661</v>
      </c>
      <c r="AM262" s="35"/>
      <c r="AN262" s="35"/>
      <c r="AO262" s="35"/>
      <c r="AP262" s="35"/>
      <c r="AQ262" s="35"/>
      <c r="AS262" s="35"/>
      <c r="AU262" s="35"/>
      <c r="AW262" s="35"/>
      <c r="AY262" s="35"/>
      <c r="AZ262" s="35"/>
      <c r="BA262" s="35"/>
      <c r="BB262" s="29" t="s">
        <v>2654</v>
      </c>
      <c r="BC262" s="29" t="s">
        <v>2347</v>
      </c>
      <c r="BD262" s="29" t="s">
        <v>2635</v>
      </c>
      <c r="BE262" s="29" t="s">
        <v>1805</v>
      </c>
      <c r="BF262" s="29" t="s">
        <v>1905</v>
      </c>
      <c r="BG262" s="29" t="s">
        <v>2662</v>
      </c>
      <c r="BI262" s="35"/>
      <c r="BJ262" s="35"/>
      <c r="BK262" s="29" t="str" cm="1">
        <f t="array" ref="BK262">_xlfn.UNIQUE(MID(BB262,16,14))</f>
        <v>U012UBB01UC001</v>
      </c>
    </row>
    <row r="263" spans="1:63" x14ac:dyDescent="0.3">
      <c r="A263" s="29" t="s">
        <v>1840</v>
      </c>
      <c r="B263" s="36" t="str">
        <f t="shared" si="20"/>
        <v>G01NHA01BZ001-TF01</v>
      </c>
      <c r="C263" s="33" t="s">
        <v>2663</v>
      </c>
      <c r="D263" s="34" t="str">
        <f t="shared" si="21"/>
        <v>ELY1 RECT1 MEAS1 DC MON1 WARN CODE</v>
      </c>
      <c r="E263" s="31">
        <f t="shared" si="22"/>
        <v>34</v>
      </c>
      <c r="F263" s="32" t="str">
        <f t="shared" si="23"/>
        <v>ELECTROLYSIS SYSTEM ELECTROLYSIS ARRAY 1 RECTIFIER SYSTEMS RECTIFIER SYSTEM 1 MEASURING SYSTEMS MEASURING SYSTEM 1 DC ISOLATION MONITORING ALARM SYSTEM - ALARM</v>
      </c>
      <c r="G263" s="29" t="s">
        <v>1614</v>
      </c>
      <c r="H263" s="29" t="s">
        <v>1615</v>
      </c>
      <c r="I263" s="29" t="str">
        <f t="shared" si="24"/>
        <v>01</v>
      </c>
      <c r="J263" s="29" t="s">
        <v>1616</v>
      </c>
      <c r="K263" s="29" t="s">
        <v>1842</v>
      </c>
      <c r="L263" s="29" t="s">
        <v>1843</v>
      </c>
      <c r="M263" s="29" t="s">
        <v>1619</v>
      </c>
      <c r="N263" s="29" t="s">
        <v>1844</v>
      </c>
      <c r="O263" s="29" t="s">
        <v>1845</v>
      </c>
      <c r="P263" s="29" t="s">
        <v>1846</v>
      </c>
      <c r="Q263" s="29" t="s">
        <v>1623</v>
      </c>
      <c r="R263" s="29" t="s">
        <v>1847</v>
      </c>
      <c r="S263" s="29" t="s">
        <v>1857</v>
      </c>
      <c r="T263" s="29" t="s">
        <v>1858</v>
      </c>
      <c r="U263" s="29" t="s">
        <v>1074</v>
      </c>
      <c r="V263" s="29" t="s">
        <v>2664</v>
      </c>
      <c r="W263" s="35" t="s">
        <v>1628</v>
      </c>
      <c r="X263" s="35" t="s">
        <v>1850</v>
      </c>
      <c r="Y263" s="35" t="s">
        <v>1851</v>
      </c>
      <c r="Z263" s="35" t="s">
        <v>1859</v>
      </c>
      <c r="AA263" s="35" t="s">
        <v>2665</v>
      </c>
      <c r="AB263" s="29" t="s">
        <v>1865</v>
      </c>
      <c r="AC263" s="35" t="s">
        <v>1633</v>
      </c>
      <c r="AD263" s="35" t="s">
        <v>1634</v>
      </c>
      <c r="AE263" s="35" t="s">
        <v>1634</v>
      </c>
      <c r="AF263" s="35" t="s">
        <v>1635</v>
      </c>
      <c r="AG263" s="35" t="s">
        <v>1636</v>
      </c>
      <c r="AI263" s="35"/>
      <c r="AJ263" s="35" t="s">
        <v>1637</v>
      </c>
      <c r="AK263" s="35" t="s">
        <v>1672</v>
      </c>
      <c r="AL263" s="29" t="s">
        <v>1860</v>
      </c>
      <c r="AM263" s="35"/>
      <c r="AN263" s="35"/>
      <c r="AO263" s="35"/>
      <c r="AP263" s="35"/>
      <c r="AQ263" s="35"/>
      <c r="AS263" s="35"/>
      <c r="AU263" s="35"/>
      <c r="AW263" s="35"/>
      <c r="AY263" s="35"/>
      <c r="AZ263" s="35"/>
      <c r="BA263" s="35"/>
      <c r="BB263" s="29" t="s">
        <v>2654</v>
      </c>
      <c r="BC263" s="29" t="s">
        <v>2347</v>
      </c>
      <c r="BD263" s="29" t="s">
        <v>2666</v>
      </c>
      <c r="BE263" s="29" t="s">
        <v>1805</v>
      </c>
      <c r="BF263" s="29" t="s">
        <v>1915</v>
      </c>
      <c r="BG263" s="29" t="s">
        <v>2667</v>
      </c>
      <c r="BI263" s="35"/>
      <c r="BJ263" s="35"/>
      <c r="BK263" s="29" t="str" cm="1">
        <f t="array" ref="BK263">_xlfn.UNIQUE(MID(BB263,16,14))</f>
        <v>U012UBB01UC001</v>
      </c>
    </row>
    <row r="264" spans="1:63" x14ac:dyDescent="0.3">
      <c r="A264" s="29" t="s">
        <v>1840</v>
      </c>
      <c r="B264" s="36" t="str">
        <f t="shared" si="20"/>
        <v>G01NHA01BZ001-TF01</v>
      </c>
      <c r="C264" s="33" t="s">
        <v>2668</v>
      </c>
      <c r="D264" s="34" t="str">
        <f t="shared" si="21"/>
        <v>ELY1 RECT1 MEAS1 DC MON1 AL/FLT CODE</v>
      </c>
      <c r="E264" s="31">
        <f t="shared" si="22"/>
        <v>36</v>
      </c>
      <c r="F264" s="32" t="str">
        <f t="shared" si="23"/>
        <v>ELECTROLYSIS SYSTEM ELECTROLYSIS ARRAY 1 RECTIFIER SYSTEMS RECTIFIER SYSTEM 1 MEASURING SYSTEMS MEASURING SYSTEM 1 DC ISOLATION MONITORING ALARM SYSTEM - WARNING</v>
      </c>
      <c r="G264" s="29" t="s">
        <v>1614</v>
      </c>
      <c r="H264" s="29" t="s">
        <v>1615</v>
      </c>
      <c r="I264" s="29" t="str">
        <f t="shared" si="24"/>
        <v>01</v>
      </c>
      <c r="J264" s="29" t="s">
        <v>1616</v>
      </c>
      <c r="K264" s="29" t="s">
        <v>1842</v>
      </c>
      <c r="L264" s="29" t="s">
        <v>1843</v>
      </c>
      <c r="M264" s="29" t="s">
        <v>1619</v>
      </c>
      <c r="N264" s="29" t="s">
        <v>1844</v>
      </c>
      <c r="O264" s="29" t="s">
        <v>1845</v>
      </c>
      <c r="P264" s="29" t="s">
        <v>1846</v>
      </c>
      <c r="Q264" s="29" t="s">
        <v>1623</v>
      </c>
      <c r="R264" s="29" t="s">
        <v>1847</v>
      </c>
      <c r="S264" s="29" t="s">
        <v>1857</v>
      </c>
      <c r="T264" s="29" t="s">
        <v>1858</v>
      </c>
      <c r="U264" s="29" t="s">
        <v>1360</v>
      </c>
      <c r="V264" s="29" t="s">
        <v>2669</v>
      </c>
      <c r="W264" s="35" t="s">
        <v>1628</v>
      </c>
      <c r="X264" s="35" t="s">
        <v>1850</v>
      </c>
      <c r="Y264" s="35" t="s">
        <v>1851</v>
      </c>
      <c r="Z264" s="35" t="s">
        <v>1859</v>
      </c>
      <c r="AA264" s="35" t="s">
        <v>2670</v>
      </c>
      <c r="AB264" s="29" t="s">
        <v>1865</v>
      </c>
      <c r="AC264" s="35" t="s">
        <v>1633</v>
      </c>
      <c r="AD264" s="35" t="s">
        <v>1634</v>
      </c>
      <c r="AE264" s="35" t="s">
        <v>1634</v>
      </c>
      <c r="AF264" s="35" t="s">
        <v>1635</v>
      </c>
      <c r="AG264" s="35" t="s">
        <v>1636</v>
      </c>
      <c r="AI264" s="35"/>
      <c r="AJ264" s="35" t="s">
        <v>1637</v>
      </c>
      <c r="AK264" s="35" t="s">
        <v>1672</v>
      </c>
      <c r="AL264" s="29" t="s">
        <v>1860</v>
      </c>
      <c r="AM264" s="35"/>
      <c r="AN264" s="35"/>
      <c r="AO264" s="35"/>
      <c r="AP264" s="35"/>
      <c r="AQ264" s="35"/>
      <c r="AS264" s="35"/>
      <c r="AU264" s="35"/>
      <c r="AW264" s="35"/>
      <c r="AY264" s="35"/>
      <c r="AZ264" s="35"/>
      <c r="BA264" s="35"/>
      <c r="BB264" s="29" t="s">
        <v>2654</v>
      </c>
      <c r="BC264" s="29" t="s">
        <v>2347</v>
      </c>
      <c r="BD264" s="29" t="s">
        <v>2671</v>
      </c>
      <c r="BE264" s="29" t="s">
        <v>1805</v>
      </c>
      <c r="BF264" s="29" t="s">
        <v>1909</v>
      </c>
      <c r="BG264" s="29" t="s">
        <v>2667</v>
      </c>
      <c r="BI264" s="35"/>
      <c r="BJ264" s="35"/>
      <c r="BK264" s="29" t="str" cm="1">
        <f t="array" ref="BK264">_xlfn.UNIQUE(MID(BB264,16,14))</f>
        <v>U012UBB01UC001</v>
      </c>
    </row>
    <row r="265" spans="1:63" x14ac:dyDescent="0.3">
      <c r="A265" s="29" t="s">
        <v>1870</v>
      </c>
      <c r="B265" s="36" t="str">
        <f t="shared" si="20"/>
        <v>G01NHA01BZ002-BC01</v>
      </c>
      <c r="C265" s="33" t="s">
        <v>2672</v>
      </c>
      <c r="D265" s="34" t="str">
        <f t="shared" si="21"/>
        <v>ELY1 RECT1 MEAS2 CURR1 GRP FLT</v>
      </c>
      <c r="E265" s="31">
        <f t="shared" si="22"/>
        <v>30</v>
      </c>
      <c r="F265" s="32" t="str">
        <f t="shared" si="23"/>
        <v>ELECTROLYSIS SYSTEM ELECTROLYSIS ARRAY 1 RECTIFIER SYSTEMS RECTIFIER SYSTEM 1 MEASURING SYSTEMS MEASURING SYSTEM 2 DC CURRENT MEASUREMENT GROUP FAULT ALARM</v>
      </c>
      <c r="G265" s="29" t="s">
        <v>1614</v>
      </c>
      <c r="H265" s="29" t="s">
        <v>1615</v>
      </c>
      <c r="I265" s="29" t="str">
        <f t="shared" si="24"/>
        <v>01</v>
      </c>
      <c r="J265" s="29" t="s">
        <v>1616</v>
      </c>
      <c r="K265" s="29" t="s">
        <v>1842</v>
      </c>
      <c r="L265" s="29" t="s">
        <v>1843</v>
      </c>
      <c r="M265" s="29" t="s">
        <v>1619</v>
      </c>
      <c r="N265" s="29" t="s">
        <v>1844</v>
      </c>
      <c r="O265" s="29" t="s">
        <v>1845</v>
      </c>
      <c r="P265" s="29" t="s">
        <v>1846</v>
      </c>
      <c r="Q265" s="29" t="s">
        <v>1872</v>
      </c>
      <c r="R265" s="29" t="s">
        <v>1873</v>
      </c>
      <c r="S265" s="29" t="s">
        <v>1848</v>
      </c>
      <c r="T265" s="29" t="s">
        <v>1849</v>
      </c>
      <c r="U265" s="29" t="s">
        <v>1033</v>
      </c>
      <c r="V265" s="29" t="s">
        <v>1288</v>
      </c>
      <c r="W265" s="35" t="s">
        <v>1628</v>
      </c>
      <c r="X265" s="35" t="s">
        <v>1850</v>
      </c>
      <c r="Y265" s="35" t="s">
        <v>1874</v>
      </c>
      <c r="Z265" s="35" t="s">
        <v>1852</v>
      </c>
      <c r="AA265" s="35" t="s">
        <v>2633</v>
      </c>
      <c r="AB265" s="29" t="s">
        <v>2653</v>
      </c>
      <c r="AC265" s="35" t="s">
        <v>1633</v>
      </c>
      <c r="AD265" s="35" t="s">
        <v>1634</v>
      </c>
      <c r="AE265" s="35" t="s">
        <v>1634</v>
      </c>
      <c r="AF265" s="35" t="s">
        <v>1635</v>
      </c>
      <c r="AG265" s="35" t="s">
        <v>2634</v>
      </c>
      <c r="AI265" s="35"/>
      <c r="AJ265" s="35" t="s">
        <v>1637</v>
      </c>
      <c r="AK265" s="35" t="s">
        <v>1672</v>
      </c>
      <c r="AL265" s="29" t="s">
        <v>1853</v>
      </c>
      <c r="AM265" s="35"/>
      <c r="AN265" s="35"/>
      <c r="AO265" s="35"/>
      <c r="AP265" s="35"/>
      <c r="AQ265" s="35"/>
      <c r="AS265" s="35"/>
      <c r="AU265" s="35"/>
      <c r="AW265" s="35"/>
      <c r="AY265" s="35"/>
      <c r="AZ265" s="35"/>
      <c r="BA265" s="35"/>
      <c r="BB265" s="29" t="s">
        <v>2654</v>
      </c>
      <c r="BC265" s="29" t="s">
        <v>2347</v>
      </c>
      <c r="BD265" s="29" t="s">
        <v>2635</v>
      </c>
      <c r="BE265" s="29" t="s">
        <v>1805</v>
      </c>
      <c r="BF265" s="29" t="s">
        <v>1919</v>
      </c>
      <c r="BG265" s="29" t="s">
        <v>2673</v>
      </c>
      <c r="BI265" s="35"/>
      <c r="BJ265" s="35"/>
      <c r="BK265" s="29" t="str" cm="1">
        <f t="array" ref="BK265">_xlfn.UNIQUE(MID(BB265,16,14))</f>
        <v>U012UBB01UC001</v>
      </c>
    </row>
    <row r="266" spans="1:63" x14ac:dyDescent="0.3">
      <c r="A266" s="29" t="s">
        <v>1870</v>
      </c>
      <c r="B266" s="36" t="str">
        <f t="shared" si="20"/>
        <v>G01NHA01BZ002-FC01</v>
      </c>
      <c r="C266" s="33" t="s">
        <v>2674</v>
      </c>
      <c r="D266" s="34" t="str">
        <f t="shared" si="21"/>
        <v>ELY1 RECT1 MEAS2 24V MON1 GRP FLT</v>
      </c>
      <c r="E266" s="31">
        <f t="shared" si="22"/>
        <v>33</v>
      </c>
      <c r="F266" s="32" t="str">
        <f t="shared" si="23"/>
        <v>ELECTROLYSIS SYSTEM ELECTROLYSIS ARRAY 1 RECTIFIER SYSTEMS RECTIFIER SYSTEM 1 MEASURING SYSTEMS MEASURING SYSTEM 2 24VDC DISTRIBUTION GROUP FAULT ALARM</v>
      </c>
      <c r="G266" s="29" t="s">
        <v>1614</v>
      </c>
      <c r="H266" s="29" t="s">
        <v>1615</v>
      </c>
      <c r="I266" s="29" t="str">
        <f t="shared" si="24"/>
        <v>01</v>
      </c>
      <c r="J266" s="29" t="s">
        <v>1616</v>
      </c>
      <c r="K266" s="29" t="s">
        <v>1842</v>
      </c>
      <c r="L266" s="29" t="s">
        <v>1843</v>
      </c>
      <c r="M266" s="29" t="s">
        <v>1619</v>
      </c>
      <c r="N266" s="29" t="s">
        <v>1844</v>
      </c>
      <c r="O266" s="29" t="s">
        <v>1845</v>
      </c>
      <c r="P266" s="29" t="s">
        <v>1846</v>
      </c>
      <c r="Q266" s="29" t="s">
        <v>1872</v>
      </c>
      <c r="R266" s="29" t="s">
        <v>1873</v>
      </c>
      <c r="S266" s="29" t="s">
        <v>2657</v>
      </c>
      <c r="T266" s="29" t="s">
        <v>2658</v>
      </c>
      <c r="U266" s="29" t="s">
        <v>1033</v>
      </c>
      <c r="V266" s="29" t="s">
        <v>1288</v>
      </c>
      <c r="W266" s="35" t="s">
        <v>1628</v>
      </c>
      <c r="X266" s="35" t="s">
        <v>1850</v>
      </c>
      <c r="Y266" s="35" t="s">
        <v>1874</v>
      </c>
      <c r="Z266" s="35" t="s">
        <v>2659</v>
      </c>
      <c r="AA266" s="35" t="s">
        <v>2633</v>
      </c>
      <c r="AB266" s="29" t="s">
        <v>1865</v>
      </c>
      <c r="AC266" s="35" t="s">
        <v>1633</v>
      </c>
      <c r="AD266" s="35" t="s">
        <v>1634</v>
      </c>
      <c r="AE266" s="35" t="s">
        <v>1634</v>
      </c>
      <c r="AF266" s="35" t="s">
        <v>1635</v>
      </c>
      <c r="AG266" s="35" t="s">
        <v>2660</v>
      </c>
      <c r="AI266" s="35"/>
      <c r="AJ266" s="35" t="s">
        <v>1637</v>
      </c>
      <c r="AK266" s="35" t="s">
        <v>1672</v>
      </c>
      <c r="AL266" s="29" t="s">
        <v>2661</v>
      </c>
      <c r="AM266" s="35"/>
      <c r="AN266" s="35"/>
      <c r="AO266" s="35"/>
      <c r="AP266" s="35"/>
      <c r="AQ266" s="35"/>
      <c r="AS266" s="35"/>
      <c r="AU266" s="35"/>
      <c r="AW266" s="35"/>
      <c r="AY266" s="35"/>
      <c r="AZ266" s="35"/>
      <c r="BA266" s="35"/>
      <c r="BB266" s="29" t="s">
        <v>2654</v>
      </c>
      <c r="BC266" s="29" t="s">
        <v>2347</v>
      </c>
      <c r="BD266" s="29" t="s">
        <v>2635</v>
      </c>
      <c r="BE266" s="29" t="s">
        <v>1805</v>
      </c>
      <c r="BF266" s="29" t="s">
        <v>1922</v>
      </c>
      <c r="BG266" s="29" t="s">
        <v>2675</v>
      </c>
      <c r="BI266" s="35"/>
      <c r="BJ266" s="35"/>
      <c r="BK266" s="29" t="str" cm="1">
        <f t="array" ref="BK266">_xlfn.UNIQUE(MID(BB266,16,14))</f>
        <v>U012UBB01UC001</v>
      </c>
    </row>
    <row r="267" spans="1:63" x14ac:dyDescent="0.3">
      <c r="A267" s="29" t="s">
        <v>1870</v>
      </c>
      <c r="B267" s="36" t="str">
        <f t="shared" si="20"/>
        <v>G01NHA01BZ002-TF01</v>
      </c>
      <c r="C267" s="33" t="s">
        <v>2676</v>
      </c>
      <c r="D267" s="34" t="str">
        <f t="shared" si="21"/>
        <v>ELY1 RECT1 MEAS2 DC MON1 WARN CODE</v>
      </c>
      <c r="E267" s="31">
        <f t="shared" si="22"/>
        <v>34</v>
      </c>
      <c r="F267" s="32" t="str">
        <f t="shared" si="23"/>
        <v>ELECTROLYSIS SYSTEM ELECTROLYSIS ARRAY 1 RECTIFIER SYSTEMS RECTIFIER SYSTEM 1 MEASURING SYSTEMS MEASURING SYSTEM 2 DC ISOLATION MONITORING ALARM SYSTEM - ALARM</v>
      </c>
      <c r="G267" s="29" t="s">
        <v>1614</v>
      </c>
      <c r="H267" s="29" t="s">
        <v>1615</v>
      </c>
      <c r="I267" s="29" t="str">
        <f t="shared" si="24"/>
        <v>01</v>
      </c>
      <c r="J267" s="29" t="s">
        <v>1616</v>
      </c>
      <c r="K267" s="29" t="s">
        <v>1842</v>
      </c>
      <c r="L267" s="29" t="s">
        <v>1843</v>
      </c>
      <c r="M267" s="29" t="s">
        <v>1619</v>
      </c>
      <c r="N267" s="29" t="s">
        <v>1844</v>
      </c>
      <c r="O267" s="29" t="s">
        <v>1845</v>
      </c>
      <c r="P267" s="29" t="s">
        <v>1846</v>
      </c>
      <c r="Q267" s="29" t="s">
        <v>1872</v>
      </c>
      <c r="R267" s="29" t="s">
        <v>1873</v>
      </c>
      <c r="S267" s="29" t="s">
        <v>1857</v>
      </c>
      <c r="T267" s="29" t="s">
        <v>1858</v>
      </c>
      <c r="U267" s="29" t="s">
        <v>1074</v>
      </c>
      <c r="V267" s="29" t="s">
        <v>2664</v>
      </c>
      <c r="W267" s="35" t="s">
        <v>1628</v>
      </c>
      <c r="X267" s="35" t="s">
        <v>1850</v>
      </c>
      <c r="Y267" s="35" t="s">
        <v>1874</v>
      </c>
      <c r="Z267" s="35" t="s">
        <v>1859</v>
      </c>
      <c r="AA267" s="35" t="s">
        <v>2665</v>
      </c>
      <c r="AB267" s="29" t="s">
        <v>1865</v>
      </c>
      <c r="AC267" s="35" t="s">
        <v>1633</v>
      </c>
      <c r="AD267" s="35" t="s">
        <v>1634</v>
      </c>
      <c r="AE267" s="35" t="s">
        <v>1634</v>
      </c>
      <c r="AF267" s="35" t="s">
        <v>1635</v>
      </c>
      <c r="AG267" s="35" t="s">
        <v>1636</v>
      </c>
      <c r="AI267" s="35"/>
      <c r="AJ267" s="35" t="s">
        <v>1637</v>
      </c>
      <c r="AK267" s="35" t="s">
        <v>1672</v>
      </c>
      <c r="AL267" s="29" t="s">
        <v>1860</v>
      </c>
      <c r="AM267" s="35"/>
      <c r="AN267" s="35"/>
      <c r="AO267" s="35"/>
      <c r="AP267" s="35"/>
      <c r="AQ267" s="35"/>
      <c r="AS267" s="35"/>
      <c r="AU267" s="35"/>
      <c r="AW267" s="35"/>
      <c r="AY267" s="35"/>
      <c r="AZ267" s="35"/>
      <c r="BA267" s="35"/>
      <c r="BB267" s="29" t="s">
        <v>2654</v>
      </c>
      <c r="BC267" s="29" t="s">
        <v>2347</v>
      </c>
      <c r="BD267" s="29" t="s">
        <v>2666</v>
      </c>
      <c r="BE267" s="29" t="s">
        <v>1805</v>
      </c>
      <c r="BF267" s="29" t="s">
        <v>1936</v>
      </c>
      <c r="BG267" s="29" t="s">
        <v>2677</v>
      </c>
      <c r="BI267" s="35"/>
      <c r="BJ267" s="35"/>
      <c r="BK267" s="29" t="str" cm="1">
        <f t="array" ref="BK267">_xlfn.UNIQUE(MID(BB267,16,14))</f>
        <v>U012UBB01UC001</v>
      </c>
    </row>
    <row r="268" spans="1:63" x14ac:dyDescent="0.3">
      <c r="A268" s="29" t="s">
        <v>1870</v>
      </c>
      <c r="B268" s="36" t="str">
        <f t="shared" si="20"/>
        <v>G01NHA01BZ002-TF01</v>
      </c>
      <c r="C268" s="33" t="s">
        <v>2678</v>
      </c>
      <c r="D268" s="34" t="str">
        <f t="shared" si="21"/>
        <v>ELY1 RECT1 MEAS2 DC MON1 AL/FLT CODE</v>
      </c>
      <c r="E268" s="31">
        <f t="shared" si="22"/>
        <v>36</v>
      </c>
      <c r="F268" s="32" t="str">
        <f t="shared" si="23"/>
        <v>ELECTROLYSIS SYSTEM ELECTROLYSIS ARRAY 1 RECTIFIER SYSTEMS RECTIFIER SYSTEM 1 MEASURING SYSTEMS MEASURING SYSTEM 2 DC ISOLATION MONITORING ALARM SYSTEM - WARNING</v>
      </c>
      <c r="G268" s="29" t="s">
        <v>1614</v>
      </c>
      <c r="H268" s="29" t="s">
        <v>1615</v>
      </c>
      <c r="I268" s="29" t="str">
        <f t="shared" si="24"/>
        <v>01</v>
      </c>
      <c r="J268" s="29" t="s">
        <v>1616</v>
      </c>
      <c r="K268" s="29" t="s">
        <v>1842</v>
      </c>
      <c r="L268" s="29" t="s">
        <v>1843</v>
      </c>
      <c r="M268" s="29" t="s">
        <v>1619</v>
      </c>
      <c r="N268" s="29" t="s">
        <v>1844</v>
      </c>
      <c r="O268" s="29" t="s">
        <v>1845</v>
      </c>
      <c r="P268" s="29" t="s">
        <v>1846</v>
      </c>
      <c r="Q268" s="29" t="s">
        <v>1872</v>
      </c>
      <c r="R268" s="29" t="s">
        <v>1873</v>
      </c>
      <c r="S268" s="29" t="s">
        <v>1857</v>
      </c>
      <c r="T268" s="29" t="s">
        <v>1858</v>
      </c>
      <c r="U268" s="29" t="s">
        <v>1360</v>
      </c>
      <c r="V268" s="29" t="s">
        <v>2669</v>
      </c>
      <c r="W268" s="35" t="s">
        <v>1628</v>
      </c>
      <c r="X268" s="35" t="s">
        <v>1850</v>
      </c>
      <c r="Y268" s="35" t="s">
        <v>1874</v>
      </c>
      <c r="Z268" s="35" t="s">
        <v>1859</v>
      </c>
      <c r="AA268" s="35" t="s">
        <v>2670</v>
      </c>
      <c r="AB268" s="29" t="s">
        <v>1865</v>
      </c>
      <c r="AC268" s="35" t="s">
        <v>1633</v>
      </c>
      <c r="AD268" s="35" t="s">
        <v>1634</v>
      </c>
      <c r="AE268" s="35" t="s">
        <v>1634</v>
      </c>
      <c r="AF268" s="35" t="s">
        <v>1635</v>
      </c>
      <c r="AG268" s="35" t="s">
        <v>1636</v>
      </c>
      <c r="AI268" s="35"/>
      <c r="AJ268" s="35" t="s">
        <v>1637</v>
      </c>
      <c r="AK268" s="35" t="s">
        <v>1672</v>
      </c>
      <c r="AL268" s="29" t="s">
        <v>1860</v>
      </c>
      <c r="AM268" s="35"/>
      <c r="AN268" s="35"/>
      <c r="AO268" s="35"/>
      <c r="AP268" s="35"/>
      <c r="AQ268" s="35"/>
      <c r="AS268" s="35"/>
      <c r="AU268" s="35"/>
      <c r="AW268" s="35"/>
      <c r="AY268" s="35"/>
      <c r="AZ268" s="35"/>
      <c r="BA268" s="35"/>
      <c r="BB268" s="29" t="s">
        <v>2654</v>
      </c>
      <c r="BC268" s="29" t="s">
        <v>2347</v>
      </c>
      <c r="BD268" s="29" t="s">
        <v>2671</v>
      </c>
      <c r="BE268" s="29" t="s">
        <v>1805</v>
      </c>
      <c r="BF268" s="29" t="s">
        <v>1931</v>
      </c>
      <c r="BG268" s="29" t="s">
        <v>2677</v>
      </c>
      <c r="BI268" s="35"/>
      <c r="BJ268" s="35"/>
      <c r="BK268" s="29" t="str" cm="1">
        <f t="array" ref="BK268">_xlfn.UNIQUE(MID(BB268,16,14))</f>
        <v>U012UBB01UC001</v>
      </c>
    </row>
    <row r="269" spans="1:63" x14ac:dyDescent="0.3">
      <c r="A269" s="29" t="s">
        <v>1878</v>
      </c>
      <c r="B269" s="36" t="str">
        <f t="shared" si="20"/>
        <v>G01NHA01BZ003-BC01</v>
      </c>
      <c r="C269" s="33" t="s">
        <v>2679</v>
      </c>
      <c r="D269" s="34" t="str">
        <f t="shared" si="21"/>
        <v>ELY1 RECT1 MEAS3 CURR1 GRP FLT</v>
      </c>
      <c r="E269" s="31">
        <f t="shared" si="22"/>
        <v>30</v>
      </c>
      <c r="F269" s="32" t="str">
        <f t="shared" si="23"/>
        <v>ELECTROLYSIS SYSTEM ELECTROLYSIS ARRAY 1 RECTIFIER SYSTEMS RECTIFIER SYSTEM 1 MEASURING SYSTEMS MEASURING SYSTEM 3 DC CURRENT MEASUREMENT GROUP FAULT ALARM</v>
      </c>
      <c r="G269" s="29" t="s">
        <v>1614</v>
      </c>
      <c r="H269" s="29" t="s">
        <v>1615</v>
      </c>
      <c r="I269" s="29" t="str">
        <f t="shared" si="24"/>
        <v>01</v>
      </c>
      <c r="J269" s="29" t="s">
        <v>1616</v>
      </c>
      <c r="K269" s="29" t="s">
        <v>1842</v>
      </c>
      <c r="L269" s="29" t="s">
        <v>1843</v>
      </c>
      <c r="M269" s="29" t="s">
        <v>1619</v>
      </c>
      <c r="N269" s="29" t="s">
        <v>1844</v>
      </c>
      <c r="O269" s="29" t="s">
        <v>1845</v>
      </c>
      <c r="P269" s="29" t="s">
        <v>1846</v>
      </c>
      <c r="Q269" s="29" t="s">
        <v>1830</v>
      </c>
      <c r="R269" s="29" t="s">
        <v>1880</v>
      </c>
      <c r="S269" s="29" t="s">
        <v>1848</v>
      </c>
      <c r="T269" s="29" t="s">
        <v>1849</v>
      </c>
      <c r="U269" s="29" t="s">
        <v>1033</v>
      </c>
      <c r="V269" s="29" t="s">
        <v>1288</v>
      </c>
      <c r="W269" s="35" t="s">
        <v>1628</v>
      </c>
      <c r="X269" s="35" t="s">
        <v>1850</v>
      </c>
      <c r="Y269" s="35" t="s">
        <v>1881</v>
      </c>
      <c r="Z269" s="35" t="s">
        <v>1852</v>
      </c>
      <c r="AA269" s="35" t="s">
        <v>2633</v>
      </c>
      <c r="AB269" s="29" t="s">
        <v>2653</v>
      </c>
      <c r="AC269" s="35" t="s">
        <v>1633</v>
      </c>
      <c r="AD269" s="35" t="s">
        <v>1634</v>
      </c>
      <c r="AE269" s="35" t="s">
        <v>1634</v>
      </c>
      <c r="AF269" s="35" t="s">
        <v>1635</v>
      </c>
      <c r="AG269" s="35" t="s">
        <v>2634</v>
      </c>
      <c r="AI269" s="35"/>
      <c r="AJ269" s="35" t="s">
        <v>1637</v>
      </c>
      <c r="AK269" s="35" t="s">
        <v>1672</v>
      </c>
      <c r="AL269" s="29" t="s">
        <v>1853</v>
      </c>
      <c r="AM269" s="35"/>
      <c r="AN269" s="35"/>
      <c r="AO269" s="35"/>
      <c r="AP269" s="35"/>
      <c r="AQ269" s="35"/>
      <c r="AS269" s="35"/>
      <c r="AU269" s="35"/>
      <c r="AW269" s="35"/>
      <c r="AY269" s="35"/>
      <c r="AZ269" s="35"/>
      <c r="BA269" s="35"/>
      <c r="BB269" s="29" t="s">
        <v>2680</v>
      </c>
      <c r="BC269" s="29" t="s">
        <v>2347</v>
      </c>
      <c r="BD269" s="29" t="s">
        <v>2635</v>
      </c>
      <c r="BE269" s="29" t="s">
        <v>1805</v>
      </c>
      <c r="BF269" s="29" t="s">
        <v>1619</v>
      </c>
      <c r="BG269" s="29" t="s">
        <v>2681</v>
      </c>
      <c r="BI269" s="35"/>
      <c r="BJ269" s="35"/>
      <c r="BK269" s="29" t="str" cm="1">
        <f t="array" ref="BK269">_xlfn.UNIQUE(MID(BB269,16,14))</f>
        <v>U012UBB01UC002</v>
      </c>
    </row>
    <row r="270" spans="1:63" x14ac:dyDescent="0.3">
      <c r="A270" s="29" t="s">
        <v>1878</v>
      </c>
      <c r="B270" s="36" t="str">
        <f t="shared" si="20"/>
        <v>G01NHA01BZ003-FC01</v>
      </c>
      <c r="C270" s="33" t="s">
        <v>2682</v>
      </c>
      <c r="D270" s="34" t="str">
        <f t="shared" si="21"/>
        <v>ELY1 RECT1 MEAS3 24V MON1 GRP FLT</v>
      </c>
      <c r="E270" s="31">
        <f t="shared" si="22"/>
        <v>33</v>
      </c>
      <c r="F270" s="32" t="str">
        <f t="shared" si="23"/>
        <v>ELECTROLYSIS SYSTEM ELECTROLYSIS ARRAY 1 RECTIFIER SYSTEMS RECTIFIER SYSTEM 1 MEASURING SYSTEMS MEASURING SYSTEM 3 24VDC DISTRIBUTION GROUP FAULT ALARM</v>
      </c>
      <c r="G270" s="29" t="s">
        <v>1614</v>
      </c>
      <c r="H270" s="29" t="s">
        <v>1615</v>
      </c>
      <c r="I270" s="29" t="str">
        <f t="shared" si="24"/>
        <v>01</v>
      </c>
      <c r="J270" s="29" t="s">
        <v>1616</v>
      </c>
      <c r="K270" s="29" t="s">
        <v>1842</v>
      </c>
      <c r="L270" s="29" t="s">
        <v>1843</v>
      </c>
      <c r="M270" s="29" t="s">
        <v>1619</v>
      </c>
      <c r="N270" s="29" t="s">
        <v>1844</v>
      </c>
      <c r="O270" s="29" t="s">
        <v>1845</v>
      </c>
      <c r="P270" s="29" t="s">
        <v>1846</v>
      </c>
      <c r="Q270" s="29" t="s">
        <v>1830</v>
      </c>
      <c r="R270" s="29" t="s">
        <v>1880</v>
      </c>
      <c r="S270" s="29" t="s">
        <v>2657</v>
      </c>
      <c r="T270" s="29" t="s">
        <v>2658</v>
      </c>
      <c r="U270" s="29" t="s">
        <v>1033</v>
      </c>
      <c r="V270" s="29" t="s">
        <v>1288</v>
      </c>
      <c r="W270" s="35" t="s">
        <v>1628</v>
      </c>
      <c r="X270" s="35" t="s">
        <v>1850</v>
      </c>
      <c r="Y270" s="35" t="s">
        <v>1881</v>
      </c>
      <c r="Z270" s="35" t="s">
        <v>2659</v>
      </c>
      <c r="AA270" s="35" t="s">
        <v>2633</v>
      </c>
      <c r="AB270" s="29" t="s">
        <v>1865</v>
      </c>
      <c r="AC270" s="35" t="s">
        <v>1633</v>
      </c>
      <c r="AD270" s="35" t="s">
        <v>1634</v>
      </c>
      <c r="AE270" s="35" t="s">
        <v>1634</v>
      </c>
      <c r="AF270" s="35" t="s">
        <v>1635</v>
      </c>
      <c r="AG270" s="35" t="s">
        <v>2660</v>
      </c>
      <c r="AI270" s="35"/>
      <c r="AJ270" s="35" t="s">
        <v>1637</v>
      </c>
      <c r="AK270" s="35" t="s">
        <v>1672</v>
      </c>
      <c r="AL270" s="29" t="s">
        <v>2661</v>
      </c>
      <c r="AM270" s="35"/>
      <c r="AN270" s="35"/>
      <c r="AO270" s="35"/>
      <c r="AP270" s="35"/>
      <c r="AQ270" s="35"/>
      <c r="AS270" s="35"/>
      <c r="AU270" s="35"/>
      <c r="AW270" s="35"/>
      <c r="AY270" s="35"/>
      <c r="AZ270" s="35"/>
      <c r="BA270" s="35"/>
      <c r="BB270" s="29" t="s">
        <v>2680</v>
      </c>
      <c r="BC270" s="29" t="s">
        <v>2347</v>
      </c>
      <c r="BD270" s="29" t="s">
        <v>2635</v>
      </c>
      <c r="BE270" s="29" t="s">
        <v>1805</v>
      </c>
      <c r="BF270" s="29" t="s">
        <v>1905</v>
      </c>
      <c r="BG270" s="29" t="s">
        <v>2683</v>
      </c>
      <c r="BI270" s="35"/>
      <c r="BJ270" s="35"/>
      <c r="BK270" s="29" t="str" cm="1">
        <f t="array" ref="BK270">_xlfn.UNIQUE(MID(BB270,16,14))</f>
        <v>U012UBB01UC002</v>
      </c>
    </row>
    <row r="271" spans="1:63" x14ac:dyDescent="0.3">
      <c r="A271" s="29" t="s">
        <v>1878</v>
      </c>
      <c r="B271" s="36" t="str">
        <f t="shared" si="20"/>
        <v>G01NHA01BZ003-TF01</v>
      </c>
      <c r="C271" s="33" t="s">
        <v>2684</v>
      </c>
      <c r="D271" s="34" t="str">
        <f t="shared" si="21"/>
        <v>ELY1 RECT1 MEAS3 DC MON1 WARN CODE</v>
      </c>
      <c r="E271" s="31">
        <f t="shared" si="22"/>
        <v>34</v>
      </c>
      <c r="F271" s="32" t="str">
        <f t="shared" si="23"/>
        <v>ELECTROLYSIS SYSTEM ELECTROLYSIS ARRAY 1 RECTIFIER SYSTEMS RECTIFIER SYSTEM 1 MEASURING SYSTEMS MEASURING SYSTEM 3 DC ISOLATION MONITORING ALARM SYSTEM - ALARM</v>
      </c>
      <c r="G271" s="29" t="s">
        <v>1614</v>
      </c>
      <c r="H271" s="29" t="s">
        <v>1615</v>
      </c>
      <c r="I271" s="29" t="str">
        <f t="shared" si="24"/>
        <v>01</v>
      </c>
      <c r="J271" s="29" t="s">
        <v>1616</v>
      </c>
      <c r="K271" s="29" t="s">
        <v>1842</v>
      </c>
      <c r="L271" s="29" t="s">
        <v>1843</v>
      </c>
      <c r="M271" s="29" t="s">
        <v>1619</v>
      </c>
      <c r="N271" s="29" t="s">
        <v>1844</v>
      </c>
      <c r="O271" s="29" t="s">
        <v>1845</v>
      </c>
      <c r="P271" s="29" t="s">
        <v>1846</v>
      </c>
      <c r="Q271" s="29" t="s">
        <v>1830</v>
      </c>
      <c r="R271" s="29" t="s">
        <v>1880</v>
      </c>
      <c r="S271" s="29" t="s">
        <v>1857</v>
      </c>
      <c r="T271" s="29" t="s">
        <v>1858</v>
      </c>
      <c r="U271" s="29" t="s">
        <v>1074</v>
      </c>
      <c r="V271" s="29" t="s">
        <v>2664</v>
      </c>
      <c r="W271" s="35" t="s">
        <v>1628</v>
      </c>
      <c r="X271" s="35" t="s">
        <v>1850</v>
      </c>
      <c r="Y271" s="35" t="s">
        <v>1881</v>
      </c>
      <c r="Z271" s="35" t="s">
        <v>1859</v>
      </c>
      <c r="AA271" s="35" t="s">
        <v>2665</v>
      </c>
      <c r="AB271" s="29" t="s">
        <v>1865</v>
      </c>
      <c r="AC271" s="35" t="s">
        <v>1633</v>
      </c>
      <c r="AD271" s="35" t="s">
        <v>1634</v>
      </c>
      <c r="AE271" s="35" t="s">
        <v>1634</v>
      </c>
      <c r="AF271" s="35" t="s">
        <v>1635</v>
      </c>
      <c r="AG271" s="35" t="s">
        <v>1636</v>
      </c>
      <c r="AI271" s="35"/>
      <c r="AJ271" s="35" t="s">
        <v>1637</v>
      </c>
      <c r="AK271" s="35" t="s">
        <v>1672</v>
      </c>
      <c r="AL271" s="29" t="s">
        <v>1860</v>
      </c>
      <c r="AM271" s="35"/>
      <c r="AN271" s="35"/>
      <c r="AO271" s="35"/>
      <c r="AP271" s="35"/>
      <c r="AQ271" s="35"/>
      <c r="AS271" s="35"/>
      <c r="AU271" s="35"/>
      <c r="AW271" s="35"/>
      <c r="AY271" s="35"/>
      <c r="AZ271" s="35"/>
      <c r="BA271" s="35"/>
      <c r="BB271" s="29" t="s">
        <v>2680</v>
      </c>
      <c r="BC271" s="29" t="s">
        <v>2347</v>
      </c>
      <c r="BD271" s="29" t="s">
        <v>2666</v>
      </c>
      <c r="BE271" s="29" t="s">
        <v>1805</v>
      </c>
      <c r="BF271" s="29" t="s">
        <v>1915</v>
      </c>
      <c r="BG271" s="29" t="s">
        <v>2685</v>
      </c>
      <c r="BI271" s="35"/>
      <c r="BJ271" s="35"/>
      <c r="BK271" s="29" t="str" cm="1">
        <f t="array" ref="BK271">_xlfn.UNIQUE(MID(BB271,16,14))</f>
        <v>U012UBB01UC002</v>
      </c>
    </row>
    <row r="272" spans="1:63" x14ac:dyDescent="0.3">
      <c r="A272" s="29" t="s">
        <v>1878</v>
      </c>
      <c r="B272" s="36" t="str">
        <f t="shared" si="20"/>
        <v>G01NHA01BZ003-TF01</v>
      </c>
      <c r="C272" s="33" t="s">
        <v>2686</v>
      </c>
      <c r="D272" s="34" t="str">
        <f t="shared" si="21"/>
        <v>ELY1 RECT1 MEAS3 DC MON1 AL/FLT CODE</v>
      </c>
      <c r="E272" s="31">
        <f t="shared" si="22"/>
        <v>36</v>
      </c>
      <c r="F272" s="32" t="str">
        <f t="shared" si="23"/>
        <v>ELECTROLYSIS SYSTEM ELECTROLYSIS ARRAY 1 RECTIFIER SYSTEMS RECTIFIER SYSTEM 1 MEASURING SYSTEMS MEASURING SYSTEM 3 DC ISOLATION MONITORING ALARM SYSTEM - WARNING</v>
      </c>
      <c r="G272" s="29" t="s">
        <v>1614</v>
      </c>
      <c r="H272" s="29" t="s">
        <v>1615</v>
      </c>
      <c r="I272" s="29" t="str">
        <f t="shared" si="24"/>
        <v>01</v>
      </c>
      <c r="J272" s="29" t="s">
        <v>1616</v>
      </c>
      <c r="K272" s="29" t="s">
        <v>1842</v>
      </c>
      <c r="L272" s="29" t="s">
        <v>1843</v>
      </c>
      <c r="M272" s="29" t="s">
        <v>1619</v>
      </c>
      <c r="N272" s="29" t="s">
        <v>1844</v>
      </c>
      <c r="O272" s="29" t="s">
        <v>1845</v>
      </c>
      <c r="P272" s="29" t="s">
        <v>1846</v>
      </c>
      <c r="Q272" s="29" t="s">
        <v>1830</v>
      </c>
      <c r="R272" s="29" t="s">
        <v>1880</v>
      </c>
      <c r="S272" s="29" t="s">
        <v>1857</v>
      </c>
      <c r="T272" s="29" t="s">
        <v>1858</v>
      </c>
      <c r="U272" s="29" t="s">
        <v>1360</v>
      </c>
      <c r="V272" s="29" t="s">
        <v>2669</v>
      </c>
      <c r="W272" s="35" t="s">
        <v>1628</v>
      </c>
      <c r="X272" s="35" t="s">
        <v>1850</v>
      </c>
      <c r="Y272" s="35" t="s">
        <v>1881</v>
      </c>
      <c r="Z272" s="35" t="s">
        <v>1859</v>
      </c>
      <c r="AA272" s="35" t="s">
        <v>2670</v>
      </c>
      <c r="AB272" s="29" t="s">
        <v>1865</v>
      </c>
      <c r="AC272" s="35" t="s">
        <v>1633</v>
      </c>
      <c r="AD272" s="35" t="s">
        <v>1634</v>
      </c>
      <c r="AE272" s="35" t="s">
        <v>1634</v>
      </c>
      <c r="AF272" s="35" t="s">
        <v>1635</v>
      </c>
      <c r="AG272" s="35" t="s">
        <v>1636</v>
      </c>
      <c r="AI272" s="35"/>
      <c r="AJ272" s="35" t="s">
        <v>1637</v>
      </c>
      <c r="AK272" s="35" t="s">
        <v>1672</v>
      </c>
      <c r="AL272" s="29" t="s">
        <v>1860</v>
      </c>
      <c r="AM272" s="35"/>
      <c r="AN272" s="35"/>
      <c r="AO272" s="35"/>
      <c r="AP272" s="35"/>
      <c r="AQ272" s="35"/>
      <c r="AS272" s="35"/>
      <c r="AU272" s="35"/>
      <c r="AW272" s="35"/>
      <c r="AY272" s="35"/>
      <c r="AZ272" s="35"/>
      <c r="BA272" s="35"/>
      <c r="BB272" s="29" t="s">
        <v>2680</v>
      </c>
      <c r="BC272" s="29" t="s">
        <v>2347</v>
      </c>
      <c r="BD272" s="29" t="s">
        <v>2671</v>
      </c>
      <c r="BE272" s="29" t="s">
        <v>1805</v>
      </c>
      <c r="BF272" s="29" t="s">
        <v>1909</v>
      </c>
      <c r="BG272" s="29" t="s">
        <v>2685</v>
      </c>
      <c r="BI272" s="35"/>
      <c r="BJ272" s="35"/>
      <c r="BK272" s="29" t="str" cm="1">
        <f t="array" ref="BK272">_xlfn.UNIQUE(MID(BB272,16,14))</f>
        <v>U012UBB01UC002</v>
      </c>
    </row>
    <row r="273" spans="1:63" x14ac:dyDescent="0.3">
      <c r="A273" s="29" t="s">
        <v>1885</v>
      </c>
      <c r="B273" s="36" t="str">
        <f t="shared" si="20"/>
        <v>G01NHA01BZ004-BC01</v>
      </c>
      <c r="C273" s="33" t="s">
        <v>2687</v>
      </c>
      <c r="D273" s="34" t="str">
        <f t="shared" si="21"/>
        <v>ELY1 RECT1 MEAS4 CURR1 GRP FLT</v>
      </c>
      <c r="E273" s="31">
        <f t="shared" si="22"/>
        <v>30</v>
      </c>
      <c r="F273" s="32" t="str">
        <f t="shared" si="23"/>
        <v>ELECTROLYSIS SYSTEM ELECTROLYSIS ARRAY 1 RECTIFIER SYSTEMS RECTIFIER SYSTEM 1 MEASURING SYSTEMS MEASURING SYSTEM 4 DC CURRENT MEASUREMENT GROUP FAULT ALARM</v>
      </c>
      <c r="G273" s="29" t="s">
        <v>1614</v>
      </c>
      <c r="H273" s="29" t="s">
        <v>1615</v>
      </c>
      <c r="I273" s="29" t="str">
        <f t="shared" si="24"/>
        <v>01</v>
      </c>
      <c r="J273" s="29" t="s">
        <v>1616</v>
      </c>
      <c r="K273" s="29" t="s">
        <v>1842</v>
      </c>
      <c r="L273" s="29" t="s">
        <v>1843</v>
      </c>
      <c r="M273" s="29" t="s">
        <v>1619</v>
      </c>
      <c r="N273" s="29" t="s">
        <v>1844</v>
      </c>
      <c r="O273" s="29" t="s">
        <v>1845</v>
      </c>
      <c r="P273" s="29" t="s">
        <v>1846</v>
      </c>
      <c r="Q273" s="29" t="s">
        <v>1838</v>
      </c>
      <c r="R273" s="29" t="s">
        <v>1887</v>
      </c>
      <c r="S273" s="29" t="s">
        <v>1848</v>
      </c>
      <c r="T273" s="29" t="s">
        <v>1849</v>
      </c>
      <c r="U273" s="29" t="s">
        <v>1033</v>
      </c>
      <c r="V273" s="29" t="s">
        <v>1288</v>
      </c>
      <c r="W273" s="35" t="s">
        <v>1628</v>
      </c>
      <c r="X273" s="35" t="s">
        <v>1850</v>
      </c>
      <c r="Y273" s="35" t="s">
        <v>1888</v>
      </c>
      <c r="Z273" s="35" t="s">
        <v>1852</v>
      </c>
      <c r="AA273" s="35" t="s">
        <v>2633</v>
      </c>
      <c r="AB273" s="29" t="s">
        <v>2653</v>
      </c>
      <c r="AC273" s="35" t="s">
        <v>1633</v>
      </c>
      <c r="AD273" s="35" t="s">
        <v>1634</v>
      </c>
      <c r="AE273" s="35" t="s">
        <v>1634</v>
      </c>
      <c r="AF273" s="35" t="s">
        <v>1635</v>
      </c>
      <c r="AG273" s="35" t="s">
        <v>1636</v>
      </c>
      <c r="AI273" s="35"/>
      <c r="AJ273" s="35" t="s">
        <v>1637</v>
      </c>
      <c r="AK273" s="35" t="s">
        <v>1672</v>
      </c>
      <c r="AL273" s="29" t="s">
        <v>1853</v>
      </c>
      <c r="AM273" s="35"/>
      <c r="AN273" s="35"/>
      <c r="AO273" s="35"/>
      <c r="AP273" s="35"/>
      <c r="AQ273" s="35"/>
      <c r="AS273" s="35"/>
      <c r="AU273" s="35"/>
      <c r="AW273" s="35"/>
      <c r="AY273" s="35"/>
      <c r="AZ273" s="35"/>
      <c r="BA273" s="35"/>
      <c r="BB273" s="29" t="s">
        <v>2680</v>
      </c>
      <c r="BC273" s="29" t="s">
        <v>2347</v>
      </c>
      <c r="BD273" s="29" t="s">
        <v>2635</v>
      </c>
      <c r="BE273" s="29" t="s">
        <v>1805</v>
      </c>
      <c r="BF273" s="29" t="s">
        <v>1919</v>
      </c>
      <c r="BG273" s="29" t="s">
        <v>2688</v>
      </c>
      <c r="BI273" s="35"/>
      <c r="BJ273" s="35"/>
      <c r="BK273" s="29" t="str" cm="1">
        <f t="array" ref="BK273">_xlfn.UNIQUE(MID(BB273,16,14))</f>
        <v>U012UBB01UC002</v>
      </c>
    </row>
    <row r="274" spans="1:63" x14ac:dyDescent="0.3">
      <c r="A274" s="29" t="s">
        <v>1885</v>
      </c>
      <c r="B274" s="36" t="str">
        <f t="shared" si="20"/>
        <v>G01NHA01BZ004-FC01</v>
      </c>
      <c r="C274" s="33" t="s">
        <v>2689</v>
      </c>
      <c r="D274" s="34" t="str">
        <f t="shared" si="21"/>
        <v>ELY1 RECT1 MEAS4 24V MON1 GRP FLT</v>
      </c>
      <c r="E274" s="31">
        <f t="shared" si="22"/>
        <v>33</v>
      </c>
      <c r="F274" s="32" t="str">
        <f t="shared" si="23"/>
        <v>ELECTROLYSIS SYSTEM ELECTROLYSIS ARRAY 1 RECTIFIER SYSTEMS RECTIFIER SYSTEM 1 MEASURING SYSTEMS MEASURING SYSTEM 4 24VDC DISTRIBUTION GROUP FAULT ALARM</v>
      </c>
      <c r="G274" s="29" t="s">
        <v>1614</v>
      </c>
      <c r="H274" s="29" t="s">
        <v>1615</v>
      </c>
      <c r="I274" s="29" t="str">
        <f t="shared" si="24"/>
        <v>01</v>
      </c>
      <c r="J274" s="29" t="s">
        <v>1616</v>
      </c>
      <c r="K274" s="29" t="s">
        <v>1842</v>
      </c>
      <c r="L274" s="29" t="s">
        <v>1843</v>
      </c>
      <c r="M274" s="29" t="s">
        <v>1619</v>
      </c>
      <c r="N274" s="29" t="s">
        <v>1844</v>
      </c>
      <c r="O274" s="29" t="s">
        <v>1845</v>
      </c>
      <c r="P274" s="29" t="s">
        <v>1846</v>
      </c>
      <c r="Q274" s="29" t="s">
        <v>1838</v>
      </c>
      <c r="R274" s="29" t="s">
        <v>1887</v>
      </c>
      <c r="S274" s="29" t="s">
        <v>2657</v>
      </c>
      <c r="T274" s="29" t="s">
        <v>2658</v>
      </c>
      <c r="U274" s="29" t="s">
        <v>1033</v>
      </c>
      <c r="V274" s="29" t="s">
        <v>1288</v>
      </c>
      <c r="W274" s="35" t="s">
        <v>1628</v>
      </c>
      <c r="X274" s="35" t="s">
        <v>1850</v>
      </c>
      <c r="Y274" s="35" t="s">
        <v>1888</v>
      </c>
      <c r="Z274" s="35" t="s">
        <v>2659</v>
      </c>
      <c r="AA274" s="35" t="s">
        <v>2633</v>
      </c>
      <c r="AB274" s="29" t="s">
        <v>1865</v>
      </c>
      <c r="AC274" s="35" t="s">
        <v>1633</v>
      </c>
      <c r="AD274" s="35" t="s">
        <v>1634</v>
      </c>
      <c r="AE274" s="35" t="s">
        <v>1634</v>
      </c>
      <c r="AF274" s="35" t="s">
        <v>1635</v>
      </c>
      <c r="AG274" s="35" t="s">
        <v>2660</v>
      </c>
      <c r="AI274" s="35"/>
      <c r="AJ274" s="35" t="s">
        <v>1637</v>
      </c>
      <c r="AK274" s="35" t="s">
        <v>1672</v>
      </c>
      <c r="AL274" s="29" t="s">
        <v>2661</v>
      </c>
      <c r="AM274" s="35"/>
      <c r="AN274" s="35"/>
      <c r="AO274" s="35"/>
      <c r="AP274" s="35"/>
      <c r="AQ274" s="35"/>
      <c r="AS274" s="35"/>
      <c r="AU274" s="35"/>
      <c r="AW274" s="35"/>
      <c r="AY274" s="35"/>
      <c r="AZ274" s="35"/>
      <c r="BA274" s="35"/>
      <c r="BB274" s="29" t="s">
        <v>2680</v>
      </c>
      <c r="BC274" s="29" t="s">
        <v>2347</v>
      </c>
      <c r="BD274" s="29" t="s">
        <v>2635</v>
      </c>
      <c r="BE274" s="29" t="s">
        <v>1805</v>
      </c>
      <c r="BF274" s="29" t="s">
        <v>1922</v>
      </c>
      <c r="BG274" s="29" t="s">
        <v>2690</v>
      </c>
      <c r="BI274" s="35"/>
      <c r="BJ274" s="35"/>
      <c r="BK274" s="29" t="str" cm="1">
        <f t="array" ref="BK274">_xlfn.UNIQUE(MID(BB274,16,14))</f>
        <v>U012UBB01UC002</v>
      </c>
    </row>
    <row r="275" spans="1:63" x14ac:dyDescent="0.3">
      <c r="A275" s="29" t="s">
        <v>1885</v>
      </c>
      <c r="B275" s="36" t="str">
        <f t="shared" si="20"/>
        <v>G01NHA01BZ004-TF01</v>
      </c>
      <c r="C275" s="33" t="s">
        <v>2691</v>
      </c>
      <c r="D275" s="34" t="str">
        <f t="shared" si="21"/>
        <v>ELY1 RECT1 MEAS4 DC MON1 WARN CODE</v>
      </c>
      <c r="E275" s="31">
        <f t="shared" si="22"/>
        <v>34</v>
      </c>
      <c r="F275" s="32" t="str">
        <f t="shared" si="23"/>
        <v>ELECTROLYSIS SYSTEM ELECTROLYSIS ARRAY 1 RECTIFIER SYSTEMS RECTIFIER SYSTEM 1 MEASURING SYSTEMS MEASURING SYSTEM 4 DC ISOLATION MONITORING ALARM SYSTEM - ALARM</v>
      </c>
      <c r="G275" s="29" t="s">
        <v>1614</v>
      </c>
      <c r="H275" s="29" t="s">
        <v>1615</v>
      </c>
      <c r="I275" s="29" t="str">
        <f t="shared" si="24"/>
        <v>01</v>
      </c>
      <c r="J275" s="29" t="s">
        <v>1616</v>
      </c>
      <c r="K275" s="29" t="s">
        <v>1842</v>
      </c>
      <c r="L275" s="29" t="s">
        <v>1843</v>
      </c>
      <c r="M275" s="29" t="s">
        <v>1619</v>
      </c>
      <c r="N275" s="29" t="s">
        <v>1844</v>
      </c>
      <c r="O275" s="29" t="s">
        <v>1845</v>
      </c>
      <c r="P275" s="29" t="s">
        <v>1846</v>
      </c>
      <c r="Q275" s="29" t="s">
        <v>1838</v>
      </c>
      <c r="R275" s="29" t="s">
        <v>1887</v>
      </c>
      <c r="S275" s="29" t="s">
        <v>1857</v>
      </c>
      <c r="T275" s="29" t="s">
        <v>1858</v>
      </c>
      <c r="U275" s="29" t="s">
        <v>1074</v>
      </c>
      <c r="V275" s="29" t="s">
        <v>2664</v>
      </c>
      <c r="W275" s="35" t="s">
        <v>1628</v>
      </c>
      <c r="X275" s="35" t="s">
        <v>1850</v>
      </c>
      <c r="Y275" s="35" t="s">
        <v>1888</v>
      </c>
      <c r="Z275" s="35" t="s">
        <v>1859</v>
      </c>
      <c r="AA275" s="35" t="s">
        <v>2665</v>
      </c>
      <c r="AB275" s="29" t="s">
        <v>1865</v>
      </c>
      <c r="AC275" s="35" t="s">
        <v>1633</v>
      </c>
      <c r="AD275" s="35" t="s">
        <v>1634</v>
      </c>
      <c r="AE275" s="35" t="s">
        <v>1634</v>
      </c>
      <c r="AF275" s="35" t="s">
        <v>1635</v>
      </c>
      <c r="AG275" s="35" t="s">
        <v>1636</v>
      </c>
      <c r="AI275" s="35"/>
      <c r="AJ275" s="35" t="s">
        <v>1637</v>
      </c>
      <c r="AK275" s="35" t="s">
        <v>1672</v>
      </c>
      <c r="AL275" s="29" t="s">
        <v>1860</v>
      </c>
      <c r="AM275" s="35"/>
      <c r="AN275" s="35"/>
      <c r="AO275" s="35"/>
      <c r="AP275" s="35"/>
      <c r="AQ275" s="35"/>
      <c r="AS275" s="35"/>
      <c r="AU275" s="35"/>
      <c r="AW275" s="35"/>
      <c r="AY275" s="35"/>
      <c r="AZ275" s="35"/>
      <c r="BA275" s="35"/>
      <c r="BB275" s="29" t="s">
        <v>2680</v>
      </c>
      <c r="BC275" s="29" t="s">
        <v>2347</v>
      </c>
      <c r="BD275" s="29" t="s">
        <v>2666</v>
      </c>
      <c r="BE275" s="29" t="s">
        <v>1805</v>
      </c>
      <c r="BF275" s="29" t="s">
        <v>1936</v>
      </c>
      <c r="BG275" s="29" t="s">
        <v>2692</v>
      </c>
      <c r="BI275" s="35"/>
      <c r="BJ275" s="35"/>
      <c r="BK275" s="29" t="str" cm="1">
        <f t="array" ref="BK275">_xlfn.UNIQUE(MID(BB275,16,14))</f>
        <v>U012UBB01UC002</v>
      </c>
    </row>
    <row r="276" spans="1:63" x14ac:dyDescent="0.3">
      <c r="A276" s="29" t="s">
        <v>1885</v>
      </c>
      <c r="B276" s="36" t="str">
        <f t="shared" si="20"/>
        <v>G01NHA01BZ004-TF01</v>
      </c>
      <c r="C276" s="33" t="s">
        <v>2693</v>
      </c>
      <c r="D276" s="34" t="str">
        <f t="shared" si="21"/>
        <v>ELY1 RECT1 MEAS4 DC MON1 AL/FLT CODE</v>
      </c>
      <c r="E276" s="31">
        <f t="shared" si="22"/>
        <v>36</v>
      </c>
      <c r="F276" s="32" t="str">
        <f t="shared" si="23"/>
        <v>ELECTROLYSIS SYSTEM ELECTROLYSIS ARRAY 1 RECTIFIER SYSTEMS RECTIFIER SYSTEM 1 MEASURING SYSTEMS MEASURING SYSTEM 4 DC ISOLATION MONITORING ALARM SYSTEM - WARNING</v>
      </c>
      <c r="G276" s="29" t="s">
        <v>1614</v>
      </c>
      <c r="H276" s="29" t="s">
        <v>1615</v>
      </c>
      <c r="I276" s="29" t="str">
        <f t="shared" si="24"/>
        <v>01</v>
      </c>
      <c r="J276" s="29" t="s">
        <v>1616</v>
      </c>
      <c r="K276" s="29" t="s">
        <v>1842</v>
      </c>
      <c r="L276" s="29" t="s">
        <v>1843</v>
      </c>
      <c r="M276" s="29" t="s">
        <v>1619</v>
      </c>
      <c r="N276" s="29" t="s">
        <v>1844</v>
      </c>
      <c r="O276" s="29" t="s">
        <v>1845</v>
      </c>
      <c r="P276" s="29" t="s">
        <v>1846</v>
      </c>
      <c r="Q276" s="29" t="s">
        <v>1838</v>
      </c>
      <c r="R276" s="29" t="s">
        <v>1887</v>
      </c>
      <c r="S276" s="29" t="s">
        <v>1857</v>
      </c>
      <c r="T276" s="29" t="s">
        <v>1858</v>
      </c>
      <c r="U276" s="29" t="s">
        <v>1360</v>
      </c>
      <c r="V276" s="29" t="s">
        <v>2669</v>
      </c>
      <c r="W276" s="35" t="s">
        <v>1628</v>
      </c>
      <c r="X276" s="35" t="s">
        <v>1850</v>
      </c>
      <c r="Y276" s="35" t="s">
        <v>1888</v>
      </c>
      <c r="Z276" s="35" t="s">
        <v>1859</v>
      </c>
      <c r="AA276" s="35" t="s">
        <v>2670</v>
      </c>
      <c r="AB276" s="29" t="s">
        <v>1865</v>
      </c>
      <c r="AC276" s="35" t="s">
        <v>1633</v>
      </c>
      <c r="AD276" s="35" t="s">
        <v>1634</v>
      </c>
      <c r="AE276" s="35" t="s">
        <v>1634</v>
      </c>
      <c r="AF276" s="35" t="s">
        <v>1635</v>
      </c>
      <c r="AG276" s="35" t="s">
        <v>1636</v>
      </c>
      <c r="AI276" s="35"/>
      <c r="AJ276" s="35" t="s">
        <v>1637</v>
      </c>
      <c r="AK276" s="35" t="s">
        <v>1672</v>
      </c>
      <c r="AL276" s="29" t="s">
        <v>1860</v>
      </c>
      <c r="AM276" s="35"/>
      <c r="AN276" s="35"/>
      <c r="AO276" s="35"/>
      <c r="AP276" s="35"/>
      <c r="AQ276" s="35"/>
      <c r="AS276" s="35"/>
      <c r="AU276" s="35"/>
      <c r="AW276" s="35"/>
      <c r="AY276" s="35"/>
      <c r="AZ276" s="35"/>
      <c r="BA276" s="35"/>
      <c r="BB276" s="29" t="s">
        <v>2680</v>
      </c>
      <c r="BC276" s="29" t="s">
        <v>2347</v>
      </c>
      <c r="BD276" s="29" t="s">
        <v>2671</v>
      </c>
      <c r="BE276" s="29" t="s">
        <v>1805</v>
      </c>
      <c r="BF276" s="29" t="s">
        <v>1931</v>
      </c>
      <c r="BG276" s="29" t="s">
        <v>2692</v>
      </c>
      <c r="BI276" s="35"/>
      <c r="BJ276" s="35"/>
      <c r="BK276" s="29" t="str" cm="1">
        <f t="array" ref="BK276">_xlfn.UNIQUE(MID(BB276,16,14))</f>
        <v>U012UBB01UC002</v>
      </c>
    </row>
    <row r="277" spans="1:63" x14ac:dyDescent="0.3">
      <c r="A277" s="29" t="s">
        <v>1892</v>
      </c>
      <c r="B277" s="36" t="str">
        <f t="shared" si="20"/>
        <v>G01NHA01EQ001-GP01</v>
      </c>
      <c r="C277" s="33" t="s">
        <v>2694</v>
      </c>
      <c r="D277" s="34" t="str">
        <f t="shared" si="21"/>
        <v>ELY1 RECT1 COOL PMP1 CHECK CMD</v>
      </c>
      <c r="E277" s="31">
        <f t="shared" si="22"/>
        <v>30</v>
      </c>
      <c r="F277" s="32" t="str">
        <f t="shared" si="23"/>
        <v>ELECTROLYSIS SYSTEM ELECTROLYSIS ARRAY 1 RECTIFIER SYSTEMS RECTIFIER SYSTEM 1 COOLING SYSTEMS RECTIFIER COOLING SYSTEM PUMP, GENERAL CHECK COMMAND</v>
      </c>
      <c r="G277" s="29" t="s">
        <v>1614</v>
      </c>
      <c r="H277" s="29" t="s">
        <v>1615</v>
      </c>
      <c r="I277" s="29" t="str">
        <f t="shared" si="24"/>
        <v>01</v>
      </c>
      <c r="J277" s="29" t="s">
        <v>1616</v>
      </c>
      <c r="K277" s="29" t="s">
        <v>1842</v>
      </c>
      <c r="L277" s="29" t="s">
        <v>1843</v>
      </c>
      <c r="M277" s="29" t="s">
        <v>1619</v>
      </c>
      <c r="N277" s="29" t="s">
        <v>1844</v>
      </c>
      <c r="O277" s="29" t="s">
        <v>1894</v>
      </c>
      <c r="P277" s="29" t="s">
        <v>1895</v>
      </c>
      <c r="Q277" s="29" t="s">
        <v>1623</v>
      </c>
      <c r="R277" s="29" t="s">
        <v>1896</v>
      </c>
      <c r="S277" s="29" t="s">
        <v>2695</v>
      </c>
      <c r="T277" s="29" t="s">
        <v>2696</v>
      </c>
      <c r="U277" s="29" t="s">
        <v>1105</v>
      </c>
      <c r="V277" s="29" t="s">
        <v>1107</v>
      </c>
      <c r="W277" s="35" t="s">
        <v>1628</v>
      </c>
      <c r="X277" s="35" t="s">
        <v>1850</v>
      </c>
      <c r="Y277" s="35" t="s">
        <v>1898</v>
      </c>
      <c r="Z277" s="35" t="s">
        <v>1683</v>
      </c>
      <c r="AA277" s="35" t="s">
        <v>2697</v>
      </c>
      <c r="AB277" s="29" t="s">
        <v>1638</v>
      </c>
      <c r="AC277" s="35" t="s">
        <v>1633</v>
      </c>
      <c r="AD277" s="35" t="s">
        <v>1634</v>
      </c>
      <c r="AE277" s="35" t="s">
        <v>1634</v>
      </c>
      <c r="AF277" s="35" t="s">
        <v>1635</v>
      </c>
      <c r="AG277" s="35" t="s">
        <v>1636</v>
      </c>
      <c r="AI277" s="35"/>
      <c r="AJ277" s="35" t="s">
        <v>1637</v>
      </c>
      <c r="AK277" s="35" t="s">
        <v>1672</v>
      </c>
      <c r="AL277" s="29" t="s">
        <v>1803</v>
      </c>
      <c r="AM277" s="35"/>
      <c r="AN277" s="35"/>
      <c r="AO277" s="35"/>
      <c r="AP277" s="35"/>
      <c r="AQ277" s="35"/>
      <c r="AS277" s="35"/>
      <c r="AU277" s="35"/>
      <c r="AW277" s="35"/>
      <c r="AY277" s="35"/>
      <c r="AZ277" s="35"/>
      <c r="BA277" s="35"/>
      <c r="BB277" s="29" t="s">
        <v>2654</v>
      </c>
      <c r="BC277" s="29" t="s">
        <v>2347</v>
      </c>
      <c r="BD277" s="29" t="s">
        <v>2698</v>
      </c>
      <c r="BE277" s="29" t="s">
        <v>1805</v>
      </c>
      <c r="BF277" s="29" t="s">
        <v>2035</v>
      </c>
      <c r="BG277" s="29" t="s">
        <v>2699</v>
      </c>
      <c r="BI277" s="35"/>
      <c r="BJ277" s="35"/>
      <c r="BK277" s="29" t="str" cm="1">
        <f t="array" ref="BK277">_xlfn.UNIQUE(MID(BB277,16,14))</f>
        <v>U012UBB01UC001</v>
      </c>
    </row>
    <row r="278" spans="1:63" x14ac:dyDescent="0.3">
      <c r="A278" s="29" t="s">
        <v>1892</v>
      </c>
      <c r="B278" s="36" t="str">
        <f t="shared" si="20"/>
        <v>G01NHA01EQ001-GP02</v>
      </c>
      <c r="C278" s="33" t="s">
        <v>2700</v>
      </c>
      <c r="D278" s="34" t="str">
        <f t="shared" si="21"/>
        <v>ELY1 RECT1 COOL PMP2 CHECK CMD</v>
      </c>
      <c r="E278" s="31">
        <f t="shared" si="22"/>
        <v>30</v>
      </c>
      <c r="F278" s="32" t="str">
        <f t="shared" si="23"/>
        <v>ELECTROLYSIS SYSTEM ELECTROLYSIS ARRAY 1 RECTIFIER SYSTEMS RECTIFIER SYSTEM 1 COOLING SYSTEMS RECTIFIER COOLING SYSTEM PUMP, GENERAL CHECK COMMAND</v>
      </c>
      <c r="G278" s="29" t="s">
        <v>1614</v>
      </c>
      <c r="H278" s="29" t="s">
        <v>1615</v>
      </c>
      <c r="I278" s="29" t="str">
        <f t="shared" si="24"/>
        <v>01</v>
      </c>
      <c r="J278" s="29" t="s">
        <v>1616</v>
      </c>
      <c r="K278" s="29" t="s">
        <v>1842</v>
      </c>
      <c r="L278" s="29" t="s">
        <v>1843</v>
      </c>
      <c r="M278" s="29" t="s">
        <v>1619</v>
      </c>
      <c r="N278" s="29" t="s">
        <v>1844</v>
      </c>
      <c r="O278" s="29" t="s">
        <v>1894</v>
      </c>
      <c r="P278" s="29" t="s">
        <v>1895</v>
      </c>
      <c r="Q278" s="29" t="s">
        <v>1623</v>
      </c>
      <c r="R278" s="29" t="s">
        <v>1896</v>
      </c>
      <c r="S278" s="29" t="s">
        <v>2701</v>
      </c>
      <c r="T278" s="29" t="s">
        <v>2696</v>
      </c>
      <c r="U278" s="29" t="s">
        <v>1105</v>
      </c>
      <c r="V278" s="29" t="s">
        <v>1107</v>
      </c>
      <c r="W278" s="35" t="s">
        <v>1628</v>
      </c>
      <c r="X278" s="35" t="s">
        <v>1850</v>
      </c>
      <c r="Y278" s="35" t="s">
        <v>1898</v>
      </c>
      <c r="Z278" s="35" t="s">
        <v>2702</v>
      </c>
      <c r="AA278" s="35" t="s">
        <v>2697</v>
      </c>
      <c r="AB278" s="29" t="s">
        <v>1638</v>
      </c>
      <c r="AC278" s="35" t="s">
        <v>1633</v>
      </c>
      <c r="AD278" s="35" t="s">
        <v>1634</v>
      </c>
      <c r="AE278" s="35" t="s">
        <v>1634</v>
      </c>
      <c r="AF278" s="35" t="s">
        <v>1635</v>
      </c>
      <c r="AG278" s="35" t="s">
        <v>1636</v>
      </c>
      <c r="AI278" s="35"/>
      <c r="AJ278" s="35" t="s">
        <v>1637</v>
      </c>
      <c r="AK278" s="35" t="s">
        <v>1672</v>
      </c>
      <c r="AL278" s="29" t="s">
        <v>1803</v>
      </c>
      <c r="AM278" s="35"/>
      <c r="AN278" s="35"/>
      <c r="AO278" s="35"/>
      <c r="AP278" s="35"/>
      <c r="AQ278" s="35"/>
      <c r="AS278" s="35"/>
      <c r="AU278" s="35"/>
      <c r="AW278" s="35"/>
      <c r="AY278" s="35"/>
      <c r="AZ278" s="35"/>
      <c r="BA278" s="35"/>
      <c r="BB278" s="29" t="s">
        <v>2654</v>
      </c>
      <c r="BC278" s="29" t="s">
        <v>2347</v>
      </c>
      <c r="BD278" s="29" t="s">
        <v>2698</v>
      </c>
      <c r="BE278" s="29" t="s">
        <v>1805</v>
      </c>
      <c r="BF278" s="29" t="s">
        <v>1969</v>
      </c>
      <c r="BG278" s="29" t="s">
        <v>2703</v>
      </c>
      <c r="BI278" s="35"/>
      <c r="BJ278" s="35"/>
      <c r="BK278" s="29" t="str" cm="1">
        <f t="array" ref="BK278">_xlfn.UNIQUE(MID(BB278,16,14))</f>
        <v>U012UBB01UC001</v>
      </c>
    </row>
    <row r="279" spans="1:63" x14ac:dyDescent="0.3">
      <c r="A279" s="29" t="s">
        <v>2704</v>
      </c>
      <c r="B279" s="36" t="str">
        <f t="shared" si="20"/>
        <v>G01NHA01FA001-QA01</v>
      </c>
      <c r="C279" s="33" t="s">
        <v>2705</v>
      </c>
      <c r="D279" s="34" t="str">
        <f t="shared" si="21"/>
        <v>ELY1 RECT1 OVERV PROT1 SW1 AL1</v>
      </c>
      <c r="E279" s="31">
        <f t="shared" si="22"/>
        <v>30</v>
      </c>
      <c r="F279" s="32" t="str">
        <f t="shared" si="23"/>
        <v>ELECTROLYSIS SYSTEM ELECTROLYSIS ARRAY 1 RECTIFIER SYSTEMS RECTIFIER SYSTEM 1 OVERVOLTAGE PROTECTION OVERVOLTAGE PROTECTION 1 CIRCUIT-BREAKER SZ S00, FOR MOTOR PROTECTION INDIVIDUAL ALARMS</v>
      </c>
      <c r="G279" s="29" t="s">
        <v>1614</v>
      </c>
      <c r="H279" s="29" t="s">
        <v>1615</v>
      </c>
      <c r="I279" s="29" t="str">
        <f t="shared" si="24"/>
        <v>01</v>
      </c>
      <c r="J279" s="29" t="s">
        <v>1616</v>
      </c>
      <c r="K279" s="29" t="s">
        <v>1842</v>
      </c>
      <c r="L279" s="29" t="s">
        <v>1843</v>
      </c>
      <c r="M279" s="29" t="s">
        <v>1619</v>
      </c>
      <c r="N279" s="29" t="s">
        <v>1844</v>
      </c>
      <c r="O279" s="29" t="s">
        <v>2706</v>
      </c>
      <c r="P279" s="29" t="s">
        <v>2707</v>
      </c>
      <c r="Q279" s="29" t="s">
        <v>1623</v>
      </c>
      <c r="R279" s="29" t="s">
        <v>2708</v>
      </c>
      <c r="S279" s="29" t="s">
        <v>2709</v>
      </c>
      <c r="T279" s="29" t="s">
        <v>2710</v>
      </c>
      <c r="U279" s="29" t="s">
        <v>148</v>
      </c>
      <c r="V279" s="29" t="s">
        <v>2711</v>
      </c>
      <c r="W279" s="35" t="s">
        <v>1628</v>
      </c>
      <c r="X279" s="35" t="s">
        <v>1850</v>
      </c>
      <c r="Y279" s="35" t="s">
        <v>2712</v>
      </c>
      <c r="Z279" s="35" t="s">
        <v>2713</v>
      </c>
      <c r="AA279" s="35" t="s">
        <v>2714</v>
      </c>
      <c r="AB279" s="29" t="s">
        <v>2653</v>
      </c>
      <c r="AC279" s="35" t="s">
        <v>1633</v>
      </c>
      <c r="AD279" s="35" t="s">
        <v>1634</v>
      </c>
      <c r="AE279" s="35" t="s">
        <v>1634</v>
      </c>
      <c r="AF279" s="35" t="s">
        <v>1635</v>
      </c>
      <c r="AG279" s="35" t="s">
        <v>2634</v>
      </c>
      <c r="AI279" s="35"/>
      <c r="AJ279" s="35" t="s">
        <v>1637</v>
      </c>
      <c r="AK279" s="35" t="s">
        <v>1672</v>
      </c>
      <c r="AL279" s="29" t="s">
        <v>2715</v>
      </c>
      <c r="AM279" s="35"/>
      <c r="AN279" s="35"/>
      <c r="AO279" s="35"/>
      <c r="AP279" s="35"/>
      <c r="AQ279" s="35"/>
      <c r="AS279" s="35"/>
      <c r="AU279" s="35"/>
      <c r="AW279" s="35"/>
      <c r="AY279" s="35"/>
      <c r="AZ279" s="35"/>
      <c r="BA279" s="35"/>
      <c r="BB279" s="29" t="s">
        <v>2654</v>
      </c>
      <c r="BC279" s="29" t="s">
        <v>2347</v>
      </c>
      <c r="BD279" s="29" t="s">
        <v>2716</v>
      </c>
      <c r="BE279" s="29" t="s">
        <v>1805</v>
      </c>
      <c r="BF279" s="29" t="s">
        <v>1973</v>
      </c>
      <c r="BG279" s="29" t="s">
        <v>2717</v>
      </c>
      <c r="BI279" s="35"/>
      <c r="BJ279" s="35"/>
      <c r="BK279" s="29" t="str" cm="1">
        <f t="array" ref="BK279">_xlfn.UNIQUE(MID(BB279,16,14))</f>
        <v>U012UBB01UC001</v>
      </c>
    </row>
    <row r="280" spans="1:63" x14ac:dyDescent="0.3">
      <c r="A280" s="29" t="s">
        <v>2718</v>
      </c>
      <c r="B280" s="36" t="str">
        <f t="shared" si="20"/>
        <v>G01NHA01FA002-QA01</v>
      </c>
      <c r="C280" s="33" t="s">
        <v>2719</v>
      </c>
      <c r="D280" s="34" t="str">
        <f t="shared" si="21"/>
        <v>ELY1 RECT1 OVERV PROT2 SW1 AL1</v>
      </c>
      <c r="E280" s="31">
        <f t="shared" si="22"/>
        <v>30</v>
      </c>
      <c r="F280" s="32" t="str">
        <f t="shared" si="23"/>
        <v>ELECTROLYSIS SYSTEM ELECTROLYSIS ARRAY 1 RECTIFIER SYSTEMS RECTIFIER SYSTEM 1 OVERVOLTAGE PROTECTION OVERVOLTAGE PROTECTION 2 CIRCUIT-BREAKER SZ S00, FOR MOTOR PROTECTION INDIVIDUAL ALARMS</v>
      </c>
      <c r="G280" s="29" t="s">
        <v>1614</v>
      </c>
      <c r="H280" s="29" t="s">
        <v>1615</v>
      </c>
      <c r="I280" s="29" t="str">
        <f t="shared" si="24"/>
        <v>01</v>
      </c>
      <c r="J280" s="29" t="s">
        <v>1616</v>
      </c>
      <c r="K280" s="29" t="s">
        <v>1842</v>
      </c>
      <c r="L280" s="29" t="s">
        <v>1843</v>
      </c>
      <c r="M280" s="29" t="s">
        <v>1619</v>
      </c>
      <c r="N280" s="29" t="s">
        <v>1844</v>
      </c>
      <c r="O280" s="29" t="s">
        <v>2706</v>
      </c>
      <c r="P280" s="29" t="s">
        <v>2707</v>
      </c>
      <c r="Q280" s="29" t="s">
        <v>1872</v>
      </c>
      <c r="R280" s="29" t="s">
        <v>2720</v>
      </c>
      <c r="S280" s="29" t="s">
        <v>2709</v>
      </c>
      <c r="T280" s="29" t="s">
        <v>2710</v>
      </c>
      <c r="U280" s="29" t="s">
        <v>148</v>
      </c>
      <c r="V280" s="29" t="s">
        <v>2711</v>
      </c>
      <c r="W280" s="35" t="s">
        <v>1628</v>
      </c>
      <c r="X280" s="35" t="s">
        <v>1850</v>
      </c>
      <c r="Y280" s="35" t="s">
        <v>2721</v>
      </c>
      <c r="Z280" s="35" t="s">
        <v>2713</v>
      </c>
      <c r="AA280" s="35" t="s">
        <v>2714</v>
      </c>
      <c r="AB280" s="29" t="s">
        <v>2653</v>
      </c>
      <c r="AC280" s="35" t="s">
        <v>1633</v>
      </c>
      <c r="AD280" s="35" t="s">
        <v>1634</v>
      </c>
      <c r="AE280" s="35" t="s">
        <v>1634</v>
      </c>
      <c r="AF280" s="35" t="s">
        <v>1635</v>
      </c>
      <c r="AG280" s="35" t="s">
        <v>2634</v>
      </c>
      <c r="AI280" s="35"/>
      <c r="AJ280" s="35" t="s">
        <v>1637</v>
      </c>
      <c r="AK280" s="35" t="s">
        <v>1672</v>
      </c>
      <c r="AL280" s="29" t="s">
        <v>2715</v>
      </c>
      <c r="AM280" s="35"/>
      <c r="AN280" s="35"/>
      <c r="AO280" s="35"/>
      <c r="AP280" s="35"/>
      <c r="AQ280" s="35"/>
      <c r="AS280" s="35"/>
      <c r="AU280" s="35"/>
      <c r="AW280" s="35"/>
      <c r="AY280" s="35"/>
      <c r="AZ280" s="35"/>
      <c r="BA280" s="35"/>
      <c r="BB280" s="29" t="s">
        <v>2654</v>
      </c>
      <c r="BC280" s="29" t="s">
        <v>2347</v>
      </c>
      <c r="BD280" s="29" t="s">
        <v>2716</v>
      </c>
      <c r="BE280" s="29" t="s">
        <v>1805</v>
      </c>
      <c r="BF280" s="29" t="s">
        <v>2048</v>
      </c>
      <c r="BG280" s="29" t="s">
        <v>2722</v>
      </c>
      <c r="BI280" s="35"/>
      <c r="BJ280" s="35"/>
      <c r="BK280" s="29" t="str" cm="1">
        <f t="array" ref="BK280">_xlfn.UNIQUE(MID(BB280,16,14))</f>
        <v>U012UBB01UC001</v>
      </c>
    </row>
    <row r="281" spans="1:63" x14ac:dyDescent="0.3">
      <c r="A281" s="29" t="s">
        <v>2723</v>
      </c>
      <c r="B281" s="36" t="str">
        <f t="shared" si="20"/>
        <v>G01NHA01FA003-QA01</v>
      </c>
      <c r="C281" s="33" t="s">
        <v>2724</v>
      </c>
      <c r="D281" s="34" t="str">
        <f t="shared" si="21"/>
        <v>ELY1 RECT1 OVERV PROT3 SW1 AL1</v>
      </c>
      <c r="E281" s="31">
        <f t="shared" si="22"/>
        <v>30</v>
      </c>
      <c r="F281" s="32" t="str">
        <f t="shared" si="23"/>
        <v>ELECTROLYSIS SYSTEM ELECTROLYSIS ARRAY 1 RECTIFIER SYSTEMS RECTIFIER SYSTEM 1 OVERVOLTAGE PROTECTION OVERVOLTAGE PROTECTION 3 CIRCUIT-BREAKER SZ S00, FOR MOTOR PROTECTION INDIVIDUAL ALARMS</v>
      </c>
      <c r="G281" s="29" t="s">
        <v>1614</v>
      </c>
      <c r="H281" s="29" t="s">
        <v>1615</v>
      </c>
      <c r="I281" s="29" t="str">
        <f t="shared" si="24"/>
        <v>01</v>
      </c>
      <c r="J281" s="29" t="s">
        <v>1616</v>
      </c>
      <c r="K281" s="29" t="s">
        <v>1842</v>
      </c>
      <c r="L281" s="29" t="s">
        <v>1843</v>
      </c>
      <c r="M281" s="29" t="s">
        <v>1619</v>
      </c>
      <c r="N281" s="29" t="s">
        <v>1844</v>
      </c>
      <c r="O281" s="29" t="s">
        <v>2706</v>
      </c>
      <c r="P281" s="29" t="s">
        <v>2707</v>
      </c>
      <c r="Q281" s="29" t="s">
        <v>1830</v>
      </c>
      <c r="R281" s="29" t="s">
        <v>2725</v>
      </c>
      <c r="S281" s="29" t="s">
        <v>2709</v>
      </c>
      <c r="T281" s="29" t="s">
        <v>2710</v>
      </c>
      <c r="U281" s="29" t="s">
        <v>148</v>
      </c>
      <c r="V281" s="29" t="s">
        <v>2711</v>
      </c>
      <c r="W281" s="35" t="s">
        <v>1628</v>
      </c>
      <c r="X281" s="35" t="s">
        <v>1850</v>
      </c>
      <c r="Y281" s="35" t="s">
        <v>2726</v>
      </c>
      <c r="Z281" s="35" t="s">
        <v>2713</v>
      </c>
      <c r="AA281" s="35" t="s">
        <v>2714</v>
      </c>
      <c r="AB281" s="29" t="s">
        <v>2653</v>
      </c>
      <c r="AC281" s="35" t="s">
        <v>1633</v>
      </c>
      <c r="AD281" s="35" t="s">
        <v>1634</v>
      </c>
      <c r="AE281" s="35" t="s">
        <v>1634</v>
      </c>
      <c r="AF281" s="35" t="s">
        <v>1635</v>
      </c>
      <c r="AG281" s="35" t="s">
        <v>2634</v>
      </c>
      <c r="AI281" s="35"/>
      <c r="AJ281" s="35" t="s">
        <v>1637</v>
      </c>
      <c r="AK281" s="35" t="s">
        <v>1672</v>
      </c>
      <c r="AL281" s="29" t="s">
        <v>2715</v>
      </c>
      <c r="AM281" s="35"/>
      <c r="AN281" s="35"/>
      <c r="AO281" s="35"/>
      <c r="AP281" s="35"/>
      <c r="AQ281" s="35"/>
      <c r="AS281" s="35"/>
      <c r="AU281" s="35"/>
      <c r="AW281" s="35"/>
      <c r="AY281" s="35"/>
      <c r="AZ281" s="35"/>
      <c r="BA281" s="35"/>
      <c r="BB281" s="29" t="s">
        <v>2680</v>
      </c>
      <c r="BC281" s="29" t="s">
        <v>2347</v>
      </c>
      <c r="BD281" s="29" t="s">
        <v>2716</v>
      </c>
      <c r="BE281" s="29" t="s">
        <v>1805</v>
      </c>
      <c r="BF281" s="29" t="s">
        <v>2035</v>
      </c>
      <c r="BG281" s="29" t="s">
        <v>2727</v>
      </c>
      <c r="BI281" s="35"/>
      <c r="BJ281" s="35"/>
      <c r="BK281" s="29" t="str" cm="1">
        <f t="array" ref="BK281">_xlfn.UNIQUE(MID(BB281,16,14))</f>
        <v>U012UBB01UC002</v>
      </c>
    </row>
    <row r="282" spans="1:63" x14ac:dyDescent="0.3">
      <c r="A282" s="29" t="s">
        <v>2728</v>
      </c>
      <c r="B282" s="36" t="str">
        <f t="shared" si="20"/>
        <v>G01NHA01FA004-QA01</v>
      </c>
      <c r="C282" s="33" t="s">
        <v>2729</v>
      </c>
      <c r="D282" s="34" t="str">
        <f t="shared" si="21"/>
        <v>ELY1 RECT1 OVERV PROT4 SW1 AL1</v>
      </c>
      <c r="E282" s="31">
        <f t="shared" si="22"/>
        <v>30</v>
      </c>
      <c r="F282" s="32" t="str">
        <f t="shared" si="23"/>
        <v>ELECTROLYSIS SYSTEM ELECTROLYSIS ARRAY 1 RECTIFIER SYSTEMS RECTIFIER SYSTEM 1 OVERVOLTAGE PROTECTION OVERVOLTAGE PROTECTION 4 CIRCUIT-BREAKER SZ S00, FOR MOTOR PROTECTION INDIVIDUAL ALARMS</v>
      </c>
      <c r="G282" s="29" t="s">
        <v>1614</v>
      </c>
      <c r="H282" s="29" t="s">
        <v>1615</v>
      </c>
      <c r="I282" s="29" t="str">
        <f t="shared" si="24"/>
        <v>01</v>
      </c>
      <c r="J282" s="29" t="s">
        <v>1616</v>
      </c>
      <c r="K282" s="29" t="s">
        <v>1842</v>
      </c>
      <c r="L282" s="29" t="s">
        <v>1843</v>
      </c>
      <c r="M282" s="29" t="s">
        <v>1619</v>
      </c>
      <c r="N282" s="29" t="s">
        <v>1844</v>
      </c>
      <c r="O282" s="29" t="s">
        <v>2706</v>
      </c>
      <c r="P282" s="29" t="s">
        <v>2707</v>
      </c>
      <c r="Q282" s="29" t="s">
        <v>1838</v>
      </c>
      <c r="R282" s="29" t="s">
        <v>2730</v>
      </c>
      <c r="S282" s="29" t="s">
        <v>2709</v>
      </c>
      <c r="T282" s="29" t="s">
        <v>2710</v>
      </c>
      <c r="U282" s="29" t="s">
        <v>148</v>
      </c>
      <c r="V282" s="29" t="s">
        <v>2711</v>
      </c>
      <c r="W282" s="35" t="s">
        <v>1628</v>
      </c>
      <c r="X282" s="35" t="s">
        <v>1850</v>
      </c>
      <c r="Y282" s="35" t="s">
        <v>2731</v>
      </c>
      <c r="Z282" s="35" t="s">
        <v>2713</v>
      </c>
      <c r="AA282" s="35" t="s">
        <v>2714</v>
      </c>
      <c r="AB282" s="29" t="s">
        <v>2653</v>
      </c>
      <c r="AC282" s="35" t="s">
        <v>1633</v>
      </c>
      <c r="AD282" s="35" t="s">
        <v>1634</v>
      </c>
      <c r="AE282" s="35" t="s">
        <v>1634</v>
      </c>
      <c r="AF282" s="35" t="s">
        <v>1635</v>
      </c>
      <c r="AG282" s="35" t="s">
        <v>2634</v>
      </c>
      <c r="AI282" s="35"/>
      <c r="AJ282" s="35" t="s">
        <v>1637</v>
      </c>
      <c r="AK282" s="35" t="s">
        <v>1672</v>
      </c>
      <c r="AL282" s="29" t="s">
        <v>2715</v>
      </c>
      <c r="AM282" s="35"/>
      <c r="AN282" s="35"/>
      <c r="AO282" s="35"/>
      <c r="AP282" s="35"/>
      <c r="AQ282" s="35"/>
      <c r="AS282" s="35"/>
      <c r="AU282" s="35"/>
      <c r="AW282" s="35"/>
      <c r="AY282" s="35"/>
      <c r="AZ282" s="35"/>
      <c r="BA282" s="35"/>
      <c r="BB282" s="29" t="s">
        <v>2680</v>
      </c>
      <c r="BC282" s="29" t="s">
        <v>2347</v>
      </c>
      <c r="BD282" s="29" t="s">
        <v>2716</v>
      </c>
      <c r="BE282" s="29" t="s">
        <v>1805</v>
      </c>
      <c r="BF282" s="29" t="s">
        <v>1969</v>
      </c>
      <c r="BG282" s="29" t="s">
        <v>2732</v>
      </c>
      <c r="BI282" s="35"/>
      <c r="BJ282" s="35"/>
      <c r="BK282" s="29" t="str" cm="1">
        <f t="array" ref="BK282">_xlfn.UNIQUE(MID(BB282,16,14))</f>
        <v>U012UBB01UC002</v>
      </c>
    </row>
    <row r="283" spans="1:63" x14ac:dyDescent="0.3">
      <c r="A283" s="29" t="s">
        <v>2733</v>
      </c>
      <c r="B283" s="36" t="str">
        <f t="shared" si="20"/>
        <v>G01NHA01KF001-BA11</v>
      </c>
      <c r="C283" s="33" t="s">
        <v>2734</v>
      </c>
      <c r="D283" s="34" t="str">
        <f t="shared" si="21"/>
        <v>ELY1 RECT1 CTRL U1 400VAC MON CB ON/OPN</v>
      </c>
      <c r="E283" s="31">
        <f t="shared" si="22"/>
        <v>39</v>
      </c>
      <c r="F283" s="32" t="str">
        <f t="shared" si="23"/>
        <v>ELECTROLYSIS SYSTEM ELECTROLYSIS ARRAY 1 RECTIFIER SYSTEMS RECTIFIER SYSTEM 1 CONTROL UNITS I&amp;C CABINET  1 - RECTIFIER SYSTEM 1 400VAC MONITORING CHECK BACK ON/OPEN</v>
      </c>
      <c r="G283" s="29" t="s">
        <v>1614</v>
      </c>
      <c r="H283" s="29" t="s">
        <v>1615</v>
      </c>
      <c r="I283" s="29" t="str">
        <f t="shared" si="24"/>
        <v>01</v>
      </c>
      <c r="J283" s="29" t="s">
        <v>1616</v>
      </c>
      <c r="K283" s="29" t="s">
        <v>1842</v>
      </c>
      <c r="L283" s="29" t="s">
        <v>1843</v>
      </c>
      <c r="M283" s="29" t="s">
        <v>1619</v>
      </c>
      <c r="N283" s="29" t="s">
        <v>1844</v>
      </c>
      <c r="O283" s="29" t="s">
        <v>1771</v>
      </c>
      <c r="P283" s="29" t="s">
        <v>2055</v>
      </c>
      <c r="Q283" s="29" t="s">
        <v>1623</v>
      </c>
      <c r="R283" s="29" t="s">
        <v>2735</v>
      </c>
      <c r="S283" s="29" t="s">
        <v>2736</v>
      </c>
      <c r="T283" s="29" t="s">
        <v>2737</v>
      </c>
      <c r="U283" s="29" t="s">
        <v>790</v>
      </c>
      <c r="V283" s="29" t="s">
        <v>2639</v>
      </c>
      <c r="W283" s="35" t="s">
        <v>1628</v>
      </c>
      <c r="X283" s="35" t="s">
        <v>1850</v>
      </c>
      <c r="Y283" s="35" t="s">
        <v>1775</v>
      </c>
      <c r="Z283" s="35" t="s">
        <v>2738</v>
      </c>
      <c r="AA283" s="35" t="s">
        <v>2641</v>
      </c>
      <c r="AB283" s="29" t="s">
        <v>1638</v>
      </c>
      <c r="AC283" s="35" t="s">
        <v>1633</v>
      </c>
      <c r="AD283" s="35" t="s">
        <v>1634</v>
      </c>
      <c r="AE283" s="35" t="s">
        <v>1634</v>
      </c>
      <c r="AF283" s="35" t="s">
        <v>1635</v>
      </c>
      <c r="AG283" s="35" t="s">
        <v>2634</v>
      </c>
      <c r="AI283" s="35"/>
      <c r="AJ283" s="35" t="s">
        <v>1637</v>
      </c>
      <c r="AK283" s="35" t="s">
        <v>1672</v>
      </c>
      <c r="AL283" s="29" t="s">
        <v>2715</v>
      </c>
      <c r="AM283" s="35"/>
      <c r="AN283" s="35"/>
      <c r="AO283" s="35"/>
      <c r="AP283" s="35"/>
      <c r="AQ283" s="35"/>
      <c r="AS283" s="35"/>
      <c r="AU283" s="35"/>
      <c r="AW283" s="35"/>
      <c r="AY283" s="35"/>
      <c r="AZ283" s="35"/>
      <c r="BA283" s="35"/>
      <c r="BB283" s="29" t="s">
        <v>2654</v>
      </c>
      <c r="BC283" s="29" t="s">
        <v>2347</v>
      </c>
      <c r="BD283" s="29" t="s">
        <v>2739</v>
      </c>
      <c r="BE283" s="29" t="s">
        <v>1805</v>
      </c>
      <c r="BF283" s="29" t="s">
        <v>2051</v>
      </c>
      <c r="BG283" s="29" t="s">
        <v>2740</v>
      </c>
      <c r="BI283" s="35"/>
      <c r="BJ283" s="35"/>
      <c r="BK283" s="29" t="str" cm="1">
        <f t="array" ref="BK283">_xlfn.UNIQUE(MID(BB283,16,14))</f>
        <v>U012UBB01UC001</v>
      </c>
    </row>
    <row r="284" spans="1:63" x14ac:dyDescent="0.3">
      <c r="A284" s="29" t="s">
        <v>2733</v>
      </c>
      <c r="B284" s="36" t="str">
        <f t="shared" si="20"/>
        <v>G01NHA01KF001-BA21</v>
      </c>
      <c r="C284" s="33" t="s">
        <v>2741</v>
      </c>
      <c r="D284" s="34" t="str">
        <f t="shared" si="21"/>
        <v>ELY1 RECT1 CTRL U1 230VAC MON CB ON/OPN</v>
      </c>
      <c r="E284" s="31">
        <f t="shared" si="22"/>
        <v>39</v>
      </c>
      <c r="F284" s="32" t="str">
        <f t="shared" si="23"/>
        <v>ELECTROLYSIS SYSTEM ELECTROLYSIS ARRAY 1 RECTIFIER SYSTEMS RECTIFIER SYSTEM 1 CONTROL UNITS I&amp;C CABINET  1 - RECTIFIER SYSTEM 1 230VAC MONITORING CHECK BACK ON/OPEN</v>
      </c>
      <c r="G284" s="29" t="s">
        <v>1614</v>
      </c>
      <c r="H284" s="29" t="s">
        <v>1615</v>
      </c>
      <c r="I284" s="29" t="str">
        <f t="shared" si="24"/>
        <v>01</v>
      </c>
      <c r="J284" s="29" t="s">
        <v>1616</v>
      </c>
      <c r="K284" s="29" t="s">
        <v>1842</v>
      </c>
      <c r="L284" s="29" t="s">
        <v>1843</v>
      </c>
      <c r="M284" s="29" t="s">
        <v>1619</v>
      </c>
      <c r="N284" s="29" t="s">
        <v>1844</v>
      </c>
      <c r="O284" s="29" t="s">
        <v>1771</v>
      </c>
      <c r="P284" s="29" t="s">
        <v>2055</v>
      </c>
      <c r="Q284" s="29" t="s">
        <v>1623</v>
      </c>
      <c r="R284" s="29" t="s">
        <v>2735</v>
      </c>
      <c r="S284" s="29" t="s">
        <v>2742</v>
      </c>
      <c r="T284" s="29" t="s">
        <v>2743</v>
      </c>
      <c r="U284" s="29" t="s">
        <v>790</v>
      </c>
      <c r="V284" s="29" t="s">
        <v>2639</v>
      </c>
      <c r="W284" s="35" t="s">
        <v>1628</v>
      </c>
      <c r="X284" s="35" t="s">
        <v>1850</v>
      </c>
      <c r="Y284" s="35" t="s">
        <v>1775</v>
      </c>
      <c r="Z284" s="35" t="s">
        <v>2744</v>
      </c>
      <c r="AA284" s="35" t="s">
        <v>2641</v>
      </c>
      <c r="AB284" s="29" t="s">
        <v>1638</v>
      </c>
      <c r="AC284" s="35" t="s">
        <v>1633</v>
      </c>
      <c r="AD284" s="35" t="s">
        <v>1634</v>
      </c>
      <c r="AE284" s="35" t="s">
        <v>1634</v>
      </c>
      <c r="AF284" s="35" t="s">
        <v>1635</v>
      </c>
      <c r="AG284" s="35" t="s">
        <v>2634</v>
      </c>
      <c r="AI284" s="35"/>
      <c r="AJ284" s="35" t="s">
        <v>1637</v>
      </c>
      <c r="AK284" s="35" t="s">
        <v>1672</v>
      </c>
      <c r="AL284" s="29" t="s">
        <v>2715</v>
      </c>
      <c r="AM284" s="35"/>
      <c r="AN284" s="35"/>
      <c r="AO284" s="35"/>
      <c r="AP284" s="35"/>
      <c r="AQ284" s="35"/>
      <c r="AS284" s="35"/>
      <c r="AU284" s="35"/>
      <c r="AW284" s="35"/>
      <c r="AY284" s="35"/>
      <c r="AZ284" s="35"/>
      <c r="BA284" s="35"/>
      <c r="BB284" s="29" t="s">
        <v>2654</v>
      </c>
      <c r="BC284" s="29" t="s">
        <v>2347</v>
      </c>
      <c r="BD284" s="29" t="s">
        <v>2739</v>
      </c>
      <c r="BE284" s="29" t="s">
        <v>1805</v>
      </c>
      <c r="BF284" s="29" t="s">
        <v>2016</v>
      </c>
      <c r="BG284" s="29" t="s">
        <v>2745</v>
      </c>
      <c r="BI284" s="35"/>
      <c r="BJ284" s="35"/>
      <c r="BK284" s="29" t="str" cm="1">
        <f t="array" ref="BK284">_xlfn.UNIQUE(MID(BB284,16,14))</f>
        <v>U012UBB01UC001</v>
      </c>
    </row>
    <row r="285" spans="1:63" x14ac:dyDescent="0.3">
      <c r="A285" s="29" t="s">
        <v>2733</v>
      </c>
      <c r="B285" s="36" t="str">
        <f t="shared" si="20"/>
        <v>G01NHA01KF001-BA41</v>
      </c>
      <c r="C285" s="33" t="s">
        <v>2746</v>
      </c>
      <c r="D285" s="34" t="str">
        <f t="shared" si="21"/>
        <v>ELY1 RECT1 CTRL U1 UPS MON CB ON/OPN</v>
      </c>
      <c r="E285" s="31">
        <f t="shared" si="22"/>
        <v>36</v>
      </c>
      <c r="F285" s="32" t="str">
        <f t="shared" si="23"/>
        <v>ELECTROLYSIS SYSTEM ELECTROLYSIS ARRAY 1 RECTIFIER SYSTEMS RECTIFIER SYSTEM 1 CONTROL UNITS I&amp;C CABINET  1 - RECTIFIER SYSTEM 1 230VAC UPS MONITORING CHECK BACK ON/OPEN</v>
      </c>
      <c r="G285" s="29" t="s">
        <v>1614</v>
      </c>
      <c r="H285" s="29" t="s">
        <v>1615</v>
      </c>
      <c r="I285" s="29" t="str">
        <f t="shared" si="24"/>
        <v>01</v>
      </c>
      <c r="J285" s="29" t="s">
        <v>1616</v>
      </c>
      <c r="K285" s="29" t="s">
        <v>1842</v>
      </c>
      <c r="L285" s="29" t="s">
        <v>1843</v>
      </c>
      <c r="M285" s="29" t="s">
        <v>1619</v>
      </c>
      <c r="N285" s="29" t="s">
        <v>1844</v>
      </c>
      <c r="O285" s="29" t="s">
        <v>1771</v>
      </c>
      <c r="P285" s="29" t="s">
        <v>2055</v>
      </c>
      <c r="Q285" s="29" t="s">
        <v>1623</v>
      </c>
      <c r="R285" s="29" t="s">
        <v>2735</v>
      </c>
      <c r="S285" s="29" t="s">
        <v>2747</v>
      </c>
      <c r="T285" s="29" t="s">
        <v>2748</v>
      </c>
      <c r="U285" s="29" t="s">
        <v>790</v>
      </c>
      <c r="V285" s="29" t="s">
        <v>2639</v>
      </c>
      <c r="W285" s="35" t="s">
        <v>1628</v>
      </c>
      <c r="X285" s="35" t="s">
        <v>1850</v>
      </c>
      <c r="Y285" s="35" t="s">
        <v>1775</v>
      </c>
      <c r="Z285" s="35" t="s">
        <v>2749</v>
      </c>
      <c r="AA285" s="35" t="s">
        <v>2641</v>
      </c>
      <c r="AB285" s="29" t="s">
        <v>1638</v>
      </c>
      <c r="AC285" s="35" t="s">
        <v>1633</v>
      </c>
      <c r="AD285" s="35" t="s">
        <v>1634</v>
      </c>
      <c r="AE285" s="35" t="s">
        <v>1634</v>
      </c>
      <c r="AF285" s="35" t="s">
        <v>1635</v>
      </c>
      <c r="AG285" s="35" t="s">
        <v>2634</v>
      </c>
      <c r="AI285" s="35"/>
      <c r="AJ285" s="35" t="s">
        <v>1637</v>
      </c>
      <c r="AK285" s="35" t="s">
        <v>1672</v>
      </c>
      <c r="AL285" s="29" t="s">
        <v>2715</v>
      </c>
      <c r="AM285" s="35"/>
      <c r="AN285" s="35"/>
      <c r="AO285" s="35"/>
      <c r="AP285" s="35"/>
      <c r="AQ285" s="35"/>
      <c r="AS285" s="35"/>
      <c r="AU285" s="35"/>
      <c r="AW285" s="35"/>
      <c r="AY285" s="35"/>
      <c r="AZ285" s="35"/>
      <c r="BA285" s="35"/>
      <c r="BB285" s="29" t="s">
        <v>2654</v>
      </c>
      <c r="BC285" s="29" t="s">
        <v>2347</v>
      </c>
      <c r="BD285" s="29" t="s">
        <v>2739</v>
      </c>
      <c r="BE285" s="29" t="s">
        <v>1805</v>
      </c>
      <c r="BF285" s="29" t="s">
        <v>2341</v>
      </c>
      <c r="BG285" s="29" t="s">
        <v>2750</v>
      </c>
      <c r="BI285" s="35"/>
      <c r="BJ285" s="35"/>
      <c r="BK285" s="29" t="str" cm="1">
        <f t="array" ref="BK285">_xlfn.UNIQUE(MID(BB285,16,14))</f>
        <v>U012UBB01UC001</v>
      </c>
    </row>
    <row r="286" spans="1:63" x14ac:dyDescent="0.3">
      <c r="A286" s="29" t="s">
        <v>2733</v>
      </c>
      <c r="B286" s="36" t="str">
        <f t="shared" si="20"/>
        <v>G01NHA01KF001-FC01</v>
      </c>
      <c r="C286" s="33" t="s">
        <v>2751</v>
      </c>
      <c r="D286" s="34" t="str">
        <f t="shared" si="21"/>
        <v>ELY1 RECT1 CTRL U1 24V MON1 CB ON/OPN</v>
      </c>
      <c r="E286" s="31">
        <f t="shared" si="22"/>
        <v>37</v>
      </c>
      <c r="F286" s="32" t="str">
        <f t="shared" si="23"/>
        <v>ELECTROLYSIS SYSTEM ELECTROLYSIS ARRAY 1 RECTIFIER SYSTEMS RECTIFIER SYSTEM 1 CONTROL UNITS I&amp;C CABINET  1 - RECTIFIER SYSTEM 1 24VDC DISTRIBUTION CHECK BACK ON/OPEN</v>
      </c>
      <c r="G286" s="29" t="s">
        <v>1614</v>
      </c>
      <c r="H286" s="29" t="s">
        <v>1615</v>
      </c>
      <c r="I286" s="29" t="str">
        <f t="shared" si="24"/>
        <v>01</v>
      </c>
      <c r="J286" s="29" t="s">
        <v>1616</v>
      </c>
      <c r="K286" s="29" t="s">
        <v>1842</v>
      </c>
      <c r="L286" s="29" t="s">
        <v>1843</v>
      </c>
      <c r="M286" s="29" t="s">
        <v>1619</v>
      </c>
      <c r="N286" s="29" t="s">
        <v>1844</v>
      </c>
      <c r="O286" s="29" t="s">
        <v>1771</v>
      </c>
      <c r="P286" s="29" t="s">
        <v>2055</v>
      </c>
      <c r="Q286" s="29" t="s">
        <v>1623</v>
      </c>
      <c r="R286" s="29" t="s">
        <v>2735</v>
      </c>
      <c r="S286" s="29" t="s">
        <v>2657</v>
      </c>
      <c r="T286" s="29" t="s">
        <v>2658</v>
      </c>
      <c r="U286" s="29" t="s">
        <v>790</v>
      </c>
      <c r="V286" s="29" t="s">
        <v>2639</v>
      </c>
      <c r="W286" s="35" t="s">
        <v>1628</v>
      </c>
      <c r="X286" s="35" t="s">
        <v>1850</v>
      </c>
      <c r="Y286" s="35" t="s">
        <v>1775</v>
      </c>
      <c r="Z286" s="35" t="s">
        <v>2659</v>
      </c>
      <c r="AA286" s="35" t="s">
        <v>2641</v>
      </c>
      <c r="AB286" s="29" t="s">
        <v>2657</v>
      </c>
      <c r="AC286" s="35" t="s">
        <v>1633</v>
      </c>
      <c r="AD286" s="35" t="s">
        <v>1634</v>
      </c>
      <c r="AE286" s="35" t="s">
        <v>1634</v>
      </c>
      <c r="AF286" s="35" t="s">
        <v>1635</v>
      </c>
      <c r="AG286" s="35" t="s">
        <v>2660</v>
      </c>
      <c r="AI286" s="35"/>
      <c r="AJ286" s="35" t="s">
        <v>1637</v>
      </c>
      <c r="AK286" s="35" t="s">
        <v>1672</v>
      </c>
      <c r="AL286" s="29" t="s">
        <v>2715</v>
      </c>
      <c r="AM286" s="35"/>
      <c r="AN286" s="35"/>
      <c r="AO286" s="35"/>
      <c r="AP286" s="35"/>
      <c r="AQ286" s="35"/>
      <c r="AS286" s="35"/>
      <c r="AU286" s="35"/>
      <c r="AW286" s="35"/>
      <c r="AY286" s="35"/>
      <c r="AZ286" s="35"/>
      <c r="BA286" s="35"/>
      <c r="BB286" s="29" t="s">
        <v>2654</v>
      </c>
      <c r="BC286" s="29" t="s">
        <v>2347</v>
      </c>
      <c r="BD286" s="29" t="s">
        <v>2739</v>
      </c>
      <c r="BE286" s="29" t="s">
        <v>1805</v>
      </c>
      <c r="BF286" s="29" t="s">
        <v>2388</v>
      </c>
      <c r="BG286" s="29" t="s">
        <v>2752</v>
      </c>
      <c r="BI286" s="35"/>
      <c r="BJ286" s="35"/>
      <c r="BK286" s="29" t="str" cm="1">
        <f t="array" ref="BK286">_xlfn.UNIQUE(MID(BB286,16,14))</f>
        <v>U012UBB01UC001</v>
      </c>
    </row>
    <row r="287" spans="1:63" x14ac:dyDescent="0.3">
      <c r="A287" s="29" t="s">
        <v>2733</v>
      </c>
      <c r="B287" s="36" t="str">
        <f t="shared" si="20"/>
        <v>G01NHA01KF001-FC02</v>
      </c>
      <c r="C287" s="33" t="s">
        <v>2753</v>
      </c>
      <c r="D287" s="34" t="str">
        <f t="shared" si="21"/>
        <v>ELY1 RECT1 CTRL U1 24V MON2 CB ON/OPN</v>
      </c>
      <c r="E287" s="31">
        <f t="shared" si="22"/>
        <v>37</v>
      </c>
      <c r="F287" s="32" t="str">
        <f t="shared" si="23"/>
        <v>ELECTROLYSIS SYSTEM ELECTROLYSIS ARRAY 1 RECTIFIER SYSTEMS RECTIFIER SYSTEM 1 CONTROL UNITS I&amp;C CABINET  1 - RECTIFIER SYSTEM 1 24VDC DISTRIBUTION CHECK BACK ON/OPEN</v>
      </c>
      <c r="G287" s="29" t="s">
        <v>1614</v>
      </c>
      <c r="H287" s="29" t="s">
        <v>1615</v>
      </c>
      <c r="I287" s="29" t="str">
        <f t="shared" si="24"/>
        <v>01</v>
      </c>
      <c r="J287" s="29" t="s">
        <v>1616</v>
      </c>
      <c r="K287" s="29" t="s">
        <v>1842</v>
      </c>
      <c r="L287" s="29" t="s">
        <v>1843</v>
      </c>
      <c r="M287" s="29" t="s">
        <v>1619</v>
      </c>
      <c r="N287" s="29" t="s">
        <v>1844</v>
      </c>
      <c r="O287" s="29" t="s">
        <v>1771</v>
      </c>
      <c r="P287" s="29" t="s">
        <v>2055</v>
      </c>
      <c r="Q287" s="29" t="s">
        <v>1623</v>
      </c>
      <c r="R287" s="29" t="s">
        <v>2735</v>
      </c>
      <c r="S287" s="29" t="s">
        <v>2754</v>
      </c>
      <c r="T287" s="29" t="s">
        <v>2658</v>
      </c>
      <c r="U287" s="29" t="s">
        <v>790</v>
      </c>
      <c r="V287" s="29" t="s">
        <v>2639</v>
      </c>
      <c r="W287" s="35" t="s">
        <v>1628</v>
      </c>
      <c r="X287" s="35" t="s">
        <v>1850</v>
      </c>
      <c r="Y287" s="35" t="s">
        <v>1775</v>
      </c>
      <c r="Z287" s="35" t="s">
        <v>2755</v>
      </c>
      <c r="AA287" s="35" t="s">
        <v>2641</v>
      </c>
      <c r="AB287" s="29" t="s">
        <v>2754</v>
      </c>
      <c r="AC287" s="35" t="s">
        <v>1633</v>
      </c>
      <c r="AD287" s="35" t="s">
        <v>1634</v>
      </c>
      <c r="AE287" s="35" t="s">
        <v>1634</v>
      </c>
      <c r="AF287" s="35" t="s">
        <v>1635</v>
      </c>
      <c r="AG287" s="35" t="s">
        <v>2660</v>
      </c>
      <c r="AI287" s="35"/>
      <c r="AJ287" s="35" t="s">
        <v>1637</v>
      </c>
      <c r="AK287" s="35" t="s">
        <v>1672</v>
      </c>
      <c r="AL287" s="29" t="s">
        <v>2715</v>
      </c>
      <c r="AM287" s="35"/>
      <c r="AN287" s="35"/>
      <c r="AO287" s="35"/>
      <c r="AP287" s="35"/>
      <c r="AQ287" s="35"/>
      <c r="AS287" s="35"/>
      <c r="AU287" s="35"/>
      <c r="AW287" s="35"/>
      <c r="AY287" s="35"/>
      <c r="AZ287" s="35"/>
      <c r="BA287" s="35"/>
      <c r="BB287" s="29" t="s">
        <v>2756</v>
      </c>
      <c r="BC287" s="29" t="s">
        <v>2347</v>
      </c>
      <c r="BD287" s="29" t="s">
        <v>2739</v>
      </c>
      <c r="BE287" s="29" t="s">
        <v>1805</v>
      </c>
      <c r="BF287" s="29" t="s">
        <v>1619</v>
      </c>
      <c r="BG287" s="29" t="s">
        <v>2757</v>
      </c>
      <c r="BI287" s="35"/>
      <c r="BJ287" s="35"/>
      <c r="BK287" s="29" t="str" cm="1">
        <f t="array" ref="BK287">_xlfn.UNIQUE(MID(BB287,16,14))</f>
        <v>U012UBB01UC001</v>
      </c>
    </row>
    <row r="288" spans="1:63" x14ac:dyDescent="0.3">
      <c r="A288" s="29" t="s">
        <v>2733</v>
      </c>
      <c r="B288" s="36" t="str">
        <f t="shared" si="20"/>
        <v>G01NHA01KF001-FC03</v>
      </c>
      <c r="C288" s="33" t="s">
        <v>2758</v>
      </c>
      <c r="D288" s="34" t="str">
        <f t="shared" si="21"/>
        <v>ELY1 RECT1 CTRL U1 24V MON3 CB ON/OPN</v>
      </c>
      <c r="E288" s="31">
        <f t="shared" si="22"/>
        <v>37</v>
      </c>
      <c r="F288" s="32" t="str">
        <f t="shared" si="23"/>
        <v>ELECTROLYSIS SYSTEM ELECTROLYSIS ARRAY 1 RECTIFIER SYSTEMS RECTIFIER SYSTEM 1 CONTROL UNITS I&amp;C CABINET  1 - RECTIFIER SYSTEM 1 24VDC DISTRIBUTION CHECK BACK ON/OPEN</v>
      </c>
      <c r="G288" s="29" t="s">
        <v>1614</v>
      </c>
      <c r="H288" s="29" t="s">
        <v>1615</v>
      </c>
      <c r="I288" s="29" t="str">
        <f t="shared" si="24"/>
        <v>01</v>
      </c>
      <c r="J288" s="29" t="s">
        <v>1616</v>
      </c>
      <c r="K288" s="29" t="s">
        <v>1842</v>
      </c>
      <c r="L288" s="29" t="s">
        <v>1843</v>
      </c>
      <c r="M288" s="29" t="s">
        <v>1619</v>
      </c>
      <c r="N288" s="29" t="s">
        <v>1844</v>
      </c>
      <c r="O288" s="29" t="s">
        <v>1771</v>
      </c>
      <c r="P288" s="29" t="s">
        <v>2055</v>
      </c>
      <c r="Q288" s="29" t="s">
        <v>1623</v>
      </c>
      <c r="R288" s="29" t="s">
        <v>2735</v>
      </c>
      <c r="S288" s="29" t="s">
        <v>2759</v>
      </c>
      <c r="T288" s="29" t="s">
        <v>2658</v>
      </c>
      <c r="U288" s="29" t="s">
        <v>790</v>
      </c>
      <c r="V288" s="29" t="s">
        <v>2639</v>
      </c>
      <c r="W288" s="35" t="s">
        <v>1628</v>
      </c>
      <c r="X288" s="35" t="s">
        <v>1850</v>
      </c>
      <c r="Y288" s="35" t="s">
        <v>1775</v>
      </c>
      <c r="Z288" s="35" t="s">
        <v>2760</v>
      </c>
      <c r="AA288" s="35" t="s">
        <v>2641</v>
      </c>
      <c r="AB288" s="29" t="s">
        <v>2759</v>
      </c>
      <c r="AC288" s="35" t="s">
        <v>1633</v>
      </c>
      <c r="AD288" s="35" t="s">
        <v>1634</v>
      </c>
      <c r="AE288" s="35" t="s">
        <v>1634</v>
      </c>
      <c r="AF288" s="35" t="s">
        <v>1635</v>
      </c>
      <c r="AG288" s="35" t="s">
        <v>2634</v>
      </c>
      <c r="AI288" s="35"/>
      <c r="AJ288" s="35" t="s">
        <v>1637</v>
      </c>
      <c r="AK288" s="35" t="s">
        <v>1672</v>
      </c>
      <c r="AL288" s="29" t="s">
        <v>2715</v>
      </c>
      <c r="AM288" s="35"/>
      <c r="AN288" s="35"/>
      <c r="AO288" s="35"/>
      <c r="AP288" s="35"/>
      <c r="AQ288" s="35"/>
      <c r="AS288" s="35"/>
      <c r="AU288" s="35"/>
      <c r="AW288" s="35"/>
      <c r="AY288" s="35"/>
      <c r="AZ288" s="35"/>
      <c r="BA288" s="35"/>
      <c r="BB288" s="29" t="s">
        <v>2756</v>
      </c>
      <c r="BC288" s="29" t="s">
        <v>2347</v>
      </c>
      <c r="BD288" s="29" t="s">
        <v>2739</v>
      </c>
      <c r="BE288" s="29" t="s">
        <v>1805</v>
      </c>
      <c r="BF288" s="29" t="s">
        <v>1905</v>
      </c>
      <c r="BG288" s="29" t="s">
        <v>2761</v>
      </c>
      <c r="BI288" s="35"/>
      <c r="BJ288" s="35"/>
      <c r="BK288" s="29" t="str" cm="1">
        <f t="array" ref="BK288">_xlfn.UNIQUE(MID(BB288,16,14))</f>
        <v>U012UBB01UC001</v>
      </c>
    </row>
    <row r="289" spans="1:63" x14ac:dyDescent="0.3">
      <c r="A289" s="29" t="s">
        <v>2733</v>
      </c>
      <c r="B289" s="36" t="str">
        <f t="shared" si="20"/>
        <v>G01NHA01KF001-FC11</v>
      </c>
      <c r="C289" s="33" t="s">
        <v>2762</v>
      </c>
      <c r="D289" s="34" t="str">
        <f t="shared" si="21"/>
        <v>ELY1 RECT1 CTRL U1 400VAC IN CB ON/OPN</v>
      </c>
      <c r="E289" s="31">
        <f t="shared" si="22"/>
        <v>38</v>
      </c>
      <c r="F289" s="32" t="str">
        <f t="shared" si="23"/>
        <v>ELECTROLYSIS SYSTEM ELECTROLYSIS ARRAY 1 RECTIFIER SYSTEMS RECTIFIER SYSTEM 1 CONTROL UNITS I&amp;C CABINET  1 - RECTIFIER SYSTEM 1 400VAC INPUT CHECK BACK ON/OPEN</v>
      </c>
      <c r="G289" s="29" t="s">
        <v>1614</v>
      </c>
      <c r="H289" s="29" t="s">
        <v>1615</v>
      </c>
      <c r="I289" s="29" t="str">
        <f t="shared" si="24"/>
        <v>01</v>
      </c>
      <c r="J289" s="29" t="s">
        <v>1616</v>
      </c>
      <c r="K289" s="29" t="s">
        <v>1842</v>
      </c>
      <c r="L289" s="29" t="s">
        <v>1843</v>
      </c>
      <c r="M289" s="29" t="s">
        <v>1619</v>
      </c>
      <c r="N289" s="29" t="s">
        <v>1844</v>
      </c>
      <c r="O289" s="29" t="s">
        <v>1771</v>
      </c>
      <c r="P289" s="29" t="s">
        <v>2055</v>
      </c>
      <c r="Q289" s="29" t="s">
        <v>1623</v>
      </c>
      <c r="R289" s="29" t="s">
        <v>2735</v>
      </c>
      <c r="S289" s="29" t="s">
        <v>2763</v>
      </c>
      <c r="T289" s="29" t="s">
        <v>2764</v>
      </c>
      <c r="U289" s="29" t="s">
        <v>790</v>
      </c>
      <c r="V289" s="29" t="s">
        <v>2639</v>
      </c>
      <c r="W289" s="35" t="s">
        <v>1628</v>
      </c>
      <c r="X289" s="35" t="s">
        <v>1850</v>
      </c>
      <c r="Y289" s="35" t="s">
        <v>1775</v>
      </c>
      <c r="Z289" s="35" t="s">
        <v>2765</v>
      </c>
      <c r="AA289" s="35" t="s">
        <v>2641</v>
      </c>
      <c r="AB289" s="29" t="s">
        <v>2766</v>
      </c>
      <c r="AC289" s="35" t="s">
        <v>1633</v>
      </c>
      <c r="AD289" s="35" t="s">
        <v>1634</v>
      </c>
      <c r="AE289" s="35" t="s">
        <v>1634</v>
      </c>
      <c r="AF289" s="35" t="s">
        <v>1635</v>
      </c>
      <c r="AG289" s="35" t="s">
        <v>2634</v>
      </c>
      <c r="AI289" s="35"/>
      <c r="AJ289" s="35" t="s">
        <v>1637</v>
      </c>
      <c r="AK289" s="35" t="s">
        <v>1672</v>
      </c>
      <c r="AL289" s="29" t="s">
        <v>2715</v>
      </c>
      <c r="AM289" s="35"/>
      <c r="AN289" s="35"/>
      <c r="AO289" s="35"/>
      <c r="AP289" s="35"/>
      <c r="AQ289" s="35"/>
      <c r="AS289" s="35"/>
      <c r="AU289" s="35"/>
      <c r="AW289" s="35"/>
      <c r="AY289" s="35"/>
      <c r="AZ289" s="35"/>
      <c r="BA289" s="35"/>
      <c r="BB289" s="29" t="s">
        <v>2756</v>
      </c>
      <c r="BC289" s="29" t="s">
        <v>2347</v>
      </c>
      <c r="BD289" s="29" t="s">
        <v>2739</v>
      </c>
      <c r="BE289" s="29" t="s">
        <v>1805</v>
      </c>
      <c r="BF289" s="29" t="s">
        <v>1909</v>
      </c>
      <c r="BG289" s="29" t="s">
        <v>2767</v>
      </c>
      <c r="BI289" s="35"/>
      <c r="BJ289" s="35"/>
      <c r="BK289" s="29" t="str" cm="1">
        <f t="array" ref="BK289">_xlfn.UNIQUE(MID(BB289,16,14))</f>
        <v>U012UBB01UC001</v>
      </c>
    </row>
    <row r="290" spans="1:63" x14ac:dyDescent="0.3">
      <c r="A290" s="29" t="s">
        <v>2733</v>
      </c>
      <c r="B290" s="36" t="str">
        <f t="shared" si="20"/>
        <v>G01NHA01KF001-FC21</v>
      </c>
      <c r="C290" s="33" t="s">
        <v>2768</v>
      </c>
      <c r="D290" s="34" t="str">
        <f t="shared" si="21"/>
        <v>ELY1 RECT1 CTRL U1 230VAC1 CB ON/OPN</v>
      </c>
      <c r="E290" s="31">
        <f t="shared" si="22"/>
        <v>36</v>
      </c>
      <c r="F290" s="32" t="str">
        <f t="shared" si="23"/>
        <v>ELECTROLYSIS SYSTEM ELECTROLYSIS ARRAY 1 RECTIFIER SYSTEMS RECTIFIER SYSTEM 1 CONTROL UNITS I&amp;C CABINET  1 - RECTIFIER SYSTEM 1 230VAC DISTRIBUTION CHECK BACK ON/OPEN</v>
      </c>
      <c r="G290" s="29" t="s">
        <v>1614</v>
      </c>
      <c r="H290" s="29" t="s">
        <v>1615</v>
      </c>
      <c r="I290" s="29" t="str">
        <f t="shared" si="24"/>
        <v>01</v>
      </c>
      <c r="J290" s="29" t="s">
        <v>1616</v>
      </c>
      <c r="K290" s="29" t="s">
        <v>1842</v>
      </c>
      <c r="L290" s="29" t="s">
        <v>1843</v>
      </c>
      <c r="M290" s="29" t="s">
        <v>1619</v>
      </c>
      <c r="N290" s="29" t="s">
        <v>1844</v>
      </c>
      <c r="O290" s="29" t="s">
        <v>1771</v>
      </c>
      <c r="P290" s="29" t="s">
        <v>2055</v>
      </c>
      <c r="Q290" s="29" t="s">
        <v>1623</v>
      </c>
      <c r="R290" s="29" t="s">
        <v>2735</v>
      </c>
      <c r="S290" s="29" t="s">
        <v>2769</v>
      </c>
      <c r="T290" s="29" t="s">
        <v>2770</v>
      </c>
      <c r="U290" s="29" t="s">
        <v>790</v>
      </c>
      <c r="V290" s="29" t="s">
        <v>2639</v>
      </c>
      <c r="W290" s="35" t="s">
        <v>1628</v>
      </c>
      <c r="X290" s="35" t="s">
        <v>1850</v>
      </c>
      <c r="Y290" s="35" t="s">
        <v>1775</v>
      </c>
      <c r="Z290" s="35" t="s">
        <v>2771</v>
      </c>
      <c r="AA290" s="35" t="s">
        <v>2641</v>
      </c>
      <c r="AB290" s="29" t="s">
        <v>2766</v>
      </c>
      <c r="AC290" s="35" t="s">
        <v>1633</v>
      </c>
      <c r="AD290" s="35" t="s">
        <v>1634</v>
      </c>
      <c r="AE290" s="35" t="s">
        <v>1634</v>
      </c>
      <c r="AF290" s="35" t="s">
        <v>1635</v>
      </c>
      <c r="AG290" s="35" t="s">
        <v>2634</v>
      </c>
      <c r="AI290" s="35"/>
      <c r="AJ290" s="35" t="s">
        <v>1637</v>
      </c>
      <c r="AK290" s="35" t="s">
        <v>1672</v>
      </c>
      <c r="AL290" s="29" t="s">
        <v>2715</v>
      </c>
      <c r="AM290" s="35"/>
      <c r="AN290" s="35"/>
      <c r="AO290" s="35"/>
      <c r="AP290" s="35"/>
      <c r="AQ290" s="35"/>
      <c r="AS290" s="35"/>
      <c r="AU290" s="35"/>
      <c r="AW290" s="35"/>
      <c r="AY290" s="35"/>
      <c r="AZ290" s="35"/>
      <c r="BA290" s="35"/>
      <c r="BB290" s="29" t="s">
        <v>2756</v>
      </c>
      <c r="BC290" s="29" t="s">
        <v>2347</v>
      </c>
      <c r="BD290" s="29" t="s">
        <v>2739</v>
      </c>
      <c r="BE290" s="29" t="s">
        <v>1805</v>
      </c>
      <c r="BF290" s="29" t="s">
        <v>1915</v>
      </c>
      <c r="BG290" s="29" t="s">
        <v>2772</v>
      </c>
      <c r="BI290" s="35"/>
      <c r="BJ290" s="35"/>
      <c r="BK290" s="29" t="str" cm="1">
        <f t="array" ref="BK290">_xlfn.UNIQUE(MID(BB290,16,14))</f>
        <v>U012UBB01UC001</v>
      </c>
    </row>
    <row r="291" spans="1:63" x14ac:dyDescent="0.3">
      <c r="A291" s="29" t="s">
        <v>2733</v>
      </c>
      <c r="B291" s="36" t="str">
        <f t="shared" si="20"/>
        <v>G01NHA01KF001-FC22</v>
      </c>
      <c r="C291" s="33" t="s">
        <v>2773</v>
      </c>
      <c r="D291" s="34" t="str">
        <f t="shared" si="21"/>
        <v>ELY1 RECT1 CTRL U1 230VAC2 CB ON/OPN</v>
      </c>
      <c r="E291" s="31">
        <f t="shared" si="22"/>
        <v>36</v>
      </c>
      <c r="F291" s="32" t="str">
        <f t="shared" si="23"/>
        <v>ELECTROLYSIS SYSTEM ELECTROLYSIS ARRAY 1 RECTIFIER SYSTEMS RECTIFIER SYSTEM 1 CONTROL UNITS I&amp;C CABINET  1 - RECTIFIER SYSTEM 1 230VAC DISTRIBUTION CHECK BACK ON/OPEN</v>
      </c>
      <c r="G291" s="29" t="s">
        <v>1614</v>
      </c>
      <c r="H291" s="29" t="s">
        <v>1615</v>
      </c>
      <c r="I291" s="29" t="str">
        <f t="shared" si="24"/>
        <v>01</v>
      </c>
      <c r="J291" s="29" t="s">
        <v>1616</v>
      </c>
      <c r="K291" s="29" t="s">
        <v>1842</v>
      </c>
      <c r="L291" s="29" t="s">
        <v>1843</v>
      </c>
      <c r="M291" s="29" t="s">
        <v>1619</v>
      </c>
      <c r="N291" s="29" t="s">
        <v>1844</v>
      </c>
      <c r="O291" s="29" t="s">
        <v>1771</v>
      </c>
      <c r="P291" s="29" t="s">
        <v>2055</v>
      </c>
      <c r="Q291" s="29" t="s">
        <v>1623</v>
      </c>
      <c r="R291" s="29" t="s">
        <v>2735</v>
      </c>
      <c r="S291" s="29" t="s">
        <v>2774</v>
      </c>
      <c r="T291" s="29" t="s">
        <v>2770</v>
      </c>
      <c r="U291" s="29" t="s">
        <v>790</v>
      </c>
      <c r="V291" s="29" t="s">
        <v>2639</v>
      </c>
      <c r="W291" s="35" t="s">
        <v>1628</v>
      </c>
      <c r="X291" s="35" t="s">
        <v>1850</v>
      </c>
      <c r="Y291" s="35" t="s">
        <v>1775</v>
      </c>
      <c r="Z291" s="35" t="s">
        <v>2775</v>
      </c>
      <c r="AA291" s="35" t="s">
        <v>2641</v>
      </c>
      <c r="AB291" s="29" t="s">
        <v>2766</v>
      </c>
      <c r="AC291" s="35" t="s">
        <v>1633</v>
      </c>
      <c r="AD291" s="35" t="s">
        <v>1634</v>
      </c>
      <c r="AE291" s="35" t="s">
        <v>1634</v>
      </c>
      <c r="AF291" s="35" t="s">
        <v>1635</v>
      </c>
      <c r="AG291" s="35" t="s">
        <v>2634</v>
      </c>
      <c r="AI291" s="35"/>
      <c r="AJ291" s="35" t="s">
        <v>1637</v>
      </c>
      <c r="AK291" s="35" t="s">
        <v>1672</v>
      </c>
      <c r="AL291" s="29" t="s">
        <v>2715</v>
      </c>
      <c r="AM291" s="35"/>
      <c r="AN291" s="35"/>
      <c r="AO291" s="35"/>
      <c r="AP291" s="35"/>
      <c r="AQ291" s="35"/>
      <c r="AS291" s="35"/>
      <c r="AU291" s="35"/>
      <c r="AW291" s="35"/>
      <c r="AY291" s="35"/>
      <c r="AZ291" s="35"/>
      <c r="BA291" s="35"/>
      <c r="BB291" s="29" t="s">
        <v>2756</v>
      </c>
      <c r="BC291" s="29" t="s">
        <v>2347</v>
      </c>
      <c r="BD291" s="29" t="s">
        <v>2739</v>
      </c>
      <c r="BE291" s="29" t="s">
        <v>1805</v>
      </c>
      <c r="BF291" s="29" t="s">
        <v>1919</v>
      </c>
      <c r="BG291" s="29" t="s">
        <v>2776</v>
      </c>
      <c r="BI291" s="35"/>
      <c r="BJ291" s="35"/>
      <c r="BK291" s="29" t="str" cm="1">
        <f t="array" ref="BK291">_xlfn.UNIQUE(MID(BB291,16,14))</f>
        <v>U012UBB01UC001</v>
      </c>
    </row>
    <row r="292" spans="1:63" x14ac:dyDescent="0.3">
      <c r="A292" s="29" t="s">
        <v>2733</v>
      </c>
      <c r="B292" s="36" t="str">
        <f t="shared" si="20"/>
        <v>G01NHA01KF001-FC23</v>
      </c>
      <c r="C292" s="33" t="s">
        <v>2777</v>
      </c>
      <c r="D292" s="34" t="str">
        <f t="shared" si="21"/>
        <v>ELY1 RECT1 CTRL U1 230VAC3 CB ON/OPN</v>
      </c>
      <c r="E292" s="31">
        <f t="shared" si="22"/>
        <v>36</v>
      </c>
      <c r="F292" s="32" t="str">
        <f t="shared" si="23"/>
        <v>ELECTROLYSIS SYSTEM ELECTROLYSIS ARRAY 1 RECTIFIER SYSTEMS RECTIFIER SYSTEM 1 CONTROL UNITS I&amp;C CABINET  1 - RECTIFIER SYSTEM 1 230VAC DISTRIBUTION CHECK BACK ON/OPEN</v>
      </c>
      <c r="G292" s="29" t="s">
        <v>1614</v>
      </c>
      <c r="H292" s="29" t="s">
        <v>1615</v>
      </c>
      <c r="I292" s="29" t="str">
        <f t="shared" si="24"/>
        <v>01</v>
      </c>
      <c r="J292" s="29" t="s">
        <v>1616</v>
      </c>
      <c r="K292" s="29" t="s">
        <v>1842</v>
      </c>
      <c r="L292" s="29" t="s">
        <v>1843</v>
      </c>
      <c r="M292" s="29" t="s">
        <v>1619</v>
      </c>
      <c r="N292" s="29" t="s">
        <v>1844</v>
      </c>
      <c r="O292" s="29" t="s">
        <v>1771</v>
      </c>
      <c r="P292" s="29" t="s">
        <v>2055</v>
      </c>
      <c r="Q292" s="29" t="s">
        <v>1623</v>
      </c>
      <c r="R292" s="29" t="s">
        <v>2735</v>
      </c>
      <c r="S292" s="29" t="s">
        <v>2778</v>
      </c>
      <c r="T292" s="29" t="s">
        <v>2770</v>
      </c>
      <c r="U292" s="29" t="s">
        <v>790</v>
      </c>
      <c r="V292" s="29" t="s">
        <v>2639</v>
      </c>
      <c r="W292" s="35" t="s">
        <v>1628</v>
      </c>
      <c r="X292" s="35" t="s">
        <v>1850</v>
      </c>
      <c r="Y292" s="35" t="s">
        <v>1775</v>
      </c>
      <c r="Z292" s="35" t="s">
        <v>2779</v>
      </c>
      <c r="AA292" s="35" t="s">
        <v>2641</v>
      </c>
      <c r="AB292" s="29" t="s">
        <v>2766</v>
      </c>
      <c r="AC292" s="35" t="s">
        <v>1633</v>
      </c>
      <c r="AD292" s="35" t="s">
        <v>1634</v>
      </c>
      <c r="AE292" s="35" t="s">
        <v>1634</v>
      </c>
      <c r="AF292" s="35" t="s">
        <v>1635</v>
      </c>
      <c r="AG292" s="35" t="s">
        <v>2634</v>
      </c>
      <c r="AI292" s="35"/>
      <c r="AJ292" s="35" t="s">
        <v>1637</v>
      </c>
      <c r="AK292" s="35" t="s">
        <v>1672</v>
      </c>
      <c r="AL292" s="29" t="s">
        <v>2715</v>
      </c>
      <c r="AM292" s="35"/>
      <c r="AN292" s="35"/>
      <c r="AO292" s="35"/>
      <c r="AP292" s="35"/>
      <c r="AQ292" s="35"/>
      <c r="AS292" s="35"/>
      <c r="AU292" s="35"/>
      <c r="AW292" s="35"/>
      <c r="AY292" s="35"/>
      <c r="AZ292" s="35"/>
      <c r="BA292" s="35"/>
      <c r="BB292" s="29" t="s">
        <v>2756</v>
      </c>
      <c r="BC292" s="29" t="s">
        <v>2347</v>
      </c>
      <c r="BD292" s="29" t="s">
        <v>2739</v>
      </c>
      <c r="BE292" s="29" t="s">
        <v>1805</v>
      </c>
      <c r="BF292" s="29" t="s">
        <v>1922</v>
      </c>
      <c r="BG292" s="29" t="s">
        <v>2780</v>
      </c>
      <c r="BI292" s="35"/>
      <c r="BJ292" s="35"/>
      <c r="BK292" s="29" t="str" cm="1">
        <f t="array" ref="BK292">_xlfn.UNIQUE(MID(BB292,16,14))</f>
        <v>U012UBB01UC001</v>
      </c>
    </row>
    <row r="293" spans="1:63" x14ac:dyDescent="0.3">
      <c r="A293" s="29" t="s">
        <v>2733</v>
      </c>
      <c r="B293" s="36" t="str">
        <f t="shared" si="20"/>
        <v>G01NHA01KF001-FC24</v>
      </c>
      <c r="C293" s="33" t="s">
        <v>2781</v>
      </c>
      <c r="D293" s="34" t="str">
        <f t="shared" si="21"/>
        <v>ELY1 RECT1 CTRL U1 230VAC4 CB ON/OPN</v>
      </c>
      <c r="E293" s="31">
        <f t="shared" si="22"/>
        <v>36</v>
      </c>
      <c r="F293" s="32" t="str">
        <f t="shared" si="23"/>
        <v>ELECTROLYSIS SYSTEM ELECTROLYSIS ARRAY 1 RECTIFIER SYSTEMS RECTIFIER SYSTEM 1 CONTROL UNITS I&amp;C CABINET  1 - RECTIFIER SYSTEM 1 230VAC DISTRIBUTION CHECK BACK ON/OPEN</v>
      </c>
      <c r="G293" s="29" t="s">
        <v>1614</v>
      </c>
      <c r="H293" s="29" t="s">
        <v>1615</v>
      </c>
      <c r="I293" s="29" t="str">
        <f t="shared" si="24"/>
        <v>01</v>
      </c>
      <c r="J293" s="29" t="s">
        <v>1616</v>
      </c>
      <c r="K293" s="29" t="s">
        <v>1842</v>
      </c>
      <c r="L293" s="29" t="s">
        <v>1843</v>
      </c>
      <c r="M293" s="29" t="s">
        <v>1619</v>
      </c>
      <c r="N293" s="29" t="s">
        <v>1844</v>
      </c>
      <c r="O293" s="29" t="s">
        <v>1771</v>
      </c>
      <c r="P293" s="29" t="s">
        <v>2055</v>
      </c>
      <c r="Q293" s="29" t="s">
        <v>1623</v>
      </c>
      <c r="R293" s="29" t="s">
        <v>2735</v>
      </c>
      <c r="S293" s="29" t="s">
        <v>2782</v>
      </c>
      <c r="T293" s="29" t="s">
        <v>2770</v>
      </c>
      <c r="U293" s="29" t="s">
        <v>790</v>
      </c>
      <c r="V293" s="29" t="s">
        <v>2639</v>
      </c>
      <c r="W293" s="35" t="s">
        <v>1628</v>
      </c>
      <c r="X293" s="35" t="s">
        <v>1850</v>
      </c>
      <c r="Y293" s="35" t="s">
        <v>1775</v>
      </c>
      <c r="Z293" s="35" t="s">
        <v>2783</v>
      </c>
      <c r="AA293" s="35" t="s">
        <v>2641</v>
      </c>
      <c r="AB293" s="29" t="s">
        <v>2766</v>
      </c>
      <c r="AC293" s="35" t="s">
        <v>1633</v>
      </c>
      <c r="AD293" s="35" t="s">
        <v>1634</v>
      </c>
      <c r="AE293" s="35" t="s">
        <v>1634</v>
      </c>
      <c r="AF293" s="35" t="s">
        <v>1635</v>
      </c>
      <c r="AG293" s="35" t="s">
        <v>2634</v>
      </c>
      <c r="AI293" s="35"/>
      <c r="AJ293" s="35" t="s">
        <v>1637</v>
      </c>
      <c r="AK293" s="35" t="s">
        <v>1672</v>
      </c>
      <c r="AL293" s="29" t="s">
        <v>2715</v>
      </c>
      <c r="AM293" s="35"/>
      <c r="AN293" s="35"/>
      <c r="AO293" s="35"/>
      <c r="AP293" s="35"/>
      <c r="AQ293" s="35"/>
      <c r="AS293" s="35"/>
      <c r="AU293" s="35"/>
      <c r="AW293" s="35"/>
      <c r="AY293" s="35"/>
      <c r="AZ293" s="35"/>
      <c r="BA293" s="35"/>
      <c r="BB293" s="29" t="s">
        <v>2756</v>
      </c>
      <c r="BC293" s="29" t="s">
        <v>2347</v>
      </c>
      <c r="BD293" s="29" t="s">
        <v>2739</v>
      </c>
      <c r="BE293" s="29" t="s">
        <v>1805</v>
      </c>
      <c r="BF293" s="29" t="s">
        <v>1931</v>
      </c>
      <c r="BG293" s="29" t="s">
        <v>2784</v>
      </c>
      <c r="BI293" s="35"/>
      <c r="BJ293" s="35"/>
      <c r="BK293" s="29" t="str" cm="1">
        <f t="array" ref="BK293">_xlfn.UNIQUE(MID(BB293,16,14))</f>
        <v>U012UBB01UC001</v>
      </c>
    </row>
    <row r="294" spans="1:63" x14ac:dyDescent="0.3">
      <c r="A294" s="29" t="s">
        <v>2733</v>
      </c>
      <c r="B294" s="36" t="str">
        <f t="shared" si="20"/>
        <v>G01NHA01KF001-FC25</v>
      </c>
      <c r="C294" s="33" t="s">
        <v>2785</v>
      </c>
      <c r="D294" s="34" t="str">
        <f t="shared" si="21"/>
        <v>ELY1 RECT1 CTRL U1 230VAC5 CB ON/OPN</v>
      </c>
      <c r="E294" s="31">
        <f t="shared" si="22"/>
        <v>36</v>
      </c>
      <c r="F294" s="32" t="str">
        <f t="shared" si="23"/>
        <v>ELECTROLYSIS SYSTEM ELECTROLYSIS ARRAY 1 RECTIFIER SYSTEMS RECTIFIER SYSTEM 1 CONTROL UNITS I&amp;C CABINET  1 - RECTIFIER SYSTEM 1 230VAC DISTRIBUTION CHECK BACK ON/OPEN</v>
      </c>
      <c r="G294" s="29" t="s">
        <v>1614</v>
      </c>
      <c r="H294" s="29" t="s">
        <v>1615</v>
      </c>
      <c r="I294" s="29" t="str">
        <f t="shared" si="24"/>
        <v>01</v>
      </c>
      <c r="J294" s="29" t="s">
        <v>1616</v>
      </c>
      <c r="K294" s="29" t="s">
        <v>1842</v>
      </c>
      <c r="L294" s="29" t="s">
        <v>1843</v>
      </c>
      <c r="M294" s="29" t="s">
        <v>1619</v>
      </c>
      <c r="N294" s="29" t="s">
        <v>1844</v>
      </c>
      <c r="O294" s="29" t="s">
        <v>1771</v>
      </c>
      <c r="P294" s="29" t="s">
        <v>2055</v>
      </c>
      <c r="Q294" s="29" t="s">
        <v>1623</v>
      </c>
      <c r="R294" s="29" t="s">
        <v>2735</v>
      </c>
      <c r="S294" s="29" t="s">
        <v>2786</v>
      </c>
      <c r="T294" s="29" t="s">
        <v>2770</v>
      </c>
      <c r="U294" s="29" t="s">
        <v>790</v>
      </c>
      <c r="V294" s="29" t="s">
        <v>2639</v>
      </c>
      <c r="W294" s="35" t="s">
        <v>1628</v>
      </c>
      <c r="X294" s="35" t="s">
        <v>1850</v>
      </c>
      <c r="Y294" s="35" t="s">
        <v>1775</v>
      </c>
      <c r="Z294" s="35" t="s">
        <v>2787</v>
      </c>
      <c r="AA294" s="35" t="s">
        <v>2641</v>
      </c>
      <c r="AB294" s="29" t="s">
        <v>2766</v>
      </c>
      <c r="AC294" s="35" t="s">
        <v>1633</v>
      </c>
      <c r="AD294" s="35" t="s">
        <v>1634</v>
      </c>
      <c r="AE294" s="35" t="s">
        <v>1634</v>
      </c>
      <c r="AF294" s="35" t="s">
        <v>1635</v>
      </c>
      <c r="AG294" s="35" t="s">
        <v>2634</v>
      </c>
      <c r="AI294" s="35"/>
      <c r="AJ294" s="35" t="s">
        <v>1637</v>
      </c>
      <c r="AK294" s="35" t="s">
        <v>1672</v>
      </c>
      <c r="AL294" s="29" t="s">
        <v>2715</v>
      </c>
      <c r="AM294" s="35"/>
      <c r="AN294" s="35"/>
      <c r="AO294" s="35"/>
      <c r="AP294" s="35"/>
      <c r="AQ294" s="35"/>
      <c r="AS294" s="35"/>
      <c r="AU294" s="35"/>
      <c r="AW294" s="35"/>
      <c r="AY294" s="35"/>
      <c r="AZ294" s="35"/>
      <c r="BA294" s="35"/>
      <c r="BB294" s="29" t="s">
        <v>2756</v>
      </c>
      <c r="BC294" s="29" t="s">
        <v>2347</v>
      </c>
      <c r="BD294" s="29" t="s">
        <v>2739</v>
      </c>
      <c r="BE294" s="29" t="s">
        <v>1805</v>
      </c>
      <c r="BF294" s="29" t="s">
        <v>1936</v>
      </c>
      <c r="BG294" s="29" t="s">
        <v>2788</v>
      </c>
      <c r="BI294" s="35"/>
      <c r="BJ294" s="35"/>
      <c r="BK294" s="29" t="str" cm="1">
        <f t="array" ref="BK294">_xlfn.UNIQUE(MID(BB294,16,14))</f>
        <v>U012UBB01UC001</v>
      </c>
    </row>
    <row r="295" spans="1:63" x14ac:dyDescent="0.3">
      <c r="A295" s="29" t="s">
        <v>2733</v>
      </c>
      <c r="B295" s="36" t="str">
        <f t="shared" si="20"/>
        <v>G01NHA01KF001-FC26</v>
      </c>
      <c r="C295" s="33" t="s">
        <v>2789</v>
      </c>
      <c r="D295" s="34" t="str">
        <f t="shared" si="21"/>
        <v>ELY1 RECT1 CTRL U1 230VAC6 CB ON/OPN</v>
      </c>
      <c r="E295" s="31">
        <f t="shared" si="22"/>
        <v>36</v>
      </c>
      <c r="F295" s="32" t="str">
        <f t="shared" si="23"/>
        <v>ELECTROLYSIS SYSTEM ELECTROLYSIS ARRAY 1 RECTIFIER SYSTEMS RECTIFIER SYSTEM 1 CONTROL UNITS I&amp;C CABINET  1 - RECTIFIER SYSTEM 1 230VAC DISTRIBUTION CHECK BACK ON/OPEN</v>
      </c>
      <c r="G295" s="29" t="s">
        <v>1614</v>
      </c>
      <c r="H295" s="29" t="s">
        <v>1615</v>
      </c>
      <c r="I295" s="29" t="str">
        <f t="shared" si="24"/>
        <v>01</v>
      </c>
      <c r="J295" s="29" t="s">
        <v>1616</v>
      </c>
      <c r="K295" s="29" t="s">
        <v>1842</v>
      </c>
      <c r="L295" s="29" t="s">
        <v>1843</v>
      </c>
      <c r="M295" s="29" t="s">
        <v>1619</v>
      </c>
      <c r="N295" s="29" t="s">
        <v>1844</v>
      </c>
      <c r="O295" s="29" t="s">
        <v>1771</v>
      </c>
      <c r="P295" s="29" t="s">
        <v>2055</v>
      </c>
      <c r="Q295" s="29" t="s">
        <v>1623</v>
      </c>
      <c r="R295" s="29" t="s">
        <v>2735</v>
      </c>
      <c r="S295" s="29" t="s">
        <v>2790</v>
      </c>
      <c r="T295" s="29" t="s">
        <v>2770</v>
      </c>
      <c r="U295" s="29" t="s">
        <v>790</v>
      </c>
      <c r="V295" s="29" t="s">
        <v>2639</v>
      </c>
      <c r="W295" s="35" t="s">
        <v>1628</v>
      </c>
      <c r="X295" s="35" t="s">
        <v>1850</v>
      </c>
      <c r="Y295" s="35" t="s">
        <v>1775</v>
      </c>
      <c r="Z295" s="35" t="s">
        <v>2791</v>
      </c>
      <c r="AA295" s="35" t="s">
        <v>2641</v>
      </c>
      <c r="AB295" s="29" t="s">
        <v>2766</v>
      </c>
      <c r="AC295" s="35" t="s">
        <v>1633</v>
      </c>
      <c r="AD295" s="35" t="s">
        <v>1634</v>
      </c>
      <c r="AE295" s="35" t="s">
        <v>1634</v>
      </c>
      <c r="AF295" s="35" t="s">
        <v>1635</v>
      </c>
      <c r="AG295" s="35" t="s">
        <v>2634</v>
      </c>
      <c r="AI295" s="35"/>
      <c r="AJ295" s="35" t="s">
        <v>1637</v>
      </c>
      <c r="AK295" s="35" t="s">
        <v>1672</v>
      </c>
      <c r="AL295" s="29" t="s">
        <v>2715</v>
      </c>
      <c r="AM295" s="35"/>
      <c r="AN295" s="35"/>
      <c r="AO295" s="35"/>
      <c r="AP295" s="35"/>
      <c r="AQ295" s="35"/>
      <c r="AS295" s="35"/>
      <c r="AU295" s="35"/>
      <c r="AW295" s="35"/>
      <c r="AY295" s="35"/>
      <c r="AZ295" s="35"/>
      <c r="BA295" s="35"/>
      <c r="BB295" s="29" t="s">
        <v>2756</v>
      </c>
      <c r="BC295" s="29" t="s">
        <v>2347</v>
      </c>
      <c r="BD295" s="29" t="s">
        <v>2739</v>
      </c>
      <c r="BE295" s="29" t="s">
        <v>1805</v>
      </c>
      <c r="BF295" s="29" t="s">
        <v>2035</v>
      </c>
      <c r="BG295" s="29" t="s">
        <v>2792</v>
      </c>
      <c r="BI295" s="35"/>
      <c r="BJ295" s="35"/>
      <c r="BK295" s="29" t="str" cm="1">
        <f t="array" ref="BK295">_xlfn.UNIQUE(MID(BB295,16,14))</f>
        <v>U012UBB01UC001</v>
      </c>
    </row>
    <row r="296" spans="1:63" x14ac:dyDescent="0.3">
      <c r="A296" s="29" t="s">
        <v>2733</v>
      </c>
      <c r="B296" s="36" t="str">
        <f t="shared" si="20"/>
        <v>G01NHA01KF001-FC27</v>
      </c>
      <c r="C296" s="33" t="s">
        <v>2793</v>
      </c>
      <c r="D296" s="34" t="str">
        <f t="shared" si="21"/>
        <v>ELY1 RECT1 CTRL U1 230VAC7 CB ON/OPN</v>
      </c>
      <c r="E296" s="31">
        <f t="shared" si="22"/>
        <v>36</v>
      </c>
      <c r="F296" s="32" t="str">
        <f t="shared" si="23"/>
        <v>ELECTROLYSIS SYSTEM ELECTROLYSIS ARRAY 1 RECTIFIER SYSTEMS RECTIFIER SYSTEM 1 CONTROL UNITS I&amp;C CABINET  1 - RECTIFIER SYSTEM 1 230VAC DISTRIBUTION CHECK BACK ON/OPEN</v>
      </c>
      <c r="G296" s="29" t="s">
        <v>1614</v>
      </c>
      <c r="H296" s="29" t="s">
        <v>1615</v>
      </c>
      <c r="I296" s="29" t="str">
        <f t="shared" si="24"/>
        <v>01</v>
      </c>
      <c r="J296" s="29" t="s">
        <v>1616</v>
      </c>
      <c r="K296" s="29" t="s">
        <v>1842</v>
      </c>
      <c r="L296" s="29" t="s">
        <v>1843</v>
      </c>
      <c r="M296" s="29" t="s">
        <v>1619</v>
      </c>
      <c r="N296" s="29" t="s">
        <v>1844</v>
      </c>
      <c r="O296" s="29" t="s">
        <v>1771</v>
      </c>
      <c r="P296" s="29" t="s">
        <v>2055</v>
      </c>
      <c r="Q296" s="29" t="s">
        <v>1623</v>
      </c>
      <c r="R296" s="29" t="s">
        <v>2735</v>
      </c>
      <c r="S296" s="29" t="s">
        <v>2794</v>
      </c>
      <c r="T296" s="29" t="s">
        <v>2770</v>
      </c>
      <c r="U296" s="29" t="s">
        <v>790</v>
      </c>
      <c r="V296" s="29" t="s">
        <v>2639</v>
      </c>
      <c r="W296" s="35" t="s">
        <v>1628</v>
      </c>
      <c r="X296" s="35" t="s">
        <v>1850</v>
      </c>
      <c r="Y296" s="35" t="s">
        <v>1775</v>
      </c>
      <c r="Z296" s="35" t="s">
        <v>2795</v>
      </c>
      <c r="AA296" s="35" t="s">
        <v>2641</v>
      </c>
      <c r="AB296" s="29" t="s">
        <v>2766</v>
      </c>
      <c r="AC296" s="35" t="s">
        <v>1633</v>
      </c>
      <c r="AD296" s="35" t="s">
        <v>1634</v>
      </c>
      <c r="AE296" s="35" t="s">
        <v>1634</v>
      </c>
      <c r="AF296" s="35" t="s">
        <v>1635</v>
      </c>
      <c r="AG296" s="35" t="s">
        <v>2634</v>
      </c>
      <c r="AI296" s="35"/>
      <c r="AJ296" s="35" t="s">
        <v>1637</v>
      </c>
      <c r="AK296" s="35" t="s">
        <v>1672</v>
      </c>
      <c r="AL296" s="29" t="s">
        <v>2715</v>
      </c>
      <c r="AM296" s="35"/>
      <c r="AN296" s="35"/>
      <c r="AO296" s="35"/>
      <c r="AP296" s="35"/>
      <c r="AQ296" s="35"/>
      <c r="AS296" s="35"/>
      <c r="AU296" s="35"/>
      <c r="AW296" s="35"/>
      <c r="AY296" s="35"/>
      <c r="AZ296" s="35"/>
      <c r="BA296" s="35"/>
      <c r="BB296" s="29" t="s">
        <v>2756</v>
      </c>
      <c r="BC296" s="29" t="s">
        <v>2347</v>
      </c>
      <c r="BD296" s="29" t="s">
        <v>2739</v>
      </c>
      <c r="BE296" s="29" t="s">
        <v>1805</v>
      </c>
      <c r="BF296" s="29" t="s">
        <v>1969</v>
      </c>
      <c r="BG296" s="29" t="s">
        <v>2796</v>
      </c>
      <c r="BI296" s="35"/>
      <c r="BJ296" s="35"/>
      <c r="BK296" s="29" t="str" cm="1">
        <f t="array" ref="BK296">_xlfn.UNIQUE(MID(BB296,16,14))</f>
        <v>U012UBB01UC001</v>
      </c>
    </row>
    <row r="297" spans="1:63" x14ac:dyDescent="0.3">
      <c r="A297" s="29" t="s">
        <v>2733</v>
      </c>
      <c r="B297" s="36" t="str">
        <f t="shared" si="20"/>
        <v>G01NHA01KF001-FC28</v>
      </c>
      <c r="C297" s="33" t="s">
        <v>2797</v>
      </c>
      <c r="D297" s="34" t="str">
        <f t="shared" si="21"/>
        <v>ELY1 RECT1 CTRL U1 230VAC8 CB ON/OPN</v>
      </c>
      <c r="E297" s="31">
        <f t="shared" si="22"/>
        <v>36</v>
      </c>
      <c r="F297" s="32" t="str">
        <f t="shared" si="23"/>
        <v>ELECTROLYSIS SYSTEM ELECTROLYSIS ARRAY 1 RECTIFIER SYSTEMS RECTIFIER SYSTEM 1 CONTROL UNITS I&amp;C CABINET  1 - RECTIFIER SYSTEM 1 230VAC DISTRIBUTION CHECK BACK ON/OPEN</v>
      </c>
      <c r="G297" s="29" t="s">
        <v>1614</v>
      </c>
      <c r="H297" s="29" t="s">
        <v>1615</v>
      </c>
      <c r="I297" s="29" t="str">
        <f t="shared" si="24"/>
        <v>01</v>
      </c>
      <c r="J297" s="29" t="s">
        <v>1616</v>
      </c>
      <c r="K297" s="29" t="s">
        <v>1842</v>
      </c>
      <c r="L297" s="29" t="s">
        <v>1843</v>
      </c>
      <c r="M297" s="29" t="s">
        <v>1619</v>
      </c>
      <c r="N297" s="29" t="s">
        <v>1844</v>
      </c>
      <c r="O297" s="29" t="s">
        <v>1771</v>
      </c>
      <c r="P297" s="29" t="s">
        <v>2055</v>
      </c>
      <c r="Q297" s="29" t="s">
        <v>1623</v>
      </c>
      <c r="R297" s="29" t="s">
        <v>2735</v>
      </c>
      <c r="S297" s="29" t="s">
        <v>2798</v>
      </c>
      <c r="T297" s="29" t="s">
        <v>2770</v>
      </c>
      <c r="U297" s="29" t="s">
        <v>790</v>
      </c>
      <c r="V297" s="29" t="s">
        <v>2639</v>
      </c>
      <c r="W297" s="35" t="s">
        <v>1628</v>
      </c>
      <c r="X297" s="35" t="s">
        <v>1850</v>
      </c>
      <c r="Y297" s="35" t="s">
        <v>1775</v>
      </c>
      <c r="Z297" s="35" t="s">
        <v>2799</v>
      </c>
      <c r="AA297" s="35" t="s">
        <v>2641</v>
      </c>
      <c r="AB297" s="29" t="s">
        <v>2766</v>
      </c>
      <c r="AC297" s="35" t="s">
        <v>1633</v>
      </c>
      <c r="AD297" s="35" t="s">
        <v>1634</v>
      </c>
      <c r="AE297" s="35" t="s">
        <v>1634</v>
      </c>
      <c r="AF297" s="35" t="s">
        <v>1635</v>
      </c>
      <c r="AG297" s="35" t="s">
        <v>2634</v>
      </c>
      <c r="AI297" s="35"/>
      <c r="AJ297" s="35" t="s">
        <v>1637</v>
      </c>
      <c r="AK297" s="35" t="s">
        <v>1672</v>
      </c>
      <c r="AL297" s="29" t="s">
        <v>2715</v>
      </c>
      <c r="AM297" s="35"/>
      <c r="AN297" s="35"/>
      <c r="AO297" s="35"/>
      <c r="AP297" s="35"/>
      <c r="AQ297" s="35"/>
      <c r="AS297" s="35"/>
      <c r="AU297" s="35"/>
      <c r="AW297" s="35"/>
      <c r="AY297" s="35"/>
      <c r="AZ297" s="35"/>
      <c r="BA297" s="35"/>
      <c r="BB297" s="29" t="s">
        <v>2756</v>
      </c>
      <c r="BC297" s="29" t="s">
        <v>2347</v>
      </c>
      <c r="BD297" s="29" t="s">
        <v>2739</v>
      </c>
      <c r="BE297" s="29" t="s">
        <v>1805</v>
      </c>
      <c r="BF297" s="29" t="s">
        <v>1973</v>
      </c>
      <c r="BG297" s="29" t="s">
        <v>2800</v>
      </c>
      <c r="BI297" s="35"/>
      <c r="BJ297" s="35"/>
      <c r="BK297" s="29" t="str" cm="1">
        <f t="array" ref="BK297">_xlfn.UNIQUE(MID(BB297,16,14))</f>
        <v>U012UBB01UC001</v>
      </c>
    </row>
    <row r="298" spans="1:63" x14ac:dyDescent="0.3">
      <c r="A298" s="29" t="s">
        <v>2733</v>
      </c>
      <c r="B298" s="36" t="str">
        <f t="shared" si="20"/>
        <v>G01NHA01KF001-FC29</v>
      </c>
      <c r="C298" s="33" t="s">
        <v>2801</v>
      </c>
      <c r="D298" s="34" t="str">
        <f t="shared" si="21"/>
        <v>ELY1 RECT1 CTRL U1 230VAC9 CB ON/OPN</v>
      </c>
      <c r="E298" s="31">
        <f t="shared" si="22"/>
        <v>36</v>
      </c>
      <c r="F298" s="32" t="str">
        <f t="shared" si="23"/>
        <v>ELECTROLYSIS SYSTEM ELECTROLYSIS ARRAY 1 RECTIFIER SYSTEMS RECTIFIER SYSTEM 1 CONTROL UNITS I&amp;C CABINET  1 - RECTIFIER SYSTEM 1 230VAC DISTRIBUTION CHECK BACK ON/OPEN</v>
      </c>
      <c r="G298" s="29" t="s">
        <v>1614</v>
      </c>
      <c r="H298" s="29" t="s">
        <v>1615</v>
      </c>
      <c r="I298" s="29" t="str">
        <f t="shared" si="24"/>
        <v>01</v>
      </c>
      <c r="J298" s="29" t="s">
        <v>1616</v>
      </c>
      <c r="K298" s="29" t="s">
        <v>1842</v>
      </c>
      <c r="L298" s="29" t="s">
        <v>1843</v>
      </c>
      <c r="M298" s="29" t="s">
        <v>1619</v>
      </c>
      <c r="N298" s="29" t="s">
        <v>1844</v>
      </c>
      <c r="O298" s="29" t="s">
        <v>1771</v>
      </c>
      <c r="P298" s="29" t="s">
        <v>2055</v>
      </c>
      <c r="Q298" s="29" t="s">
        <v>1623</v>
      </c>
      <c r="R298" s="29" t="s">
        <v>2735</v>
      </c>
      <c r="S298" s="29" t="s">
        <v>2802</v>
      </c>
      <c r="T298" s="29" t="s">
        <v>2770</v>
      </c>
      <c r="U298" s="29" t="s">
        <v>790</v>
      </c>
      <c r="V298" s="29" t="s">
        <v>2639</v>
      </c>
      <c r="W298" s="35" t="s">
        <v>1628</v>
      </c>
      <c r="X298" s="35" t="s">
        <v>1850</v>
      </c>
      <c r="Y298" s="35" t="s">
        <v>1775</v>
      </c>
      <c r="Z298" s="35" t="s">
        <v>2803</v>
      </c>
      <c r="AA298" s="35" t="s">
        <v>2641</v>
      </c>
      <c r="AB298" s="29" t="s">
        <v>2766</v>
      </c>
      <c r="AC298" s="35" t="s">
        <v>1633</v>
      </c>
      <c r="AD298" s="35" t="s">
        <v>1634</v>
      </c>
      <c r="AE298" s="35" t="s">
        <v>1634</v>
      </c>
      <c r="AF298" s="35" t="s">
        <v>1635</v>
      </c>
      <c r="AG298" s="35" t="s">
        <v>2634</v>
      </c>
      <c r="AI298" s="35"/>
      <c r="AJ298" s="35" t="s">
        <v>1637</v>
      </c>
      <c r="AK298" s="35" t="s">
        <v>1672</v>
      </c>
      <c r="AL298" s="29" t="s">
        <v>2715</v>
      </c>
      <c r="AM298" s="35"/>
      <c r="AN298" s="35"/>
      <c r="AO298" s="35"/>
      <c r="AP298" s="35"/>
      <c r="AQ298" s="35"/>
      <c r="AS298" s="35"/>
      <c r="AU298" s="35"/>
      <c r="AW298" s="35"/>
      <c r="AY298" s="35"/>
      <c r="AZ298" s="35"/>
      <c r="BA298" s="35"/>
      <c r="BB298" s="29" t="s">
        <v>2756</v>
      </c>
      <c r="BC298" s="29" t="s">
        <v>2347</v>
      </c>
      <c r="BD298" s="29" t="s">
        <v>2739</v>
      </c>
      <c r="BE298" s="29" t="s">
        <v>1805</v>
      </c>
      <c r="BF298" s="29" t="s">
        <v>2048</v>
      </c>
      <c r="BG298" s="29" t="s">
        <v>2804</v>
      </c>
      <c r="BI298" s="35"/>
      <c r="BJ298" s="35"/>
      <c r="BK298" s="29" t="str" cm="1">
        <f t="array" ref="BK298">_xlfn.UNIQUE(MID(BB298,16,14))</f>
        <v>U012UBB01UC001</v>
      </c>
    </row>
    <row r="299" spans="1:63" x14ac:dyDescent="0.3">
      <c r="A299" s="29" t="s">
        <v>2733</v>
      </c>
      <c r="B299" s="36" t="str">
        <f t="shared" si="20"/>
        <v>G01NHA01KF001-FC30</v>
      </c>
      <c r="C299" s="33" t="s">
        <v>2805</v>
      </c>
      <c r="D299" s="34" t="str">
        <f t="shared" si="21"/>
        <v>ELY1 RECT1 CTRL U1 230VAC10 CB ON/OPN</v>
      </c>
      <c r="E299" s="31">
        <f t="shared" si="22"/>
        <v>37</v>
      </c>
      <c r="F299" s="32" t="str">
        <f t="shared" si="23"/>
        <v>ELECTROLYSIS SYSTEM ELECTROLYSIS ARRAY 1 RECTIFIER SYSTEMS RECTIFIER SYSTEM 1 CONTROL UNITS I&amp;C CABINET  1 - RECTIFIER SYSTEM 1 230VAC DISTRIBUTION CHECK BACK ON/OPEN</v>
      </c>
      <c r="G299" s="29" t="s">
        <v>1614</v>
      </c>
      <c r="H299" s="29" t="s">
        <v>1615</v>
      </c>
      <c r="I299" s="29" t="str">
        <f t="shared" si="24"/>
        <v>01</v>
      </c>
      <c r="J299" s="29" t="s">
        <v>1616</v>
      </c>
      <c r="K299" s="29" t="s">
        <v>1842</v>
      </c>
      <c r="L299" s="29" t="s">
        <v>1843</v>
      </c>
      <c r="M299" s="29" t="s">
        <v>1619</v>
      </c>
      <c r="N299" s="29" t="s">
        <v>1844</v>
      </c>
      <c r="O299" s="29" t="s">
        <v>1771</v>
      </c>
      <c r="P299" s="29" t="s">
        <v>2055</v>
      </c>
      <c r="Q299" s="29" t="s">
        <v>1623</v>
      </c>
      <c r="R299" s="29" t="s">
        <v>2735</v>
      </c>
      <c r="S299" s="29" t="s">
        <v>2806</v>
      </c>
      <c r="T299" s="29" t="s">
        <v>2770</v>
      </c>
      <c r="U299" s="29" t="s">
        <v>790</v>
      </c>
      <c r="V299" s="29" t="s">
        <v>2639</v>
      </c>
      <c r="W299" s="35" t="s">
        <v>1628</v>
      </c>
      <c r="X299" s="35" t="s">
        <v>1850</v>
      </c>
      <c r="Y299" s="35" t="s">
        <v>1775</v>
      </c>
      <c r="Z299" s="35" t="s">
        <v>2807</v>
      </c>
      <c r="AA299" s="35" t="s">
        <v>2641</v>
      </c>
      <c r="AB299" s="29" t="s">
        <v>2766</v>
      </c>
      <c r="AC299" s="35" t="s">
        <v>1633</v>
      </c>
      <c r="AD299" s="35" t="s">
        <v>1634</v>
      </c>
      <c r="AE299" s="35" t="s">
        <v>1634</v>
      </c>
      <c r="AF299" s="35" t="s">
        <v>1635</v>
      </c>
      <c r="AG299" s="35" t="s">
        <v>2634</v>
      </c>
      <c r="AI299" s="35"/>
      <c r="AJ299" s="35" t="s">
        <v>1637</v>
      </c>
      <c r="AK299" s="35" t="s">
        <v>1672</v>
      </c>
      <c r="AL299" s="29" t="s">
        <v>2715</v>
      </c>
      <c r="AM299" s="35"/>
      <c r="AN299" s="35"/>
      <c r="AO299" s="35"/>
      <c r="AP299" s="35"/>
      <c r="AQ299" s="35"/>
      <c r="AS299" s="35"/>
      <c r="AU299" s="35"/>
      <c r="AW299" s="35"/>
      <c r="AY299" s="35"/>
      <c r="AZ299" s="35"/>
      <c r="BA299" s="35"/>
      <c r="BB299" s="29" t="s">
        <v>2756</v>
      </c>
      <c r="BC299" s="29" t="s">
        <v>2347</v>
      </c>
      <c r="BD299" s="29" t="s">
        <v>2739</v>
      </c>
      <c r="BE299" s="29" t="s">
        <v>1805</v>
      </c>
      <c r="BF299" s="29" t="s">
        <v>2051</v>
      </c>
      <c r="BG299" s="29" t="s">
        <v>2808</v>
      </c>
      <c r="BI299" s="35"/>
      <c r="BJ299" s="35"/>
      <c r="BK299" s="29" t="str" cm="1">
        <f t="array" ref="BK299">_xlfn.UNIQUE(MID(BB299,16,14))</f>
        <v>U012UBB01UC001</v>
      </c>
    </row>
    <row r="300" spans="1:63" x14ac:dyDescent="0.3">
      <c r="A300" s="29" t="s">
        <v>2733</v>
      </c>
      <c r="B300" s="36" t="str">
        <f t="shared" si="20"/>
        <v>G01NHA01KF001-FC31</v>
      </c>
      <c r="C300" s="33" t="s">
        <v>2809</v>
      </c>
      <c r="D300" s="34" t="str">
        <f t="shared" si="21"/>
        <v>ELY1 RECT1 CTRL U1 230VAC11 CB ON/OPN</v>
      </c>
      <c r="E300" s="31">
        <f t="shared" si="22"/>
        <v>37</v>
      </c>
      <c r="F300" s="32" t="str">
        <f t="shared" si="23"/>
        <v>ELECTROLYSIS SYSTEM ELECTROLYSIS ARRAY 1 RECTIFIER SYSTEMS RECTIFIER SYSTEM 1 CONTROL UNITS I&amp;C CABINET  1 - RECTIFIER SYSTEM 1 230VAC DISTRIBUTION CHECK BACK ON/OPEN</v>
      </c>
      <c r="G300" s="29" t="s">
        <v>1614</v>
      </c>
      <c r="H300" s="29" t="s">
        <v>1615</v>
      </c>
      <c r="I300" s="29" t="str">
        <f t="shared" si="24"/>
        <v>01</v>
      </c>
      <c r="J300" s="29" t="s">
        <v>1616</v>
      </c>
      <c r="K300" s="29" t="s">
        <v>1842</v>
      </c>
      <c r="L300" s="29" t="s">
        <v>1843</v>
      </c>
      <c r="M300" s="29" t="s">
        <v>1619</v>
      </c>
      <c r="N300" s="29" t="s">
        <v>1844</v>
      </c>
      <c r="O300" s="29" t="s">
        <v>1771</v>
      </c>
      <c r="P300" s="29" t="s">
        <v>2055</v>
      </c>
      <c r="Q300" s="29" t="s">
        <v>1623</v>
      </c>
      <c r="R300" s="29" t="s">
        <v>2735</v>
      </c>
      <c r="S300" s="29" t="s">
        <v>2810</v>
      </c>
      <c r="T300" s="29" t="s">
        <v>2770</v>
      </c>
      <c r="U300" s="29" t="s">
        <v>790</v>
      </c>
      <c r="V300" s="29" t="s">
        <v>2639</v>
      </c>
      <c r="W300" s="35" t="s">
        <v>1628</v>
      </c>
      <c r="X300" s="35" t="s">
        <v>1850</v>
      </c>
      <c r="Y300" s="35" t="s">
        <v>1775</v>
      </c>
      <c r="Z300" s="35" t="s">
        <v>2811</v>
      </c>
      <c r="AA300" s="35" t="s">
        <v>2641</v>
      </c>
      <c r="AB300" s="29" t="s">
        <v>2766</v>
      </c>
      <c r="AC300" s="35" t="s">
        <v>1633</v>
      </c>
      <c r="AD300" s="35" t="s">
        <v>1634</v>
      </c>
      <c r="AE300" s="35" t="s">
        <v>1634</v>
      </c>
      <c r="AF300" s="35" t="s">
        <v>1635</v>
      </c>
      <c r="AG300" s="35" t="s">
        <v>2634</v>
      </c>
      <c r="AI300" s="35"/>
      <c r="AJ300" s="35" t="s">
        <v>1637</v>
      </c>
      <c r="AK300" s="35" t="s">
        <v>1672</v>
      </c>
      <c r="AL300" s="29" t="s">
        <v>2715</v>
      </c>
      <c r="AM300" s="35"/>
      <c r="AN300" s="35"/>
      <c r="AO300" s="35"/>
      <c r="AP300" s="35"/>
      <c r="AQ300" s="35"/>
      <c r="AS300" s="35"/>
      <c r="AU300" s="35"/>
      <c r="AW300" s="35"/>
      <c r="AY300" s="35"/>
      <c r="AZ300" s="35"/>
      <c r="BA300" s="35"/>
      <c r="BB300" s="29" t="s">
        <v>2756</v>
      </c>
      <c r="BC300" s="29" t="s">
        <v>2347</v>
      </c>
      <c r="BD300" s="29" t="s">
        <v>2739</v>
      </c>
      <c r="BE300" s="29" t="s">
        <v>1805</v>
      </c>
      <c r="BF300" s="29" t="s">
        <v>2016</v>
      </c>
      <c r="BG300" s="29" t="s">
        <v>2812</v>
      </c>
      <c r="BI300" s="35"/>
      <c r="BJ300" s="35"/>
      <c r="BK300" s="29" t="str" cm="1">
        <f t="array" ref="BK300">_xlfn.UNIQUE(MID(BB300,16,14))</f>
        <v>U012UBB01UC001</v>
      </c>
    </row>
    <row r="301" spans="1:63" x14ac:dyDescent="0.3">
      <c r="A301" s="29" t="s">
        <v>2733</v>
      </c>
      <c r="B301" s="36" t="str">
        <f t="shared" si="20"/>
        <v>G01NHA01KF001-FC41</v>
      </c>
      <c r="C301" s="33" t="s">
        <v>2813</v>
      </c>
      <c r="D301" s="34" t="str">
        <f t="shared" si="21"/>
        <v>ELY1 RECT1 CTRL U1 230VAC UPS1 CB ON/OPN</v>
      </c>
      <c r="E301" s="31">
        <f t="shared" si="22"/>
        <v>40</v>
      </c>
      <c r="F301" s="32" t="str">
        <f t="shared" si="23"/>
        <v>ELECTROLYSIS SYSTEM ELECTROLYSIS ARRAY 1 RECTIFIER SYSTEMS RECTIFIER SYSTEM 1 CONTROL UNITS I&amp;C CABINET  1 - RECTIFIER SYSTEM 1 230VAC UPS DISTRIBUTION CHECK BACK ON/OPEN</v>
      </c>
      <c r="G301" s="29" t="s">
        <v>1614</v>
      </c>
      <c r="H301" s="29" t="s">
        <v>1615</v>
      </c>
      <c r="I301" s="29" t="str">
        <f t="shared" si="24"/>
        <v>01</v>
      </c>
      <c r="J301" s="29" t="s">
        <v>1616</v>
      </c>
      <c r="K301" s="29" t="s">
        <v>1842</v>
      </c>
      <c r="L301" s="29" t="s">
        <v>1843</v>
      </c>
      <c r="M301" s="29" t="s">
        <v>1619</v>
      </c>
      <c r="N301" s="29" t="s">
        <v>1844</v>
      </c>
      <c r="O301" s="29" t="s">
        <v>1771</v>
      </c>
      <c r="P301" s="29" t="s">
        <v>2055</v>
      </c>
      <c r="Q301" s="29" t="s">
        <v>1623</v>
      </c>
      <c r="R301" s="29" t="s">
        <v>2735</v>
      </c>
      <c r="S301" s="29" t="s">
        <v>2814</v>
      </c>
      <c r="T301" s="29" t="s">
        <v>2815</v>
      </c>
      <c r="U301" s="29" t="s">
        <v>790</v>
      </c>
      <c r="V301" s="29" t="s">
        <v>2639</v>
      </c>
      <c r="W301" s="35" t="s">
        <v>1628</v>
      </c>
      <c r="X301" s="35" t="s">
        <v>1850</v>
      </c>
      <c r="Y301" s="35" t="s">
        <v>1775</v>
      </c>
      <c r="Z301" s="35" t="s">
        <v>2816</v>
      </c>
      <c r="AA301" s="35" t="s">
        <v>2641</v>
      </c>
      <c r="AB301" s="29" t="s">
        <v>2766</v>
      </c>
      <c r="AC301" s="35" t="s">
        <v>1633</v>
      </c>
      <c r="AD301" s="35" t="s">
        <v>1634</v>
      </c>
      <c r="AE301" s="35" t="s">
        <v>1634</v>
      </c>
      <c r="AF301" s="35" t="s">
        <v>1635</v>
      </c>
      <c r="AG301" s="35" t="s">
        <v>2634</v>
      </c>
      <c r="AI301" s="35"/>
      <c r="AJ301" s="35" t="s">
        <v>1637</v>
      </c>
      <c r="AK301" s="35" t="s">
        <v>1672</v>
      </c>
      <c r="AL301" s="29" t="s">
        <v>2715</v>
      </c>
      <c r="AM301" s="35"/>
      <c r="AN301" s="35"/>
      <c r="AO301" s="35"/>
      <c r="AP301" s="35"/>
      <c r="AQ301" s="35"/>
      <c r="AS301" s="35"/>
      <c r="AU301" s="35"/>
      <c r="AW301" s="35"/>
      <c r="AY301" s="35"/>
      <c r="AZ301" s="35"/>
      <c r="BA301" s="35"/>
      <c r="BB301" s="29" t="s">
        <v>2756</v>
      </c>
      <c r="BC301" s="29" t="s">
        <v>2347</v>
      </c>
      <c r="BD301" s="29" t="s">
        <v>2739</v>
      </c>
      <c r="BE301" s="29" t="s">
        <v>1805</v>
      </c>
      <c r="BF301" s="29" t="s">
        <v>2341</v>
      </c>
      <c r="BG301" s="29" t="s">
        <v>2817</v>
      </c>
      <c r="BI301" s="35"/>
      <c r="BJ301" s="35"/>
      <c r="BK301" s="29" t="str" cm="1">
        <f t="array" ref="BK301">_xlfn.UNIQUE(MID(BB301,16,14))</f>
        <v>U012UBB01UC001</v>
      </c>
    </row>
    <row r="302" spans="1:63" x14ac:dyDescent="0.3">
      <c r="A302" s="29" t="s">
        <v>2733</v>
      </c>
      <c r="B302" s="36" t="str">
        <f t="shared" si="20"/>
        <v>G01NHA01KF001-FC42</v>
      </c>
      <c r="C302" s="33" t="s">
        <v>2818</v>
      </c>
      <c r="D302" s="34" t="str">
        <f t="shared" si="21"/>
        <v>ELY1 RECT1 CTRL U1 230VAC UPS2 CB ON/OPN</v>
      </c>
      <c r="E302" s="31">
        <f t="shared" si="22"/>
        <v>40</v>
      </c>
      <c r="F302" s="32" t="str">
        <f t="shared" si="23"/>
        <v>ELECTROLYSIS SYSTEM ELECTROLYSIS ARRAY 1 RECTIFIER SYSTEMS RECTIFIER SYSTEM 1 CONTROL UNITS I&amp;C CABINET  1 - RECTIFIER SYSTEM 1 230VAC UPS DISTRIBUTION CHECK BACK ON/OPEN</v>
      </c>
      <c r="G302" s="29" t="s">
        <v>1614</v>
      </c>
      <c r="H302" s="29" t="s">
        <v>1615</v>
      </c>
      <c r="I302" s="29" t="str">
        <f t="shared" si="24"/>
        <v>01</v>
      </c>
      <c r="J302" s="29" t="s">
        <v>1616</v>
      </c>
      <c r="K302" s="29" t="s">
        <v>1842</v>
      </c>
      <c r="L302" s="29" t="s">
        <v>1843</v>
      </c>
      <c r="M302" s="29" t="s">
        <v>1619</v>
      </c>
      <c r="N302" s="29" t="s">
        <v>1844</v>
      </c>
      <c r="O302" s="29" t="s">
        <v>1771</v>
      </c>
      <c r="P302" s="29" t="s">
        <v>2055</v>
      </c>
      <c r="Q302" s="29" t="s">
        <v>1623</v>
      </c>
      <c r="R302" s="29" t="s">
        <v>2735</v>
      </c>
      <c r="S302" s="29" t="s">
        <v>2819</v>
      </c>
      <c r="T302" s="29" t="s">
        <v>2815</v>
      </c>
      <c r="U302" s="29" t="s">
        <v>790</v>
      </c>
      <c r="V302" s="29" t="s">
        <v>2639</v>
      </c>
      <c r="W302" s="35" t="s">
        <v>1628</v>
      </c>
      <c r="X302" s="35" t="s">
        <v>1850</v>
      </c>
      <c r="Y302" s="35" t="s">
        <v>1775</v>
      </c>
      <c r="Z302" s="35" t="s">
        <v>2820</v>
      </c>
      <c r="AA302" s="35" t="s">
        <v>2641</v>
      </c>
      <c r="AB302" s="29" t="s">
        <v>2766</v>
      </c>
      <c r="AC302" s="35" t="s">
        <v>1633</v>
      </c>
      <c r="AD302" s="35" t="s">
        <v>1634</v>
      </c>
      <c r="AE302" s="35" t="s">
        <v>1634</v>
      </c>
      <c r="AF302" s="35" t="s">
        <v>1635</v>
      </c>
      <c r="AG302" s="35" t="s">
        <v>2634</v>
      </c>
      <c r="AI302" s="35"/>
      <c r="AJ302" s="35" t="s">
        <v>1637</v>
      </c>
      <c r="AK302" s="35" t="s">
        <v>1672</v>
      </c>
      <c r="AL302" s="29" t="s">
        <v>2715</v>
      </c>
      <c r="AM302" s="35"/>
      <c r="AN302" s="35"/>
      <c r="AO302" s="35"/>
      <c r="AP302" s="35"/>
      <c r="AQ302" s="35"/>
      <c r="AS302" s="35"/>
      <c r="AU302" s="35"/>
      <c r="AW302" s="35"/>
      <c r="AY302" s="35"/>
      <c r="AZ302" s="35"/>
      <c r="BA302" s="35"/>
      <c r="BB302" s="29" t="s">
        <v>2756</v>
      </c>
      <c r="BC302" s="29" t="s">
        <v>2347</v>
      </c>
      <c r="BD302" s="29" t="s">
        <v>2739</v>
      </c>
      <c r="BE302" s="29" t="s">
        <v>1805</v>
      </c>
      <c r="BF302" s="29" t="s">
        <v>2388</v>
      </c>
      <c r="BG302" s="29" t="s">
        <v>2821</v>
      </c>
      <c r="BI302" s="35"/>
      <c r="BJ302" s="35"/>
      <c r="BK302" s="29" t="str" cm="1">
        <f t="array" ref="BK302">_xlfn.UNIQUE(MID(BB302,16,14))</f>
        <v>U012UBB01UC001</v>
      </c>
    </row>
    <row r="303" spans="1:63" x14ac:dyDescent="0.3">
      <c r="A303" s="29" t="s">
        <v>2733</v>
      </c>
      <c r="B303" s="36" t="str">
        <f t="shared" si="20"/>
        <v>G01NHA01KF001-FC43</v>
      </c>
      <c r="C303" s="33" t="s">
        <v>2822</v>
      </c>
      <c r="D303" s="34" t="str">
        <f t="shared" si="21"/>
        <v>ELY1 RECT1 CTRL U1 230VAC UPS3 CB ON/OPN</v>
      </c>
      <c r="E303" s="31">
        <f t="shared" si="22"/>
        <v>40</v>
      </c>
      <c r="F303" s="32" t="str">
        <f t="shared" si="23"/>
        <v>ELECTROLYSIS SYSTEM ELECTROLYSIS ARRAY 1 RECTIFIER SYSTEMS RECTIFIER SYSTEM 1 CONTROL UNITS I&amp;C CABINET  1 - RECTIFIER SYSTEM 1 230VAC UPS DISTRIBUTION CHECK BACK ON/OPEN</v>
      </c>
      <c r="G303" s="29" t="s">
        <v>1614</v>
      </c>
      <c r="H303" s="29" t="s">
        <v>1615</v>
      </c>
      <c r="I303" s="29" t="str">
        <f t="shared" si="24"/>
        <v>01</v>
      </c>
      <c r="J303" s="29" t="s">
        <v>1616</v>
      </c>
      <c r="K303" s="29" t="s">
        <v>1842</v>
      </c>
      <c r="L303" s="29" t="s">
        <v>1843</v>
      </c>
      <c r="M303" s="29" t="s">
        <v>1619</v>
      </c>
      <c r="N303" s="29" t="s">
        <v>1844</v>
      </c>
      <c r="O303" s="29" t="s">
        <v>1771</v>
      </c>
      <c r="P303" s="29" t="s">
        <v>2055</v>
      </c>
      <c r="Q303" s="29" t="s">
        <v>1623</v>
      </c>
      <c r="R303" s="29" t="s">
        <v>2735</v>
      </c>
      <c r="S303" s="29" t="s">
        <v>2823</v>
      </c>
      <c r="T303" s="29" t="s">
        <v>2815</v>
      </c>
      <c r="U303" s="29" t="s">
        <v>790</v>
      </c>
      <c r="V303" s="29" t="s">
        <v>2639</v>
      </c>
      <c r="W303" s="35" t="s">
        <v>1628</v>
      </c>
      <c r="X303" s="35" t="s">
        <v>1850</v>
      </c>
      <c r="Y303" s="35" t="s">
        <v>1775</v>
      </c>
      <c r="Z303" s="35" t="s">
        <v>2824</v>
      </c>
      <c r="AA303" s="35" t="s">
        <v>2641</v>
      </c>
      <c r="AB303" s="29" t="s">
        <v>2766</v>
      </c>
      <c r="AC303" s="35" t="s">
        <v>1633</v>
      </c>
      <c r="AD303" s="35" t="s">
        <v>1634</v>
      </c>
      <c r="AE303" s="35" t="s">
        <v>1634</v>
      </c>
      <c r="AF303" s="35" t="s">
        <v>1635</v>
      </c>
      <c r="AG303" s="35" t="s">
        <v>2634</v>
      </c>
      <c r="AI303" s="35"/>
      <c r="AJ303" s="35" t="s">
        <v>1637</v>
      </c>
      <c r="AK303" s="35" t="s">
        <v>1672</v>
      </c>
      <c r="AL303" s="29" t="s">
        <v>2715</v>
      </c>
      <c r="AM303" s="35"/>
      <c r="AN303" s="35"/>
      <c r="AO303" s="35"/>
      <c r="AP303" s="35"/>
      <c r="AQ303" s="35"/>
      <c r="AS303" s="35"/>
      <c r="AU303" s="35"/>
      <c r="AW303" s="35"/>
      <c r="AY303" s="35"/>
      <c r="AZ303" s="35"/>
      <c r="BA303" s="35"/>
      <c r="BB303" s="29" t="s">
        <v>2825</v>
      </c>
      <c r="BC303" s="29" t="s">
        <v>2347</v>
      </c>
      <c r="BD303" s="29" t="s">
        <v>2739</v>
      </c>
      <c r="BE303" s="29" t="s">
        <v>1805</v>
      </c>
      <c r="BF303" s="29" t="s">
        <v>1619</v>
      </c>
      <c r="BG303" s="29" t="s">
        <v>2826</v>
      </c>
      <c r="BI303" s="35"/>
      <c r="BJ303" s="35"/>
      <c r="BK303" s="29" t="str" cm="1">
        <f t="array" ref="BK303">_xlfn.UNIQUE(MID(BB303,16,14))</f>
        <v>U012UBB01UC001</v>
      </c>
    </row>
    <row r="304" spans="1:63" x14ac:dyDescent="0.3">
      <c r="A304" s="29" t="s">
        <v>2733</v>
      </c>
      <c r="B304" s="36" t="str">
        <f t="shared" si="20"/>
        <v>G01NHA01KF001-QA11</v>
      </c>
      <c r="C304" s="33" t="s">
        <v>2827</v>
      </c>
      <c r="D304" s="34" t="str">
        <f t="shared" si="21"/>
        <v>ELY1 RECT1 CTRL U1 SW 400VAC1 CB ON/OPN</v>
      </c>
      <c r="E304" s="31">
        <f t="shared" si="22"/>
        <v>39</v>
      </c>
      <c r="F304" s="32" t="str">
        <f t="shared" si="23"/>
        <v>ELECTROLYSIS SYSTEM ELECTROLYSIS ARRAY 1 RECTIFIER SYSTEMS RECTIFIER SYSTEM 1 CONTROL UNITS I&amp;C CABINET  1 - RECTIFIER SYSTEM 1 400VAC DISTRIBUTION CHECK BACK ON/OPEN</v>
      </c>
      <c r="G304" s="29" t="s">
        <v>1614</v>
      </c>
      <c r="H304" s="29" t="s">
        <v>1615</v>
      </c>
      <c r="I304" s="29" t="str">
        <f t="shared" si="24"/>
        <v>01</v>
      </c>
      <c r="J304" s="29" t="s">
        <v>1616</v>
      </c>
      <c r="K304" s="29" t="s">
        <v>1842</v>
      </c>
      <c r="L304" s="29" t="s">
        <v>1843</v>
      </c>
      <c r="M304" s="29" t="s">
        <v>1619</v>
      </c>
      <c r="N304" s="29" t="s">
        <v>1844</v>
      </c>
      <c r="O304" s="29" t="s">
        <v>1771</v>
      </c>
      <c r="P304" s="29" t="s">
        <v>2055</v>
      </c>
      <c r="Q304" s="29" t="s">
        <v>1623</v>
      </c>
      <c r="R304" s="29" t="s">
        <v>2735</v>
      </c>
      <c r="S304" s="29" t="s">
        <v>2828</v>
      </c>
      <c r="T304" s="29" t="s">
        <v>2829</v>
      </c>
      <c r="U304" s="29" t="s">
        <v>790</v>
      </c>
      <c r="V304" s="29" t="s">
        <v>2639</v>
      </c>
      <c r="W304" s="35" t="s">
        <v>1628</v>
      </c>
      <c r="X304" s="35" t="s">
        <v>1850</v>
      </c>
      <c r="Y304" s="35" t="s">
        <v>1775</v>
      </c>
      <c r="Z304" s="35" t="s">
        <v>2830</v>
      </c>
      <c r="AA304" s="35" t="s">
        <v>2641</v>
      </c>
      <c r="AB304" s="29" t="s">
        <v>2831</v>
      </c>
      <c r="AC304" s="35" t="s">
        <v>1633</v>
      </c>
      <c r="AD304" s="35" t="s">
        <v>1634</v>
      </c>
      <c r="AE304" s="35" t="s">
        <v>1634</v>
      </c>
      <c r="AF304" s="35" t="s">
        <v>1635</v>
      </c>
      <c r="AG304" s="35" t="s">
        <v>2634</v>
      </c>
      <c r="AI304" s="35"/>
      <c r="AJ304" s="35" t="s">
        <v>1637</v>
      </c>
      <c r="AK304" s="35" t="s">
        <v>1672</v>
      </c>
      <c r="AL304" s="29" t="s">
        <v>2715</v>
      </c>
      <c r="AM304" s="35"/>
      <c r="AN304" s="35"/>
      <c r="AO304" s="35"/>
      <c r="AP304" s="35"/>
      <c r="AQ304" s="35"/>
      <c r="AS304" s="35"/>
      <c r="AU304" s="35"/>
      <c r="AW304" s="35"/>
      <c r="AY304" s="35"/>
      <c r="AZ304" s="35"/>
      <c r="BA304" s="35"/>
      <c r="BB304" s="29" t="s">
        <v>2825</v>
      </c>
      <c r="BC304" s="29" t="s">
        <v>2347</v>
      </c>
      <c r="BD304" s="29" t="s">
        <v>2739</v>
      </c>
      <c r="BE304" s="29" t="s">
        <v>1805</v>
      </c>
      <c r="BF304" s="29" t="s">
        <v>1905</v>
      </c>
      <c r="BG304" s="29" t="s">
        <v>2832</v>
      </c>
      <c r="BI304" s="35"/>
      <c r="BJ304" s="35"/>
      <c r="BK304" s="29" t="str" cm="1">
        <f t="array" ref="BK304">_xlfn.UNIQUE(MID(BB304,16,14))</f>
        <v>U012UBB01UC001</v>
      </c>
    </row>
    <row r="305" spans="1:63" x14ac:dyDescent="0.3">
      <c r="A305" s="29" t="s">
        <v>2733</v>
      </c>
      <c r="B305" s="36" t="str">
        <f t="shared" si="20"/>
        <v>G01NHA01KF001-QA12</v>
      </c>
      <c r="C305" s="33" t="s">
        <v>2833</v>
      </c>
      <c r="D305" s="34" t="str">
        <f t="shared" si="21"/>
        <v>ELY1 RECT1 CTRL U1 SW 400VAC2 CB ON/OPN</v>
      </c>
      <c r="E305" s="31">
        <f t="shared" si="22"/>
        <v>39</v>
      </c>
      <c r="F305" s="32" t="str">
        <f t="shared" si="23"/>
        <v>ELECTROLYSIS SYSTEM ELECTROLYSIS ARRAY 1 RECTIFIER SYSTEMS RECTIFIER SYSTEM 1 CONTROL UNITS I&amp;C CABINET  1 - RECTIFIER SYSTEM 1 400VAC DISTRIBUTION CHECK BACK ON/OPEN</v>
      </c>
      <c r="G305" s="29" t="s">
        <v>1614</v>
      </c>
      <c r="H305" s="29" t="s">
        <v>1615</v>
      </c>
      <c r="I305" s="29" t="str">
        <f t="shared" si="24"/>
        <v>01</v>
      </c>
      <c r="J305" s="29" t="s">
        <v>1616</v>
      </c>
      <c r="K305" s="29" t="s">
        <v>1842</v>
      </c>
      <c r="L305" s="29" t="s">
        <v>1843</v>
      </c>
      <c r="M305" s="29" t="s">
        <v>1619</v>
      </c>
      <c r="N305" s="29" t="s">
        <v>1844</v>
      </c>
      <c r="O305" s="29" t="s">
        <v>1771</v>
      </c>
      <c r="P305" s="29" t="s">
        <v>2055</v>
      </c>
      <c r="Q305" s="29" t="s">
        <v>1623</v>
      </c>
      <c r="R305" s="29" t="s">
        <v>2735</v>
      </c>
      <c r="S305" s="29" t="s">
        <v>2834</v>
      </c>
      <c r="T305" s="29" t="s">
        <v>2829</v>
      </c>
      <c r="U305" s="29" t="s">
        <v>790</v>
      </c>
      <c r="V305" s="29" t="s">
        <v>2639</v>
      </c>
      <c r="W305" s="35" t="s">
        <v>1628</v>
      </c>
      <c r="X305" s="35" t="s">
        <v>1850</v>
      </c>
      <c r="Y305" s="35" t="s">
        <v>1775</v>
      </c>
      <c r="Z305" s="35" t="s">
        <v>2835</v>
      </c>
      <c r="AA305" s="35" t="s">
        <v>2641</v>
      </c>
      <c r="AB305" s="29" t="s">
        <v>2831</v>
      </c>
      <c r="AC305" s="35" t="s">
        <v>1633</v>
      </c>
      <c r="AD305" s="35" t="s">
        <v>1634</v>
      </c>
      <c r="AE305" s="35" t="s">
        <v>1634</v>
      </c>
      <c r="AF305" s="35" t="s">
        <v>1635</v>
      </c>
      <c r="AG305" s="35" t="s">
        <v>2634</v>
      </c>
      <c r="AI305" s="35"/>
      <c r="AJ305" s="35" t="s">
        <v>1637</v>
      </c>
      <c r="AK305" s="35" t="s">
        <v>1672</v>
      </c>
      <c r="AL305" s="29" t="s">
        <v>2715</v>
      </c>
      <c r="AM305" s="35"/>
      <c r="AN305" s="35"/>
      <c r="AO305" s="35"/>
      <c r="AP305" s="35"/>
      <c r="AQ305" s="35"/>
      <c r="AS305" s="35"/>
      <c r="AU305" s="35"/>
      <c r="AW305" s="35"/>
      <c r="AY305" s="35"/>
      <c r="AZ305" s="35"/>
      <c r="BA305" s="35"/>
      <c r="BB305" s="29" t="s">
        <v>2825</v>
      </c>
      <c r="BC305" s="29" t="s">
        <v>2347</v>
      </c>
      <c r="BD305" s="29" t="s">
        <v>2739</v>
      </c>
      <c r="BE305" s="29" t="s">
        <v>1805</v>
      </c>
      <c r="BF305" s="29" t="s">
        <v>1909</v>
      </c>
      <c r="BG305" s="29" t="s">
        <v>2836</v>
      </c>
      <c r="BI305" s="35"/>
      <c r="BJ305" s="35"/>
      <c r="BK305" s="29" t="str" cm="1">
        <f t="array" ref="BK305">_xlfn.UNIQUE(MID(BB305,16,14))</f>
        <v>U012UBB01UC001</v>
      </c>
    </row>
    <row r="306" spans="1:63" x14ac:dyDescent="0.3">
      <c r="A306" s="29" t="s">
        <v>2733</v>
      </c>
      <c r="B306" s="36" t="str">
        <f t="shared" si="20"/>
        <v>G01NHA01KF001-QA13</v>
      </c>
      <c r="C306" s="33" t="s">
        <v>2837</v>
      </c>
      <c r="D306" s="34" t="str">
        <f t="shared" si="21"/>
        <v>ELY1 RECT1 CTRL U1 SW 400VAC3 CB ON/OPN</v>
      </c>
      <c r="E306" s="31">
        <f t="shared" si="22"/>
        <v>39</v>
      </c>
      <c r="F306" s="32" t="str">
        <f t="shared" si="23"/>
        <v>ELECTROLYSIS SYSTEM ELECTROLYSIS ARRAY 1 RECTIFIER SYSTEMS RECTIFIER SYSTEM 1 CONTROL UNITS I&amp;C CABINET  1 - RECTIFIER SYSTEM 1 400VAC DISTRIBUTION CHECK BACK ON/OPEN</v>
      </c>
      <c r="G306" s="29" t="s">
        <v>1614</v>
      </c>
      <c r="H306" s="29" t="s">
        <v>1615</v>
      </c>
      <c r="I306" s="29" t="str">
        <f t="shared" si="24"/>
        <v>01</v>
      </c>
      <c r="J306" s="29" t="s">
        <v>1616</v>
      </c>
      <c r="K306" s="29" t="s">
        <v>1842</v>
      </c>
      <c r="L306" s="29" t="s">
        <v>1843</v>
      </c>
      <c r="M306" s="29" t="s">
        <v>1619</v>
      </c>
      <c r="N306" s="29" t="s">
        <v>1844</v>
      </c>
      <c r="O306" s="29" t="s">
        <v>1771</v>
      </c>
      <c r="P306" s="29" t="s">
        <v>2055</v>
      </c>
      <c r="Q306" s="29" t="s">
        <v>1623</v>
      </c>
      <c r="R306" s="29" t="s">
        <v>2735</v>
      </c>
      <c r="S306" s="29" t="s">
        <v>2838</v>
      </c>
      <c r="T306" s="29" t="s">
        <v>2829</v>
      </c>
      <c r="U306" s="29" t="s">
        <v>790</v>
      </c>
      <c r="V306" s="29" t="s">
        <v>2639</v>
      </c>
      <c r="W306" s="35" t="s">
        <v>1628</v>
      </c>
      <c r="X306" s="35" t="s">
        <v>1850</v>
      </c>
      <c r="Y306" s="35" t="s">
        <v>1775</v>
      </c>
      <c r="Z306" s="35" t="s">
        <v>2839</v>
      </c>
      <c r="AA306" s="35" t="s">
        <v>2641</v>
      </c>
      <c r="AB306" s="29" t="s">
        <v>2831</v>
      </c>
      <c r="AC306" s="35" t="s">
        <v>1633</v>
      </c>
      <c r="AD306" s="35" t="s">
        <v>1634</v>
      </c>
      <c r="AE306" s="35" t="s">
        <v>1634</v>
      </c>
      <c r="AF306" s="35" t="s">
        <v>1635</v>
      </c>
      <c r="AG306" s="35" t="s">
        <v>2634</v>
      </c>
      <c r="AI306" s="35"/>
      <c r="AJ306" s="35" t="s">
        <v>1637</v>
      </c>
      <c r="AK306" s="35" t="s">
        <v>1672</v>
      </c>
      <c r="AL306" s="29" t="s">
        <v>2715</v>
      </c>
      <c r="AM306" s="35"/>
      <c r="AN306" s="35"/>
      <c r="AO306" s="35"/>
      <c r="AP306" s="35"/>
      <c r="AQ306" s="35"/>
      <c r="AS306" s="35"/>
      <c r="AU306" s="35"/>
      <c r="AW306" s="35"/>
      <c r="AY306" s="35"/>
      <c r="AZ306" s="35"/>
      <c r="BA306" s="35"/>
      <c r="BB306" s="29" t="s">
        <v>2825</v>
      </c>
      <c r="BC306" s="29" t="s">
        <v>2347</v>
      </c>
      <c r="BD306" s="29" t="s">
        <v>2739</v>
      </c>
      <c r="BE306" s="29" t="s">
        <v>1805</v>
      </c>
      <c r="BF306" s="29" t="s">
        <v>1915</v>
      </c>
      <c r="BG306" s="29" t="s">
        <v>2840</v>
      </c>
      <c r="BI306" s="35"/>
      <c r="BJ306" s="35"/>
      <c r="BK306" s="29" t="str" cm="1">
        <f t="array" ref="BK306">_xlfn.UNIQUE(MID(BB306,16,14))</f>
        <v>U012UBB01UC001</v>
      </c>
    </row>
    <row r="307" spans="1:63" x14ac:dyDescent="0.3">
      <c r="A307" s="29" t="s">
        <v>2733</v>
      </c>
      <c r="B307" s="36" t="str">
        <f t="shared" si="20"/>
        <v>G01NHA01KF001-QA14</v>
      </c>
      <c r="C307" s="33" t="s">
        <v>2841</v>
      </c>
      <c r="D307" s="34" t="str">
        <f t="shared" si="21"/>
        <v>ELY1 RECT1 CTRL U1 SW 400VAC4 CB ON/OPN</v>
      </c>
      <c r="E307" s="31">
        <f t="shared" si="22"/>
        <v>39</v>
      </c>
      <c r="F307" s="32" t="str">
        <f t="shared" si="23"/>
        <v>ELECTROLYSIS SYSTEM ELECTROLYSIS ARRAY 1 RECTIFIER SYSTEMS RECTIFIER SYSTEM 1 CONTROL UNITS I&amp;C CABINET  1 - RECTIFIER SYSTEM 1 400VAC DISTRIBUTION CHECK BACK ON/OPEN</v>
      </c>
      <c r="G307" s="29" t="s">
        <v>1614</v>
      </c>
      <c r="H307" s="29" t="s">
        <v>1615</v>
      </c>
      <c r="I307" s="29" t="str">
        <f t="shared" si="24"/>
        <v>01</v>
      </c>
      <c r="J307" s="29" t="s">
        <v>1616</v>
      </c>
      <c r="K307" s="29" t="s">
        <v>1842</v>
      </c>
      <c r="L307" s="29" t="s">
        <v>1843</v>
      </c>
      <c r="M307" s="29" t="s">
        <v>1619</v>
      </c>
      <c r="N307" s="29" t="s">
        <v>1844</v>
      </c>
      <c r="O307" s="29" t="s">
        <v>1771</v>
      </c>
      <c r="P307" s="29" t="s">
        <v>2055</v>
      </c>
      <c r="Q307" s="29" t="s">
        <v>1623</v>
      </c>
      <c r="R307" s="29" t="s">
        <v>2735</v>
      </c>
      <c r="S307" s="29" t="s">
        <v>2842</v>
      </c>
      <c r="T307" s="29" t="s">
        <v>2829</v>
      </c>
      <c r="U307" s="29" t="s">
        <v>790</v>
      </c>
      <c r="V307" s="29" t="s">
        <v>2639</v>
      </c>
      <c r="W307" s="35" t="s">
        <v>1628</v>
      </c>
      <c r="X307" s="35" t="s">
        <v>1850</v>
      </c>
      <c r="Y307" s="35" t="s">
        <v>1775</v>
      </c>
      <c r="Z307" s="35" t="s">
        <v>2843</v>
      </c>
      <c r="AA307" s="35" t="s">
        <v>2641</v>
      </c>
      <c r="AB307" s="29" t="s">
        <v>2831</v>
      </c>
      <c r="AC307" s="35" t="s">
        <v>1633</v>
      </c>
      <c r="AD307" s="35" t="s">
        <v>1634</v>
      </c>
      <c r="AE307" s="35" t="s">
        <v>1634</v>
      </c>
      <c r="AF307" s="35" t="s">
        <v>1635</v>
      </c>
      <c r="AG307" s="35" t="s">
        <v>2634</v>
      </c>
      <c r="AI307" s="35"/>
      <c r="AJ307" s="35" t="s">
        <v>1637</v>
      </c>
      <c r="AK307" s="35" t="s">
        <v>1672</v>
      </c>
      <c r="AL307" s="29" t="s">
        <v>2715</v>
      </c>
      <c r="AM307" s="35"/>
      <c r="AN307" s="35"/>
      <c r="AO307" s="35"/>
      <c r="AP307" s="35"/>
      <c r="AQ307" s="35"/>
      <c r="AS307" s="35"/>
      <c r="AU307" s="35"/>
      <c r="AW307" s="35"/>
      <c r="AY307" s="35"/>
      <c r="AZ307" s="35"/>
      <c r="BA307" s="35"/>
      <c r="BB307" s="29" t="s">
        <v>2825</v>
      </c>
      <c r="BC307" s="29" t="s">
        <v>2347</v>
      </c>
      <c r="BD307" s="29" t="s">
        <v>2739</v>
      </c>
      <c r="BE307" s="29" t="s">
        <v>1805</v>
      </c>
      <c r="BF307" s="29" t="s">
        <v>1919</v>
      </c>
      <c r="BG307" s="29" t="s">
        <v>2844</v>
      </c>
      <c r="BI307" s="35"/>
      <c r="BJ307" s="35"/>
      <c r="BK307" s="29" t="str" cm="1">
        <f t="array" ref="BK307">_xlfn.UNIQUE(MID(BB307,16,14))</f>
        <v>U012UBB01UC001</v>
      </c>
    </row>
    <row r="308" spans="1:63" x14ac:dyDescent="0.3">
      <c r="A308" s="29" t="s">
        <v>2733</v>
      </c>
      <c r="B308" s="36" t="str">
        <f t="shared" si="20"/>
        <v>G01NHA01KF001-QA15</v>
      </c>
      <c r="C308" s="33" t="s">
        <v>2845</v>
      </c>
      <c r="D308" s="34" t="str">
        <f t="shared" si="21"/>
        <v>ELY1 RECT1 CTRL U1 SW 400VAC5 CB ON/OPN</v>
      </c>
      <c r="E308" s="31">
        <f t="shared" si="22"/>
        <v>39</v>
      </c>
      <c r="F308" s="32" t="str">
        <f t="shared" si="23"/>
        <v>ELECTROLYSIS SYSTEM ELECTROLYSIS ARRAY 1 RECTIFIER SYSTEMS RECTIFIER SYSTEM 1 CONTROL UNITS I&amp;C CABINET  1 - RECTIFIER SYSTEM 1 400VAC DISTRIBUTION CHECK BACK ON/OPEN</v>
      </c>
      <c r="G308" s="29" t="s">
        <v>1614</v>
      </c>
      <c r="H308" s="29" t="s">
        <v>1615</v>
      </c>
      <c r="I308" s="29" t="str">
        <f t="shared" si="24"/>
        <v>01</v>
      </c>
      <c r="J308" s="29" t="s">
        <v>1616</v>
      </c>
      <c r="K308" s="29" t="s">
        <v>1842</v>
      </c>
      <c r="L308" s="29" t="s">
        <v>1843</v>
      </c>
      <c r="M308" s="29" t="s">
        <v>1619</v>
      </c>
      <c r="N308" s="29" t="s">
        <v>1844</v>
      </c>
      <c r="O308" s="29" t="s">
        <v>1771</v>
      </c>
      <c r="P308" s="29" t="s">
        <v>2055</v>
      </c>
      <c r="Q308" s="29" t="s">
        <v>1623</v>
      </c>
      <c r="R308" s="29" t="s">
        <v>2735</v>
      </c>
      <c r="S308" s="29" t="s">
        <v>2846</v>
      </c>
      <c r="T308" s="29" t="s">
        <v>2829</v>
      </c>
      <c r="U308" s="29" t="s">
        <v>790</v>
      </c>
      <c r="V308" s="29" t="s">
        <v>2639</v>
      </c>
      <c r="W308" s="35" t="s">
        <v>1628</v>
      </c>
      <c r="X308" s="35" t="s">
        <v>1850</v>
      </c>
      <c r="Y308" s="35" t="s">
        <v>1775</v>
      </c>
      <c r="Z308" s="35" t="s">
        <v>2847</v>
      </c>
      <c r="AA308" s="35" t="s">
        <v>2641</v>
      </c>
      <c r="AB308" s="29" t="s">
        <v>2831</v>
      </c>
      <c r="AC308" s="35" t="s">
        <v>1633</v>
      </c>
      <c r="AD308" s="35" t="s">
        <v>1634</v>
      </c>
      <c r="AE308" s="35" t="s">
        <v>1634</v>
      </c>
      <c r="AF308" s="35" t="s">
        <v>1635</v>
      </c>
      <c r="AG308" s="35" t="s">
        <v>2634</v>
      </c>
      <c r="AI308" s="35"/>
      <c r="AJ308" s="35" t="s">
        <v>1637</v>
      </c>
      <c r="AK308" s="35" t="s">
        <v>1672</v>
      </c>
      <c r="AL308" s="29" t="s">
        <v>2715</v>
      </c>
      <c r="AM308" s="35"/>
      <c r="AN308" s="35"/>
      <c r="AO308" s="35"/>
      <c r="AP308" s="35"/>
      <c r="AQ308" s="35"/>
      <c r="AS308" s="35"/>
      <c r="AU308" s="35"/>
      <c r="AW308" s="35"/>
      <c r="AY308" s="35"/>
      <c r="AZ308" s="35"/>
      <c r="BA308" s="35"/>
      <c r="BB308" s="29" t="s">
        <v>2825</v>
      </c>
      <c r="BC308" s="29" t="s">
        <v>2347</v>
      </c>
      <c r="BD308" s="29" t="s">
        <v>2739</v>
      </c>
      <c r="BE308" s="29" t="s">
        <v>1805</v>
      </c>
      <c r="BF308" s="29" t="s">
        <v>1922</v>
      </c>
      <c r="BG308" s="29" t="s">
        <v>2848</v>
      </c>
      <c r="BI308" s="35"/>
      <c r="BJ308" s="35"/>
      <c r="BK308" s="29" t="str" cm="1">
        <f t="array" ref="BK308">_xlfn.UNIQUE(MID(BB308,16,14))</f>
        <v>U012UBB01UC001</v>
      </c>
    </row>
    <row r="309" spans="1:63" x14ac:dyDescent="0.3">
      <c r="A309" s="29" t="s">
        <v>2733</v>
      </c>
      <c r="B309" s="36" t="str">
        <f t="shared" si="20"/>
        <v>G01NHA01KF001-QA16</v>
      </c>
      <c r="C309" s="33" t="s">
        <v>2849</v>
      </c>
      <c r="D309" s="34" t="str">
        <f t="shared" si="21"/>
        <v>ELY1 RECT1 CTRL U1 SW 400VAC6 CB ON/OPN</v>
      </c>
      <c r="E309" s="31">
        <f t="shared" si="22"/>
        <v>39</v>
      </c>
      <c r="F309" s="32" t="str">
        <f t="shared" si="23"/>
        <v>ELECTROLYSIS SYSTEM ELECTROLYSIS ARRAY 1 RECTIFIER SYSTEMS RECTIFIER SYSTEM 1 CONTROL UNITS I&amp;C CABINET  1 - RECTIFIER SYSTEM 1 400VAC DISTRIBUTION CHECK BACK ON/OPEN</v>
      </c>
      <c r="G309" s="29" t="s">
        <v>1614</v>
      </c>
      <c r="H309" s="29" t="s">
        <v>1615</v>
      </c>
      <c r="I309" s="29" t="str">
        <f t="shared" si="24"/>
        <v>01</v>
      </c>
      <c r="J309" s="29" t="s">
        <v>1616</v>
      </c>
      <c r="K309" s="29" t="s">
        <v>1842</v>
      </c>
      <c r="L309" s="29" t="s">
        <v>1843</v>
      </c>
      <c r="M309" s="29" t="s">
        <v>1619</v>
      </c>
      <c r="N309" s="29" t="s">
        <v>1844</v>
      </c>
      <c r="O309" s="29" t="s">
        <v>1771</v>
      </c>
      <c r="P309" s="29" t="s">
        <v>2055</v>
      </c>
      <c r="Q309" s="29" t="s">
        <v>1623</v>
      </c>
      <c r="R309" s="29" t="s">
        <v>2735</v>
      </c>
      <c r="S309" s="29" t="s">
        <v>2850</v>
      </c>
      <c r="T309" s="29" t="s">
        <v>2829</v>
      </c>
      <c r="U309" s="29" t="s">
        <v>790</v>
      </c>
      <c r="V309" s="29" t="s">
        <v>2639</v>
      </c>
      <c r="W309" s="35" t="s">
        <v>1628</v>
      </c>
      <c r="X309" s="35" t="s">
        <v>1850</v>
      </c>
      <c r="Y309" s="35" t="s">
        <v>1775</v>
      </c>
      <c r="Z309" s="35" t="s">
        <v>2851</v>
      </c>
      <c r="AA309" s="35" t="s">
        <v>2641</v>
      </c>
      <c r="AB309" s="29" t="s">
        <v>2831</v>
      </c>
      <c r="AC309" s="35" t="s">
        <v>1633</v>
      </c>
      <c r="AD309" s="35" t="s">
        <v>1634</v>
      </c>
      <c r="AE309" s="35" t="s">
        <v>1634</v>
      </c>
      <c r="AF309" s="35" t="s">
        <v>1635</v>
      </c>
      <c r="AG309" s="35" t="s">
        <v>2634</v>
      </c>
      <c r="AI309" s="35"/>
      <c r="AJ309" s="35" t="s">
        <v>1637</v>
      </c>
      <c r="AK309" s="35" t="s">
        <v>1672</v>
      </c>
      <c r="AL309" s="29" t="s">
        <v>2715</v>
      </c>
      <c r="AM309" s="35"/>
      <c r="AN309" s="35"/>
      <c r="AO309" s="35"/>
      <c r="AP309" s="35"/>
      <c r="AQ309" s="35"/>
      <c r="AS309" s="35"/>
      <c r="AU309" s="35"/>
      <c r="AW309" s="35"/>
      <c r="AY309" s="35"/>
      <c r="AZ309" s="35"/>
      <c r="BA309" s="35"/>
      <c r="BB309" s="29" t="s">
        <v>2825</v>
      </c>
      <c r="BC309" s="29" t="s">
        <v>2347</v>
      </c>
      <c r="BD309" s="29" t="s">
        <v>2739</v>
      </c>
      <c r="BE309" s="29" t="s">
        <v>1805</v>
      </c>
      <c r="BF309" s="29" t="s">
        <v>1931</v>
      </c>
      <c r="BG309" s="29" t="s">
        <v>2852</v>
      </c>
      <c r="BI309" s="35"/>
      <c r="BJ309" s="35"/>
      <c r="BK309" s="29" t="str" cm="1">
        <f t="array" ref="BK309">_xlfn.UNIQUE(MID(BB309,16,14))</f>
        <v>U012UBB01UC001</v>
      </c>
    </row>
    <row r="310" spans="1:63" x14ac:dyDescent="0.3">
      <c r="A310" s="29" t="s">
        <v>2733</v>
      </c>
      <c r="B310" s="36" t="str">
        <f t="shared" si="20"/>
        <v>G01NHA01KF001-QA17</v>
      </c>
      <c r="C310" s="33" t="s">
        <v>2853</v>
      </c>
      <c r="D310" s="34" t="str">
        <f t="shared" si="21"/>
        <v>ELY1 RECT1 CTRL U1 SW 400VAC7 CB ON/OPN</v>
      </c>
      <c r="E310" s="31">
        <f t="shared" si="22"/>
        <v>39</v>
      </c>
      <c r="F310" s="32" t="str">
        <f t="shared" si="23"/>
        <v>ELECTROLYSIS SYSTEM ELECTROLYSIS ARRAY 1 RECTIFIER SYSTEMS RECTIFIER SYSTEM 1 CONTROL UNITS I&amp;C CABINET  1 - RECTIFIER SYSTEM 1 400VAC DISTRIBUTION CHECK BACK ON/OPEN</v>
      </c>
      <c r="G310" s="29" t="s">
        <v>1614</v>
      </c>
      <c r="H310" s="29" t="s">
        <v>1615</v>
      </c>
      <c r="I310" s="29" t="str">
        <f t="shared" si="24"/>
        <v>01</v>
      </c>
      <c r="J310" s="29" t="s">
        <v>1616</v>
      </c>
      <c r="K310" s="29" t="s">
        <v>1842</v>
      </c>
      <c r="L310" s="29" t="s">
        <v>1843</v>
      </c>
      <c r="M310" s="29" t="s">
        <v>1619</v>
      </c>
      <c r="N310" s="29" t="s">
        <v>1844</v>
      </c>
      <c r="O310" s="29" t="s">
        <v>1771</v>
      </c>
      <c r="P310" s="29" t="s">
        <v>2055</v>
      </c>
      <c r="Q310" s="29" t="s">
        <v>1623</v>
      </c>
      <c r="R310" s="29" t="s">
        <v>2735</v>
      </c>
      <c r="S310" s="29" t="s">
        <v>2854</v>
      </c>
      <c r="T310" s="29" t="s">
        <v>2829</v>
      </c>
      <c r="U310" s="29" t="s">
        <v>790</v>
      </c>
      <c r="V310" s="29" t="s">
        <v>2639</v>
      </c>
      <c r="W310" s="35" t="s">
        <v>1628</v>
      </c>
      <c r="X310" s="35" t="s">
        <v>1850</v>
      </c>
      <c r="Y310" s="35" t="s">
        <v>1775</v>
      </c>
      <c r="Z310" s="35" t="s">
        <v>2855</v>
      </c>
      <c r="AA310" s="35" t="s">
        <v>2641</v>
      </c>
      <c r="AB310" s="29" t="s">
        <v>2831</v>
      </c>
      <c r="AC310" s="35" t="s">
        <v>1633</v>
      </c>
      <c r="AD310" s="35" t="s">
        <v>1634</v>
      </c>
      <c r="AE310" s="35" t="s">
        <v>1634</v>
      </c>
      <c r="AF310" s="35" t="s">
        <v>1635</v>
      </c>
      <c r="AG310" s="35" t="s">
        <v>2634</v>
      </c>
      <c r="AI310" s="35"/>
      <c r="AJ310" s="35" t="s">
        <v>1637</v>
      </c>
      <c r="AK310" s="35" t="s">
        <v>1672</v>
      </c>
      <c r="AL310" s="29" t="s">
        <v>2715</v>
      </c>
      <c r="AM310" s="35"/>
      <c r="AN310" s="35"/>
      <c r="AO310" s="35"/>
      <c r="AP310" s="35"/>
      <c r="AQ310" s="35"/>
      <c r="AS310" s="35"/>
      <c r="AU310" s="35"/>
      <c r="AW310" s="35"/>
      <c r="AY310" s="35"/>
      <c r="AZ310" s="35"/>
      <c r="BA310" s="35"/>
      <c r="BB310" s="29" t="s">
        <v>2825</v>
      </c>
      <c r="BC310" s="29" t="s">
        <v>2347</v>
      </c>
      <c r="BD310" s="29" t="s">
        <v>2739</v>
      </c>
      <c r="BE310" s="29" t="s">
        <v>1805</v>
      </c>
      <c r="BF310" s="29" t="s">
        <v>1936</v>
      </c>
      <c r="BG310" s="29" t="s">
        <v>2856</v>
      </c>
      <c r="BI310" s="35"/>
      <c r="BJ310" s="35"/>
      <c r="BK310" s="29" t="str" cm="1">
        <f t="array" ref="BK310">_xlfn.UNIQUE(MID(BB310,16,14))</f>
        <v>U012UBB01UC001</v>
      </c>
    </row>
    <row r="311" spans="1:63" x14ac:dyDescent="0.3">
      <c r="A311" s="29" t="s">
        <v>2733</v>
      </c>
      <c r="B311" s="36" t="str">
        <f t="shared" si="20"/>
        <v>G01NHA01KF001-QA18</v>
      </c>
      <c r="C311" s="33" t="s">
        <v>2857</v>
      </c>
      <c r="D311" s="34" t="str">
        <f t="shared" si="21"/>
        <v>ELY1 RECT1 CTRL U1 SW 400VAC8 CB ON/OPN</v>
      </c>
      <c r="E311" s="31">
        <f t="shared" si="22"/>
        <v>39</v>
      </c>
      <c r="F311" s="32" t="str">
        <f t="shared" si="23"/>
        <v>ELECTROLYSIS SYSTEM ELECTROLYSIS ARRAY 1 RECTIFIER SYSTEMS RECTIFIER SYSTEM 1 CONTROL UNITS I&amp;C CABINET  1 - RECTIFIER SYSTEM 1 400VAC DISTRIBUTION CHECK BACK ON/OPEN</v>
      </c>
      <c r="G311" s="29" t="s">
        <v>1614</v>
      </c>
      <c r="H311" s="29" t="s">
        <v>1615</v>
      </c>
      <c r="I311" s="29" t="str">
        <f t="shared" si="24"/>
        <v>01</v>
      </c>
      <c r="J311" s="29" t="s">
        <v>1616</v>
      </c>
      <c r="K311" s="29" t="s">
        <v>1842</v>
      </c>
      <c r="L311" s="29" t="s">
        <v>1843</v>
      </c>
      <c r="M311" s="29" t="s">
        <v>1619</v>
      </c>
      <c r="N311" s="29" t="s">
        <v>1844</v>
      </c>
      <c r="O311" s="29" t="s">
        <v>1771</v>
      </c>
      <c r="P311" s="29" t="s">
        <v>2055</v>
      </c>
      <c r="Q311" s="29" t="s">
        <v>1623</v>
      </c>
      <c r="R311" s="29" t="s">
        <v>2735</v>
      </c>
      <c r="S311" s="29" t="s">
        <v>2858</v>
      </c>
      <c r="T311" s="29" t="s">
        <v>2829</v>
      </c>
      <c r="U311" s="29" t="s">
        <v>790</v>
      </c>
      <c r="V311" s="29" t="s">
        <v>2639</v>
      </c>
      <c r="W311" s="35" t="s">
        <v>1628</v>
      </c>
      <c r="X311" s="35" t="s">
        <v>1850</v>
      </c>
      <c r="Y311" s="35" t="s">
        <v>1775</v>
      </c>
      <c r="Z311" s="35" t="s">
        <v>2859</v>
      </c>
      <c r="AA311" s="35" t="s">
        <v>2641</v>
      </c>
      <c r="AB311" s="29" t="s">
        <v>2831</v>
      </c>
      <c r="AC311" s="35" t="s">
        <v>1633</v>
      </c>
      <c r="AD311" s="35" t="s">
        <v>1634</v>
      </c>
      <c r="AE311" s="35" t="s">
        <v>1634</v>
      </c>
      <c r="AF311" s="35" t="s">
        <v>1635</v>
      </c>
      <c r="AG311" s="35" t="s">
        <v>2634</v>
      </c>
      <c r="AI311" s="35"/>
      <c r="AJ311" s="35" t="s">
        <v>1637</v>
      </c>
      <c r="AK311" s="35" t="s">
        <v>1672</v>
      </c>
      <c r="AL311" s="29" t="s">
        <v>2715</v>
      </c>
      <c r="AM311" s="35"/>
      <c r="AN311" s="35"/>
      <c r="AO311" s="35"/>
      <c r="AP311" s="35"/>
      <c r="AQ311" s="35"/>
      <c r="AS311" s="35"/>
      <c r="AU311" s="35"/>
      <c r="AW311" s="35"/>
      <c r="AY311" s="35"/>
      <c r="AZ311" s="35"/>
      <c r="BA311" s="35"/>
      <c r="BB311" s="29" t="s">
        <v>2825</v>
      </c>
      <c r="BC311" s="29" t="s">
        <v>2347</v>
      </c>
      <c r="BD311" s="29" t="s">
        <v>2739</v>
      </c>
      <c r="BE311" s="29" t="s">
        <v>1805</v>
      </c>
      <c r="BF311" s="29" t="s">
        <v>2035</v>
      </c>
      <c r="BG311" s="29" t="s">
        <v>2860</v>
      </c>
      <c r="BI311" s="35"/>
      <c r="BJ311" s="35"/>
      <c r="BK311" s="29" t="str" cm="1">
        <f t="array" ref="BK311">_xlfn.UNIQUE(MID(BB311,16,14))</f>
        <v>U012UBB01UC001</v>
      </c>
    </row>
    <row r="312" spans="1:63" x14ac:dyDescent="0.3">
      <c r="A312" s="29" t="s">
        <v>2733</v>
      </c>
      <c r="B312" s="36" t="str">
        <f t="shared" si="20"/>
        <v>G01NHA01KF001-SF01</v>
      </c>
      <c r="C312" s="33" t="s">
        <v>2861</v>
      </c>
      <c r="D312" s="34" t="str">
        <f t="shared" si="21"/>
        <v>ELY1 RECT1 CTRL U1 SW OFF WARN CODE</v>
      </c>
      <c r="E312" s="31">
        <f t="shared" si="22"/>
        <v>35</v>
      </c>
      <c r="F312" s="32" t="str">
        <f t="shared" si="23"/>
        <v>ELECTROLYSIS SYSTEM ELECTROLYSIS ARRAY 1 RECTIFIER SYSTEMS RECTIFIER SYSTEM 1 CONTROL UNITS I&amp;C CABINET  1 - RECTIFIER SYSTEM 1 EMERGENCY STOP - PUSHBUTTON - I&amp;C CABINET 1 RECTIFIER SYSTEM COMPONENT PROTECTION</v>
      </c>
      <c r="G312" s="29" t="s">
        <v>1614</v>
      </c>
      <c r="H312" s="29" t="s">
        <v>1615</v>
      </c>
      <c r="I312" s="29" t="str">
        <f t="shared" si="24"/>
        <v>01</v>
      </c>
      <c r="J312" s="29" t="s">
        <v>1616</v>
      </c>
      <c r="K312" s="29" t="s">
        <v>1842</v>
      </c>
      <c r="L312" s="29" t="s">
        <v>1843</v>
      </c>
      <c r="M312" s="29" t="s">
        <v>1619</v>
      </c>
      <c r="N312" s="29" t="s">
        <v>1844</v>
      </c>
      <c r="O312" s="29" t="s">
        <v>1771</v>
      </c>
      <c r="P312" s="29" t="s">
        <v>2055</v>
      </c>
      <c r="Q312" s="29" t="s">
        <v>1623</v>
      </c>
      <c r="R312" s="29" t="s">
        <v>2735</v>
      </c>
      <c r="S312" s="29" t="s">
        <v>2862</v>
      </c>
      <c r="T312" s="29" t="s">
        <v>2863</v>
      </c>
      <c r="U312" s="29" t="s">
        <v>1074</v>
      </c>
      <c r="V312" s="29" t="s">
        <v>2864</v>
      </c>
      <c r="W312" s="35" t="s">
        <v>1628</v>
      </c>
      <c r="X312" s="35" t="s">
        <v>1850</v>
      </c>
      <c r="Y312" s="35" t="s">
        <v>1775</v>
      </c>
      <c r="Z312" s="35" t="s">
        <v>2865</v>
      </c>
      <c r="AA312" s="35" t="s">
        <v>2665</v>
      </c>
      <c r="AB312" s="29" t="s">
        <v>2653</v>
      </c>
      <c r="AC312" s="35" t="s">
        <v>1633</v>
      </c>
      <c r="AD312" s="35" t="s">
        <v>1634</v>
      </c>
      <c r="AE312" s="35" t="s">
        <v>1634</v>
      </c>
      <c r="AF312" s="35" t="s">
        <v>1635</v>
      </c>
      <c r="AG312" s="35" t="s">
        <v>2634</v>
      </c>
      <c r="AI312" s="35"/>
      <c r="AJ312" s="35" t="s">
        <v>1637</v>
      </c>
      <c r="AK312" s="35" t="s">
        <v>1638</v>
      </c>
      <c r="AL312" s="29" t="s">
        <v>2866</v>
      </c>
      <c r="AM312" s="35"/>
      <c r="AN312" s="35"/>
      <c r="AO312" s="35"/>
      <c r="AP312" s="35"/>
      <c r="AQ312" s="35"/>
      <c r="AS312" s="35"/>
      <c r="AU312" s="35"/>
      <c r="AW312" s="35"/>
      <c r="AY312" s="35"/>
      <c r="AZ312" s="35" t="s">
        <v>1642</v>
      </c>
      <c r="BA312" s="35" t="s">
        <v>2002</v>
      </c>
      <c r="BB312" s="29" t="s">
        <v>2654</v>
      </c>
      <c r="BC312" s="29" t="s">
        <v>1644</v>
      </c>
      <c r="BD312" s="29" t="s">
        <v>2666</v>
      </c>
      <c r="BE312" s="29" t="s">
        <v>1074</v>
      </c>
      <c r="BF312" s="29" t="s">
        <v>2051</v>
      </c>
      <c r="BG312" s="29" t="s">
        <v>2867</v>
      </c>
      <c r="BI312" s="35"/>
      <c r="BJ312" s="35"/>
      <c r="BK312" s="29" t="str" cm="1">
        <f t="array" ref="BK312">_xlfn.UNIQUE(MID(BB312,16,14))</f>
        <v>U012UBB01UC001</v>
      </c>
    </row>
    <row r="313" spans="1:63" x14ac:dyDescent="0.3">
      <c r="A313" s="29" t="s">
        <v>2733</v>
      </c>
      <c r="B313" s="36" t="str">
        <f t="shared" si="20"/>
        <v>G01NHA01KF001-SF01</v>
      </c>
      <c r="C313" s="33" t="s">
        <v>2868</v>
      </c>
      <c r="D313" s="34" t="str">
        <f t="shared" si="21"/>
        <v>ELY1 RECT1 CTRL U1 SW OFF AL/FLT CODE</v>
      </c>
      <c r="E313" s="31">
        <f t="shared" si="22"/>
        <v>37</v>
      </c>
      <c r="F313" s="32" t="str">
        <f t="shared" si="23"/>
        <v>ELECTROLYSIS SYSTEM ELECTROLYSIS ARRAY 1 RECTIFIER SYSTEMS RECTIFIER SYSTEM 1 CONTROL UNITS I&amp;C CABINET  1 - RECTIFIER SYSTEM 1 EMERGENCY STOP - PUSHBUTTON - I&amp;C CABINET 1 RECTIFIER SYSTEM COMPONENT PROTECTION</v>
      </c>
      <c r="G313" s="29" t="s">
        <v>1614</v>
      </c>
      <c r="H313" s="29" t="s">
        <v>1615</v>
      </c>
      <c r="I313" s="29" t="str">
        <f t="shared" si="24"/>
        <v>01</v>
      </c>
      <c r="J313" s="29" t="s">
        <v>1616</v>
      </c>
      <c r="K313" s="29" t="s">
        <v>1842</v>
      </c>
      <c r="L313" s="29" t="s">
        <v>1843</v>
      </c>
      <c r="M313" s="29" t="s">
        <v>1619</v>
      </c>
      <c r="N313" s="29" t="s">
        <v>1844</v>
      </c>
      <c r="O313" s="29" t="s">
        <v>1771</v>
      </c>
      <c r="P313" s="29" t="s">
        <v>2055</v>
      </c>
      <c r="Q313" s="29" t="s">
        <v>1623</v>
      </c>
      <c r="R313" s="29" t="s">
        <v>2735</v>
      </c>
      <c r="S313" s="29" t="s">
        <v>2862</v>
      </c>
      <c r="T313" s="29" t="s">
        <v>2863</v>
      </c>
      <c r="U313" s="29" t="s">
        <v>1360</v>
      </c>
      <c r="V313" s="29" t="s">
        <v>2864</v>
      </c>
      <c r="W313" s="35" t="s">
        <v>1628</v>
      </c>
      <c r="X313" s="35" t="s">
        <v>1850</v>
      </c>
      <c r="Y313" s="35" t="s">
        <v>1775</v>
      </c>
      <c r="Z313" s="35" t="s">
        <v>2865</v>
      </c>
      <c r="AA313" s="35" t="s">
        <v>2670</v>
      </c>
      <c r="AB313" s="29" t="s">
        <v>2653</v>
      </c>
      <c r="AC313" s="35" t="s">
        <v>1633</v>
      </c>
      <c r="AD313" s="35" t="s">
        <v>1634</v>
      </c>
      <c r="AE313" s="35" t="s">
        <v>1634</v>
      </c>
      <c r="AF313" s="35" t="s">
        <v>1635</v>
      </c>
      <c r="AG313" s="35" t="s">
        <v>2634</v>
      </c>
      <c r="AI313" s="35"/>
      <c r="AJ313" s="35" t="s">
        <v>1637</v>
      </c>
      <c r="AK313" s="35" t="s">
        <v>1638</v>
      </c>
      <c r="AL313" s="29" t="s">
        <v>2866</v>
      </c>
      <c r="AM313" s="35"/>
      <c r="AN313" s="35"/>
      <c r="AO313" s="35"/>
      <c r="AP313" s="35"/>
      <c r="AQ313" s="35"/>
      <c r="AS313" s="35"/>
      <c r="AU313" s="35"/>
      <c r="AW313" s="35"/>
      <c r="AY313" s="35"/>
      <c r="AZ313" s="35" t="s">
        <v>1642</v>
      </c>
      <c r="BA313" s="35" t="s">
        <v>2002</v>
      </c>
      <c r="BB313" s="29" t="s">
        <v>2654</v>
      </c>
      <c r="BC313" s="29" t="s">
        <v>1644</v>
      </c>
      <c r="BD313" s="29" t="s">
        <v>2671</v>
      </c>
      <c r="BE313" s="29" t="s">
        <v>1360</v>
      </c>
      <c r="BF313" s="29" t="s">
        <v>1619</v>
      </c>
      <c r="BG313" s="29" t="s">
        <v>2867</v>
      </c>
      <c r="BI313" s="35"/>
      <c r="BJ313" s="35"/>
      <c r="BK313" s="29" t="str" cm="1">
        <f t="array" ref="BK313">_xlfn.UNIQUE(MID(BB313,16,14))</f>
        <v>U012UBB01UC001</v>
      </c>
    </row>
    <row r="314" spans="1:63" x14ac:dyDescent="0.3">
      <c r="A314" s="29" t="s">
        <v>2733</v>
      </c>
      <c r="B314" s="36" t="str">
        <f t="shared" si="20"/>
        <v>G01NHA01KF001-TB01</v>
      </c>
      <c r="C314" s="33" t="s">
        <v>2869</v>
      </c>
      <c r="D314" s="34" t="str">
        <f t="shared" si="21"/>
        <v>ELY1 RECT1 CTRL U1 24VDC MON1 CB ON/OPN</v>
      </c>
      <c r="E314" s="31">
        <f t="shared" si="22"/>
        <v>39</v>
      </c>
      <c r="F314" s="32" t="str">
        <f t="shared" si="23"/>
        <v>ELECTROLYSIS SYSTEM ELECTROLYSIS ARRAY 1 RECTIFIER SYSTEMS RECTIFIER SYSTEM 1 CONTROL UNITS I&amp;C CABINET  1 - RECTIFIER SYSTEM 1 SITOP PSU6200 24 V/20 A CHECK BACK ON/OPEN</v>
      </c>
      <c r="G314" s="29" t="s">
        <v>1614</v>
      </c>
      <c r="H314" s="29" t="s">
        <v>1615</v>
      </c>
      <c r="I314" s="29" t="str">
        <f t="shared" si="24"/>
        <v>01</v>
      </c>
      <c r="J314" s="29" t="s">
        <v>1616</v>
      </c>
      <c r="K314" s="29" t="s">
        <v>1842</v>
      </c>
      <c r="L314" s="29" t="s">
        <v>1843</v>
      </c>
      <c r="M314" s="29" t="s">
        <v>1619</v>
      </c>
      <c r="N314" s="29" t="s">
        <v>1844</v>
      </c>
      <c r="O314" s="29" t="s">
        <v>1771</v>
      </c>
      <c r="P314" s="29" t="s">
        <v>2055</v>
      </c>
      <c r="Q314" s="29" t="s">
        <v>1623</v>
      </c>
      <c r="R314" s="29" t="s">
        <v>2735</v>
      </c>
      <c r="S314" s="29" t="s">
        <v>2870</v>
      </c>
      <c r="T314" s="29" t="s">
        <v>2871</v>
      </c>
      <c r="U314" s="29" t="s">
        <v>790</v>
      </c>
      <c r="V314" s="29" t="s">
        <v>2639</v>
      </c>
      <c r="W314" s="35" t="s">
        <v>1628</v>
      </c>
      <c r="X314" s="35" t="s">
        <v>1850</v>
      </c>
      <c r="Y314" s="35" t="s">
        <v>1775</v>
      </c>
      <c r="Z314" s="35" t="s">
        <v>2872</v>
      </c>
      <c r="AA314" s="35" t="s">
        <v>2641</v>
      </c>
      <c r="AB314" s="29" t="s">
        <v>2870</v>
      </c>
      <c r="AC314" s="35" t="s">
        <v>1633</v>
      </c>
      <c r="AD314" s="35" t="s">
        <v>1634</v>
      </c>
      <c r="AE314" s="35" t="s">
        <v>1634</v>
      </c>
      <c r="AF314" s="35" t="s">
        <v>1635</v>
      </c>
      <c r="AG314" s="35" t="s">
        <v>1670</v>
      </c>
      <c r="AI314" s="35"/>
      <c r="AJ314" s="35" t="s">
        <v>1637</v>
      </c>
      <c r="AK314" s="35" t="s">
        <v>1672</v>
      </c>
      <c r="AL314" s="29" t="s">
        <v>2715</v>
      </c>
      <c r="AM314" s="35"/>
      <c r="AN314" s="35"/>
      <c r="AO314" s="35"/>
      <c r="AP314" s="35"/>
      <c r="AQ314" s="35"/>
      <c r="AS314" s="35"/>
      <c r="AU314" s="35"/>
      <c r="AW314" s="35"/>
      <c r="AY314" s="35"/>
      <c r="AZ314" s="35"/>
      <c r="BA314" s="35"/>
      <c r="BB314" s="29" t="s">
        <v>2825</v>
      </c>
      <c r="BC314" s="29" t="s">
        <v>2347</v>
      </c>
      <c r="BD314" s="29" t="s">
        <v>2739</v>
      </c>
      <c r="BE314" s="29" t="s">
        <v>1805</v>
      </c>
      <c r="BF314" s="29" t="s">
        <v>1969</v>
      </c>
      <c r="BG314" s="29" t="s">
        <v>2873</v>
      </c>
      <c r="BI314" s="35"/>
      <c r="BJ314" s="35"/>
      <c r="BK314" s="29" t="str" cm="1">
        <f t="array" ref="BK314">_xlfn.UNIQUE(MID(BB314,16,14))</f>
        <v>U012UBB01UC001</v>
      </c>
    </row>
    <row r="315" spans="1:63" x14ac:dyDescent="0.3">
      <c r="A315" s="29" t="s">
        <v>2733</v>
      </c>
      <c r="B315" s="36" t="str">
        <f t="shared" si="20"/>
        <v>G01NHA01KF001-TB02</v>
      </c>
      <c r="C315" s="33" t="s">
        <v>2874</v>
      </c>
      <c r="D315" s="34" t="str">
        <f t="shared" si="21"/>
        <v>ELY1 RECT1 CTRL U1 24VDC MON2 CB ON/OPN</v>
      </c>
      <c r="E315" s="31">
        <f t="shared" si="22"/>
        <v>39</v>
      </c>
      <c r="F315" s="32" t="str">
        <f t="shared" si="23"/>
        <v>ELECTROLYSIS SYSTEM ELECTROLYSIS ARRAY 1 RECTIFIER SYSTEMS RECTIFIER SYSTEM 1 CONTROL UNITS I&amp;C CABINET  1 - RECTIFIER SYSTEM 1 SITOP PSU6200 24 V/20 A CHECK BACK ON/OPEN</v>
      </c>
      <c r="G315" s="29" t="s">
        <v>1614</v>
      </c>
      <c r="H315" s="29" t="s">
        <v>1615</v>
      </c>
      <c r="I315" s="29" t="str">
        <f t="shared" si="24"/>
        <v>01</v>
      </c>
      <c r="J315" s="29" t="s">
        <v>1616</v>
      </c>
      <c r="K315" s="29" t="s">
        <v>1842</v>
      </c>
      <c r="L315" s="29" t="s">
        <v>1843</v>
      </c>
      <c r="M315" s="29" t="s">
        <v>1619</v>
      </c>
      <c r="N315" s="29" t="s">
        <v>1844</v>
      </c>
      <c r="O315" s="29" t="s">
        <v>1771</v>
      </c>
      <c r="P315" s="29" t="s">
        <v>2055</v>
      </c>
      <c r="Q315" s="29" t="s">
        <v>1623</v>
      </c>
      <c r="R315" s="29" t="s">
        <v>2735</v>
      </c>
      <c r="S315" s="29" t="s">
        <v>2875</v>
      </c>
      <c r="T315" s="29" t="s">
        <v>2871</v>
      </c>
      <c r="U315" s="29" t="s">
        <v>790</v>
      </c>
      <c r="V315" s="29" t="s">
        <v>2639</v>
      </c>
      <c r="W315" s="35" t="s">
        <v>1628</v>
      </c>
      <c r="X315" s="35" t="s">
        <v>1850</v>
      </c>
      <c r="Y315" s="35" t="s">
        <v>1775</v>
      </c>
      <c r="Z315" s="35" t="s">
        <v>2876</v>
      </c>
      <c r="AA315" s="35" t="s">
        <v>2641</v>
      </c>
      <c r="AB315" s="29" t="s">
        <v>2875</v>
      </c>
      <c r="AC315" s="35" t="s">
        <v>1633</v>
      </c>
      <c r="AD315" s="35" t="s">
        <v>1634</v>
      </c>
      <c r="AE315" s="35" t="s">
        <v>1634</v>
      </c>
      <c r="AF315" s="35" t="s">
        <v>1635</v>
      </c>
      <c r="AG315" s="35" t="s">
        <v>2660</v>
      </c>
      <c r="AI315" s="35"/>
      <c r="AJ315" s="35" t="s">
        <v>1637</v>
      </c>
      <c r="AK315" s="35" t="s">
        <v>1672</v>
      </c>
      <c r="AL315" s="29" t="s">
        <v>2715</v>
      </c>
      <c r="AM315" s="35"/>
      <c r="AN315" s="35"/>
      <c r="AO315" s="35"/>
      <c r="AP315" s="35"/>
      <c r="AQ315" s="35"/>
      <c r="AS315" s="35"/>
      <c r="AU315" s="35"/>
      <c r="AW315" s="35"/>
      <c r="AY315" s="35"/>
      <c r="AZ315" s="35"/>
      <c r="BA315" s="35"/>
      <c r="BB315" s="29" t="s">
        <v>2825</v>
      </c>
      <c r="BC315" s="29" t="s">
        <v>2347</v>
      </c>
      <c r="BD315" s="29" t="s">
        <v>2739</v>
      </c>
      <c r="BE315" s="29" t="s">
        <v>1805</v>
      </c>
      <c r="BF315" s="29" t="s">
        <v>1973</v>
      </c>
      <c r="BG315" s="29" t="s">
        <v>2877</v>
      </c>
      <c r="BI315" s="35"/>
      <c r="BJ315" s="35"/>
      <c r="BK315" s="29" t="str" cm="1">
        <f t="array" ref="BK315">_xlfn.UNIQUE(MID(BB315,16,14))</f>
        <v>U012UBB01UC001</v>
      </c>
    </row>
    <row r="316" spans="1:63" x14ac:dyDescent="0.3">
      <c r="A316" s="29" t="s">
        <v>2878</v>
      </c>
      <c r="B316" s="36" t="str">
        <f t="shared" si="20"/>
        <v>G01NHA01KF002-BA11</v>
      </c>
      <c r="C316" s="33" t="s">
        <v>2879</v>
      </c>
      <c r="D316" s="34" t="str">
        <f t="shared" si="21"/>
        <v>ELY1 RECT1 CTRL U2 400VAC MON CB ON/OPN</v>
      </c>
      <c r="E316" s="31">
        <f t="shared" si="22"/>
        <v>39</v>
      </c>
      <c r="F316" s="32" t="str">
        <f t="shared" si="23"/>
        <v>ELECTROLYSIS SYSTEM ELECTROLYSIS ARRAY 1 RECTIFIER SYSTEMS RECTIFIER SYSTEM 1 CONTROL UNITS I&amp;C CABINET  2 - RECTIFIER SYSTEM 1 400VAC MONITORING CHECK BACK ON/OPEN</v>
      </c>
      <c r="G316" s="29" t="s">
        <v>1614</v>
      </c>
      <c r="H316" s="29" t="s">
        <v>1615</v>
      </c>
      <c r="I316" s="29" t="str">
        <f t="shared" si="24"/>
        <v>01</v>
      </c>
      <c r="J316" s="29" t="s">
        <v>1616</v>
      </c>
      <c r="K316" s="29" t="s">
        <v>1842</v>
      </c>
      <c r="L316" s="29" t="s">
        <v>1843</v>
      </c>
      <c r="M316" s="29" t="s">
        <v>1619</v>
      </c>
      <c r="N316" s="29" t="s">
        <v>1844</v>
      </c>
      <c r="O316" s="29" t="s">
        <v>1771</v>
      </c>
      <c r="P316" s="29" t="s">
        <v>2055</v>
      </c>
      <c r="Q316" s="29" t="s">
        <v>1872</v>
      </c>
      <c r="R316" s="29" t="s">
        <v>2880</v>
      </c>
      <c r="S316" s="29" t="s">
        <v>2736</v>
      </c>
      <c r="T316" s="29" t="s">
        <v>2737</v>
      </c>
      <c r="U316" s="29" t="s">
        <v>790</v>
      </c>
      <c r="V316" s="29" t="s">
        <v>2639</v>
      </c>
      <c r="W316" s="35" t="s">
        <v>1628</v>
      </c>
      <c r="X316" s="35" t="s">
        <v>1850</v>
      </c>
      <c r="Y316" s="35" t="s">
        <v>2881</v>
      </c>
      <c r="Z316" s="35" t="s">
        <v>2738</v>
      </c>
      <c r="AA316" s="35" t="s">
        <v>2641</v>
      </c>
      <c r="AB316" s="29" t="s">
        <v>1638</v>
      </c>
      <c r="AC316" s="35" t="s">
        <v>1633</v>
      </c>
      <c r="AD316" s="35" t="s">
        <v>1634</v>
      </c>
      <c r="AE316" s="35" t="s">
        <v>1634</v>
      </c>
      <c r="AF316" s="35" t="s">
        <v>1635</v>
      </c>
      <c r="AG316" s="35" t="s">
        <v>2634</v>
      </c>
      <c r="AI316" s="35"/>
      <c r="AJ316" s="35" t="s">
        <v>1637</v>
      </c>
      <c r="AK316" s="35" t="s">
        <v>1672</v>
      </c>
      <c r="AL316" s="29" t="s">
        <v>2715</v>
      </c>
      <c r="AM316" s="35"/>
      <c r="AN316" s="35"/>
      <c r="AO316" s="35"/>
      <c r="AP316" s="35"/>
      <c r="AQ316" s="35"/>
      <c r="AS316" s="35"/>
      <c r="AU316" s="35"/>
      <c r="AW316" s="35"/>
      <c r="AY316" s="35"/>
      <c r="AZ316" s="35"/>
      <c r="BA316" s="35"/>
      <c r="BB316" s="29" t="s">
        <v>2680</v>
      </c>
      <c r="BC316" s="29" t="s">
        <v>2347</v>
      </c>
      <c r="BD316" s="29" t="s">
        <v>2739</v>
      </c>
      <c r="BE316" s="29" t="s">
        <v>1805</v>
      </c>
      <c r="BF316" s="29" t="s">
        <v>1973</v>
      </c>
      <c r="BG316" s="29" t="s">
        <v>2882</v>
      </c>
      <c r="BI316" s="35"/>
      <c r="BJ316" s="35"/>
      <c r="BK316" s="29" t="str" cm="1">
        <f t="array" ref="BK316">_xlfn.UNIQUE(MID(BB316,16,14))</f>
        <v>U012UBB01UC002</v>
      </c>
    </row>
    <row r="317" spans="1:63" x14ac:dyDescent="0.3">
      <c r="A317" s="29" t="s">
        <v>2878</v>
      </c>
      <c r="B317" s="36" t="str">
        <f t="shared" si="20"/>
        <v>G01NHA01KF002-BA21</v>
      </c>
      <c r="C317" s="33" t="s">
        <v>2883</v>
      </c>
      <c r="D317" s="34" t="str">
        <f t="shared" si="21"/>
        <v>ELY1 RECT1 CTRL U2 230VAC MON CB ON/OPN</v>
      </c>
      <c r="E317" s="31">
        <f t="shared" si="22"/>
        <v>39</v>
      </c>
      <c r="F317" s="32" t="str">
        <f t="shared" si="23"/>
        <v>ELECTROLYSIS SYSTEM ELECTROLYSIS ARRAY 1 RECTIFIER SYSTEMS RECTIFIER SYSTEM 1 CONTROL UNITS I&amp;C CABINET  2 - RECTIFIER SYSTEM 1 230VAC MONITORING CHECK BACK ON/OPEN</v>
      </c>
      <c r="G317" s="29" t="s">
        <v>1614</v>
      </c>
      <c r="H317" s="29" t="s">
        <v>1615</v>
      </c>
      <c r="I317" s="29" t="str">
        <f t="shared" si="24"/>
        <v>01</v>
      </c>
      <c r="J317" s="29" t="s">
        <v>1616</v>
      </c>
      <c r="K317" s="29" t="s">
        <v>1842</v>
      </c>
      <c r="L317" s="29" t="s">
        <v>1843</v>
      </c>
      <c r="M317" s="29" t="s">
        <v>1619</v>
      </c>
      <c r="N317" s="29" t="s">
        <v>1844</v>
      </c>
      <c r="O317" s="29" t="s">
        <v>1771</v>
      </c>
      <c r="P317" s="29" t="s">
        <v>2055</v>
      </c>
      <c r="Q317" s="29" t="s">
        <v>1872</v>
      </c>
      <c r="R317" s="29" t="s">
        <v>2880</v>
      </c>
      <c r="S317" s="29" t="s">
        <v>2742</v>
      </c>
      <c r="T317" s="29" t="s">
        <v>2743</v>
      </c>
      <c r="U317" s="29" t="s">
        <v>790</v>
      </c>
      <c r="V317" s="29" t="s">
        <v>2639</v>
      </c>
      <c r="W317" s="35" t="s">
        <v>1628</v>
      </c>
      <c r="X317" s="35" t="s">
        <v>1850</v>
      </c>
      <c r="Y317" s="35" t="s">
        <v>2881</v>
      </c>
      <c r="Z317" s="35" t="s">
        <v>2744</v>
      </c>
      <c r="AA317" s="35" t="s">
        <v>2641</v>
      </c>
      <c r="AB317" s="29" t="s">
        <v>1638</v>
      </c>
      <c r="AC317" s="35" t="s">
        <v>1633</v>
      </c>
      <c r="AD317" s="35" t="s">
        <v>1634</v>
      </c>
      <c r="AE317" s="35" t="s">
        <v>1634</v>
      </c>
      <c r="AF317" s="35" t="s">
        <v>1635</v>
      </c>
      <c r="AG317" s="35" t="s">
        <v>2634</v>
      </c>
      <c r="AI317" s="35"/>
      <c r="AJ317" s="35" t="s">
        <v>1637</v>
      </c>
      <c r="AK317" s="35" t="s">
        <v>1672</v>
      </c>
      <c r="AL317" s="29" t="s">
        <v>2715</v>
      </c>
      <c r="AM317" s="35"/>
      <c r="AN317" s="35"/>
      <c r="AO317" s="35"/>
      <c r="AP317" s="35"/>
      <c r="AQ317" s="35"/>
      <c r="AS317" s="35"/>
      <c r="AU317" s="35"/>
      <c r="AW317" s="35"/>
      <c r="AY317" s="35"/>
      <c r="AZ317" s="35"/>
      <c r="BA317" s="35"/>
      <c r="BB317" s="29" t="s">
        <v>2680</v>
      </c>
      <c r="BC317" s="29" t="s">
        <v>2347</v>
      </c>
      <c r="BD317" s="29" t="s">
        <v>2739</v>
      </c>
      <c r="BE317" s="29" t="s">
        <v>1805</v>
      </c>
      <c r="BF317" s="29" t="s">
        <v>2048</v>
      </c>
      <c r="BG317" s="29" t="s">
        <v>2884</v>
      </c>
      <c r="BI317" s="35"/>
      <c r="BJ317" s="35"/>
      <c r="BK317" s="29" t="str" cm="1">
        <f t="array" ref="BK317">_xlfn.UNIQUE(MID(BB317,16,14))</f>
        <v>U012UBB01UC002</v>
      </c>
    </row>
    <row r="318" spans="1:63" x14ac:dyDescent="0.3">
      <c r="A318" s="29" t="s">
        <v>2878</v>
      </c>
      <c r="B318" s="36" t="str">
        <f t="shared" si="20"/>
        <v>G01NHA01KF002-BA41</v>
      </c>
      <c r="C318" s="33" t="s">
        <v>2885</v>
      </c>
      <c r="D318" s="34" t="str">
        <f t="shared" si="21"/>
        <v>ELY1 RECT1 CTRL U2 UPS MON CB ON/OPN</v>
      </c>
      <c r="E318" s="31">
        <f t="shared" si="22"/>
        <v>36</v>
      </c>
      <c r="F318" s="32" t="str">
        <f t="shared" si="23"/>
        <v>ELECTROLYSIS SYSTEM ELECTROLYSIS ARRAY 1 RECTIFIER SYSTEMS RECTIFIER SYSTEM 1 CONTROL UNITS I&amp;C CABINET  2 - RECTIFIER SYSTEM 1 230VAC UPS MONITORING CHECK BACK ON/OPEN</v>
      </c>
      <c r="G318" s="29" t="s">
        <v>1614</v>
      </c>
      <c r="H318" s="29" t="s">
        <v>1615</v>
      </c>
      <c r="I318" s="29" t="str">
        <f t="shared" si="24"/>
        <v>01</v>
      </c>
      <c r="J318" s="29" t="s">
        <v>1616</v>
      </c>
      <c r="K318" s="29" t="s">
        <v>1842</v>
      </c>
      <c r="L318" s="29" t="s">
        <v>1843</v>
      </c>
      <c r="M318" s="29" t="s">
        <v>1619</v>
      </c>
      <c r="N318" s="29" t="s">
        <v>1844</v>
      </c>
      <c r="O318" s="29" t="s">
        <v>1771</v>
      </c>
      <c r="P318" s="29" t="s">
        <v>2055</v>
      </c>
      <c r="Q318" s="29" t="s">
        <v>1872</v>
      </c>
      <c r="R318" s="29" t="s">
        <v>2880</v>
      </c>
      <c r="S318" s="29" t="s">
        <v>2747</v>
      </c>
      <c r="T318" s="29" t="s">
        <v>2748</v>
      </c>
      <c r="U318" s="29" t="s">
        <v>790</v>
      </c>
      <c r="V318" s="29" t="s">
        <v>2639</v>
      </c>
      <c r="W318" s="35" t="s">
        <v>1628</v>
      </c>
      <c r="X318" s="35" t="s">
        <v>1850</v>
      </c>
      <c r="Y318" s="35" t="s">
        <v>2881</v>
      </c>
      <c r="Z318" s="35" t="s">
        <v>2749</v>
      </c>
      <c r="AA318" s="35" t="s">
        <v>2641</v>
      </c>
      <c r="AB318" s="29" t="s">
        <v>1638</v>
      </c>
      <c r="AC318" s="35" t="s">
        <v>1633</v>
      </c>
      <c r="AD318" s="35" t="s">
        <v>1634</v>
      </c>
      <c r="AE318" s="35" t="s">
        <v>1634</v>
      </c>
      <c r="AF318" s="35" t="s">
        <v>1635</v>
      </c>
      <c r="AG318" s="35" t="s">
        <v>2634</v>
      </c>
      <c r="AI318" s="35"/>
      <c r="AJ318" s="35" t="s">
        <v>1637</v>
      </c>
      <c r="AK318" s="35" t="s">
        <v>1672</v>
      </c>
      <c r="AL318" s="29" t="s">
        <v>2715</v>
      </c>
      <c r="AM318" s="35"/>
      <c r="AN318" s="35"/>
      <c r="AO318" s="35"/>
      <c r="AP318" s="35"/>
      <c r="AQ318" s="35"/>
      <c r="AS318" s="35"/>
      <c r="AU318" s="35"/>
      <c r="AW318" s="35"/>
      <c r="AY318" s="35"/>
      <c r="AZ318" s="35"/>
      <c r="BA318" s="35"/>
      <c r="BB318" s="29" t="s">
        <v>2680</v>
      </c>
      <c r="BC318" s="29" t="s">
        <v>2347</v>
      </c>
      <c r="BD318" s="29" t="s">
        <v>2739</v>
      </c>
      <c r="BE318" s="29" t="s">
        <v>1805</v>
      </c>
      <c r="BF318" s="29" t="s">
        <v>2051</v>
      </c>
      <c r="BG318" s="29" t="s">
        <v>2886</v>
      </c>
      <c r="BI318" s="35"/>
      <c r="BJ318" s="35"/>
      <c r="BK318" s="29" t="str" cm="1">
        <f t="array" ref="BK318">_xlfn.UNIQUE(MID(BB318,16,14))</f>
        <v>U012UBB01UC002</v>
      </c>
    </row>
    <row r="319" spans="1:63" x14ac:dyDescent="0.3">
      <c r="A319" s="29" t="s">
        <v>2878</v>
      </c>
      <c r="B319" s="36" t="str">
        <f t="shared" si="20"/>
        <v>G01NHA01KF002-FC01</v>
      </c>
      <c r="C319" s="33" t="s">
        <v>2887</v>
      </c>
      <c r="D319" s="34" t="str">
        <f t="shared" si="21"/>
        <v>ELY1 RECT1 CTRL U2 24V MON1 CB ON/OPN</v>
      </c>
      <c r="E319" s="31">
        <f t="shared" si="22"/>
        <v>37</v>
      </c>
      <c r="F319" s="32" t="str">
        <f t="shared" si="23"/>
        <v>ELECTROLYSIS SYSTEM ELECTROLYSIS ARRAY 1 RECTIFIER SYSTEMS RECTIFIER SYSTEM 1 CONTROL UNITS I&amp;C CABINET  2 - RECTIFIER SYSTEM 1 24VDC DISTRIBUTION CHECK BACK ON/OPEN</v>
      </c>
      <c r="G319" s="29" t="s">
        <v>1614</v>
      </c>
      <c r="H319" s="29" t="s">
        <v>1615</v>
      </c>
      <c r="I319" s="29" t="str">
        <f t="shared" si="24"/>
        <v>01</v>
      </c>
      <c r="J319" s="29" t="s">
        <v>1616</v>
      </c>
      <c r="K319" s="29" t="s">
        <v>1842</v>
      </c>
      <c r="L319" s="29" t="s">
        <v>1843</v>
      </c>
      <c r="M319" s="29" t="s">
        <v>1619</v>
      </c>
      <c r="N319" s="29" t="s">
        <v>1844</v>
      </c>
      <c r="O319" s="29" t="s">
        <v>1771</v>
      </c>
      <c r="P319" s="29" t="s">
        <v>2055</v>
      </c>
      <c r="Q319" s="29" t="s">
        <v>1872</v>
      </c>
      <c r="R319" s="29" t="s">
        <v>2880</v>
      </c>
      <c r="S319" s="29" t="s">
        <v>2657</v>
      </c>
      <c r="T319" s="29" t="s">
        <v>2658</v>
      </c>
      <c r="U319" s="29" t="s">
        <v>790</v>
      </c>
      <c r="V319" s="29" t="s">
        <v>2639</v>
      </c>
      <c r="W319" s="35" t="s">
        <v>1628</v>
      </c>
      <c r="X319" s="35" t="s">
        <v>1850</v>
      </c>
      <c r="Y319" s="35" t="s">
        <v>2881</v>
      </c>
      <c r="Z319" s="35" t="s">
        <v>2659</v>
      </c>
      <c r="AA319" s="35" t="s">
        <v>2641</v>
      </c>
      <c r="AB319" s="29" t="s">
        <v>2657</v>
      </c>
      <c r="AC319" s="35" t="s">
        <v>1633</v>
      </c>
      <c r="AD319" s="35" t="s">
        <v>1634</v>
      </c>
      <c r="AE319" s="35" t="s">
        <v>1634</v>
      </c>
      <c r="AF319" s="35" t="s">
        <v>1635</v>
      </c>
      <c r="AG319" s="35" t="s">
        <v>2660</v>
      </c>
      <c r="AI319" s="35"/>
      <c r="AJ319" s="35" t="s">
        <v>1637</v>
      </c>
      <c r="AK319" s="35" t="s">
        <v>1672</v>
      </c>
      <c r="AL319" s="29" t="s">
        <v>2715</v>
      </c>
      <c r="AM319" s="35"/>
      <c r="AN319" s="35"/>
      <c r="AO319" s="35"/>
      <c r="AP319" s="35"/>
      <c r="AQ319" s="35"/>
      <c r="AS319" s="35"/>
      <c r="AU319" s="35"/>
      <c r="AW319" s="35"/>
      <c r="AY319" s="35"/>
      <c r="AZ319" s="35"/>
      <c r="BA319" s="35"/>
      <c r="BB319" s="29" t="s">
        <v>2680</v>
      </c>
      <c r="BC319" s="29" t="s">
        <v>2347</v>
      </c>
      <c r="BD319" s="29" t="s">
        <v>2739</v>
      </c>
      <c r="BE319" s="29" t="s">
        <v>1805</v>
      </c>
      <c r="BF319" s="29" t="s">
        <v>2016</v>
      </c>
      <c r="BG319" s="29" t="s">
        <v>2888</v>
      </c>
      <c r="BI319" s="35"/>
      <c r="BJ319" s="35"/>
      <c r="BK319" s="29" t="str" cm="1">
        <f t="array" ref="BK319">_xlfn.UNIQUE(MID(BB319,16,14))</f>
        <v>U012UBB01UC002</v>
      </c>
    </row>
    <row r="320" spans="1:63" x14ac:dyDescent="0.3">
      <c r="A320" s="29" t="s">
        <v>2878</v>
      </c>
      <c r="B320" s="36" t="str">
        <f t="shared" si="20"/>
        <v>G01NHA01KF002-FC02</v>
      </c>
      <c r="C320" s="33" t="s">
        <v>2889</v>
      </c>
      <c r="D320" s="34" t="str">
        <f t="shared" si="21"/>
        <v>ELY1 RECT1 CTRL U2 24V MON2 CB ON/OPN</v>
      </c>
      <c r="E320" s="31">
        <f t="shared" si="22"/>
        <v>37</v>
      </c>
      <c r="F320" s="32" t="str">
        <f t="shared" si="23"/>
        <v>ELECTROLYSIS SYSTEM ELECTROLYSIS ARRAY 1 RECTIFIER SYSTEMS RECTIFIER SYSTEM 1 CONTROL UNITS I&amp;C CABINET  2 - RECTIFIER SYSTEM 1 24VDC DISTRIBUTION CHECK BACK ON/OPEN</v>
      </c>
      <c r="G320" s="29" t="s">
        <v>1614</v>
      </c>
      <c r="H320" s="29" t="s">
        <v>1615</v>
      </c>
      <c r="I320" s="29" t="str">
        <f t="shared" si="24"/>
        <v>01</v>
      </c>
      <c r="J320" s="29" t="s">
        <v>1616</v>
      </c>
      <c r="K320" s="29" t="s">
        <v>1842</v>
      </c>
      <c r="L320" s="29" t="s">
        <v>1843</v>
      </c>
      <c r="M320" s="29" t="s">
        <v>1619</v>
      </c>
      <c r="N320" s="29" t="s">
        <v>1844</v>
      </c>
      <c r="O320" s="29" t="s">
        <v>1771</v>
      </c>
      <c r="P320" s="29" t="s">
        <v>2055</v>
      </c>
      <c r="Q320" s="29" t="s">
        <v>1872</v>
      </c>
      <c r="R320" s="29" t="s">
        <v>2880</v>
      </c>
      <c r="S320" s="29" t="s">
        <v>2754</v>
      </c>
      <c r="T320" s="29" t="s">
        <v>2658</v>
      </c>
      <c r="U320" s="29" t="s">
        <v>790</v>
      </c>
      <c r="V320" s="29" t="s">
        <v>2639</v>
      </c>
      <c r="W320" s="35" t="s">
        <v>1628</v>
      </c>
      <c r="X320" s="35" t="s">
        <v>1850</v>
      </c>
      <c r="Y320" s="35" t="s">
        <v>2881</v>
      </c>
      <c r="Z320" s="35" t="s">
        <v>2755</v>
      </c>
      <c r="AA320" s="35" t="s">
        <v>2641</v>
      </c>
      <c r="AB320" s="29" t="s">
        <v>2754</v>
      </c>
      <c r="AC320" s="35" t="s">
        <v>1633</v>
      </c>
      <c r="AD320" s="35" t="s">
        <v>1634</v>
      </c>
      <c r="AE320" s="35" t="s">
        <v>1634</v>
      </c>
      <c r="AF320" s="35" t="s">
        <v>1635</v>
      </c>
      <c r="AG320" s="35" t="s">
        <v>2660</v>
      </c>
      <c r="AI320" s="35"/>
      <c r="AJ320" s="35" t="s">
        <v>1637</v>
      </c>
      <c r="AK320" s="35" t="s">
        <v>1672</v>
      </c>
      <c r="AL320" s="29" t="s">
        <v>2715</v>
      </c>
      <c r="AM320" s="35"/>
      <c r="AN320" s="35"/>
      <c r="AO320" s="35"/>
      <c r="AP320" s="35"/>
      <c r="AQ320" s="35"/>
      <c r="AS320" s="35"/>
      <c r="AU320" s="35"/>
      <c r="AW320" s="35"/>
      <c r="AY320" s="35"/>
      <c r="AZ320" s="35"/>
      <c r="BA320" s="35"/>
      <c r="BB320" s="29" t="s">
        <v>2680</v>
      </c>
      <c r="BC320" s="29" t="s">
        <v>2347</v>
      </c>
      <c r="BD320" s="29" t="s">
        <v>2739</v>
      </c>
      <c r="BE320" s="29" t="s">
        <v>1805</v>
      </c>
      <c r="BF320" s="29" t="s">
        <v>2341</v>
      </c>
      <c r="BG320" s="29" t="s">
        <v>2890</v>
      </c>
      <c r="BI320" s="35"/>
      <c r="BJ320" s="35"/>
      <c r="BK320" s="29" t="str" cm="1">
        <f t="array" ref="BK320">_xlfn.UNIQUE(MID(BB320,16,14))</f>
        <v>U012UBB01UC002</v>
      </c>
    </row>
    <row r="321" spans="1:63" x14ac:dyDescent="0.3">
      <c r="A321" s="29" t="s">
        <v>2878</v>
      </c>
      <c r="B321" s="36" t="str">
        <f t="shared" si="20"/>
        <v>G01NHA01KF002-FC03</v>
      </c>
      <c r="C321" s="33" t="s">
        <v>2891</v>
      </c>
      <c r="D321" s="34" t="str">
        <f t="shared" si="21"/>
        <v>ELY1 RECT1 CTRL U2 24V MON3 CB ON/OPN</v>
      </c>
      <c r="E321" s="31">
        <f t="shared" si="22"/>
        <v>37</v>
      </c>
      <c r="F321" s="32" t="str">
        <f t="shared" si="23"/>
        <v>ELECTROLYSIS SYSTEM ELECTROLYSIS ARRAY 1 RECTIFIER SYSTEMS RECTIFIER SYSTEM 1 CONTROL UNITS I&amp;C CABINET  2 - RECTIFIER SYSTEM 1 24VDC DISTRIBUTION CHECK BACK ON/OPEN</v>
      </c>
      <c r="G321" s="29" t="s">
        <v>1614</v>
      </c>
      <c r="H321" s="29" t="s">
        <v>1615</v>
      </c>
      <c r="I321" s="29" t="str">
        <f t="shared" si="24"/>
        <v>01</v>
      </c>
      <c r="J321" s="29" t="s">
        <v>1616</v>
      </c>
      <c r="K321" s="29" t="s">
        <v>1842</v>
      </c>
      <c r="L321" s="29" t="s">
        <v>1843</v>
      </c>
      <c r="M321" s="29" t="s">
        <v>1619</v>
      </c>
      <c r="N321" s="29" t="s">
        <v>1844</v>
      </c>
      <c r="O321" s="29" t="s">
        <v>1771</v>
      </c>
      <c r="P321" s="29" t="s">
        <v>2055</v>
      </c>
      <c r="Q321" s="29" t="s">
        <v>1872</v>
      </c>
      <c r="R321" s="29" t="s">
        <v>2880</v>
      </c>
      <c r="S321" s="29" t="s">
        <v>2759</v>
      </c>
      <c r="T321" s="29" t="s">
        <v>2658</v>
      </c>
      <c r="U321" s="29" t="s">
        <v>790</v>
      </c>
      <c r="V321" s="29" t="s">
        <v>2639</v>
      </c>
      <c r="W321" s="35" t="s">
        <v>1628</v>
      </c>
      <c r="X321" s="35" t="s">
        <v>1850</v>
      </c>
      <c r="Y321" s="35" t="s">
        <v>2881</v>
      </c>
      <c r="Z321" s="35" t="s">
        <v>2760</v>
      </c>
      <c r="AA321" s="35" t="s">
        <v>2641</v>
      </c>
      <c r="AB321" s="29" t="s">
        <v>2759</v>
      </c>
      <c r="AC321" s="35" t="s">
        <v>1633</v>
      </c>
      <c r="AD321" s="35" t="s">
        <v>1634</v>
      </c>
      <c r="AE321" s="35" t="s">
        <v>1634</v>
      </c>
      <c r="AF321" s="35" t="s">
        <v>1635</v>
      </c>
      <c r="AG321" s="35" t="s">
        <v>2634</v>
      </c>
      <c r="AI321" s="35"/>
      <c r="AJ321" s="35" t="s">
        <v>1637</v>
      </c>
      <c r="AK321" s="35" t="s">
        <v>1672</v>
      </c>
      <c r="AL321" s="29" t="s">
        <v>2715</v>
      </c>
      <c r="AM321" s="35"/>
      <c r="AN321" s="35"/>
      <c r="AO321" s="35"/>
      <c r="AP321" s="35"/>
      <c r="AQ321" s="35"/>
      <c r="AS321" s="35"/>
      <c r="AU321" s="35"/>
      <c r="AW321" s="35"/>
      <c r="AY321" s="35"/>
      <c r="AZ321" s="35"/>
      <c r="BA321" s="35"/>
      <c r="BB321" s="29" t="s">
        <v>2680</v>
      </c>
      <c r="BC321" s="29" t="s">
        <v>2347</v>
      </c>
      <c r="BD321" s="29" t="s">
        <v>2739</v>
      </c>
      <c r="BE321" s="29" t="s">
        <v>1805</v>
      </c>
      <c r="BF321" s="29" t="s">
        <v>2388</v>
      </c>
      <c r="BG321" s="29" t="s">
        <v>2892</v>
      </c>
      <c r="BI321" s="35"/>
      <c r="BJ321" s="35"/>
      <c r="BK321" s="29" t="str" cm="1">
        <f t="array" ref="BK321">_xlfn.UNIQUE(MID(BB321,16,14))</f>
        <v>U012UBB01UC002</v>
      </c>
    </row>
    <row r="322" spans="1:63" x14ac:dyDescent="0.3">
      <c r="A322" s="29" t="s">
        <v>2878</v>
      </c>
      <c r="B322" s="36" t="str">
        <f t="shared" ref="B322:B385" si="25">RIGHT(A322,LEN(A322)-1)&amp;S322</f>
        <v>G01NHA01KF002-FC11</v>
      </c>
      <c r="C322" s="33" t="s">
        <v>2893</v>
      </c>
      <c r="D322" s="34" t="str">
        <f t="shared" ref="D322:D385" si="26">UPPER(W322&amp;" "&amp;X322&amp;" "&amp;Y322&amp;" "&amp;Z322&amp;" "&amp;AA322)</f>
        <v>ELY1 RECT1 CTRL U2 400VAC IN CB ON/OPN</v>
      </c>
      <c r="E322" s="31">
        <f t="shared" ref="E322:E385" si="27">LEN(D322)</f>
        <v>38</v>
      </c>
      <c r="F322" s="32" t="str">
        <f t="shared" ref="F322:F385" si="28">UPPER(H322&amp;" "&amp;J322&amp;" "&amp;L322&amp;" "&amp;N322&amp;" "&amp;P322&amp;" "&amp;R322&amp;" "&amp;T322&amp;" "&amp;V322)</f>
        <v>ELECTROLYSIS SYSTEM ELECTROLYSIS ARRAY 1 RECTIFIER SYSTEMS RECTIFIER SYSTEM 1 CONTROL UNITS I&amp;C CABINET  2 - RECTIFIER SYSTEM 1 400VAC INPUT CHECK BACK ON/OPEN</v>
      </c>
      <c r="G322" s="29" t="s">
        <v>1614</v>
      </c>
      <c r="H322" s="29" t="s">
        <v>1615</v>
      </c>
      <c r="I322" s="29" t="str">
        <f t="shared" ref="I322:I385" si="29">RIGHT(LEFT(A322,4),2)</f>
        <v>01</v>
      </c>
      <c r="J322" s="29" t="s">
        <v>1616</v>
      </c>
      <c r="K322" s="29" t="s">
        <v>1842</v>
      </c>
      <c r="L322" s="29" t="s">
        <v>1843</v>
      </c>
      <c r="M322" s="29" t="s">
        <v>1619</v>
      </c>
      <c r="N322" s="29" t="s">
        <v>1844</v>
      </c>
      <c r="O322" s="29" t="s">
        <v>1771</v>
      </c>
      <c r="P322" s="29" t="s">
        <v>2055</v>
      </c>
      <c r="Q322" s="29" t="s">
        <v>1872</v>
      </c>
      <c r="R322" s="29" t="s">
        <v>2880</v>
      </c>
      <c r="S322" s="29" t="s">
        <v>2763</v>
      </c>
      <c r="T322" s="29" t="s">
        <v>2764</v>
      </c>
      <c r="U322" s="29" t="s">
        <v>790</v>
      </c>
      <c r="V322" s="29" t="s">
        <v>2639</v>
      </c>
      <c r="W322" s="35" t="s">
        <v>1628</v>
      </c>
      <c r="X322" s="35" t="s">
        <v>1850</v>
      </c>
      <c r="Y322" s="35" t="s">
        <v>2881</v>
      </c>
      <c r="Z322" s="35" t="s">
        <v>2765</v>
      </c>
      <c r="AA322" s="35" t="s">
        <v>2641</v>
      </c>
      <c r="AB322" s="29" t="s">
        <v>2766</v>
      </c>
      <c r="AC322" s="35" t="s">
        <v>1633</v>
      </c>
      <c r="AD322" s="35" t="s">
        <v>1634</v>
      </c>
      <c r="AE322" s="35" t="s">
        <v>1634</v>
      </c>
      <c r="AF322" s="35" t="s">
        <v>1635</v>
      </c>
      <c r="AG322" s="35" t="s">
        <v>2634</v>
      </c>
      <c r="AI322" s="35"/>
      <c r="AJ322" s="35" t="s">
        <v>1637</v>
      </c>
      <c r="AK322" s="35" t="s">
        <v>1672</v>
      </c>
      <c r="AL322" s="29" t="s">
        <v>2715</v>
      </c>
      <c r="AM322" s="35"/>
      <c r="AN322" s="35"/>
      <c r="AO322" s="35"/>
      <c r="AP322" s="35"/>
      <c r="AQ322" s="35"/>
      <c r="AS322" s="35"/>
      <c r="AU322" s="35"/>
      <c r="AW322" s="35"/>
      <c r="AY322" s="35"/>
      <c r="AZ322" s="35"/>
      <c r="BA322" s="35"/>
      <c r="BB322" s="29" t="s">
        <v>2894</v>
      </c>
      <c r="BC322" s="29" t="s">
        <v>2347</v>
      </c>
      <c r="BD322" s="29" t="s">
        <v>2739</v>
      </c>
      <c r="BE322" s="29" t="s">
        <v>1805</v>
      </c>
      <c r="BF322" s="29" t="s">
        <v>1619</v>
      </c>
      <c r="BG322" s="29" t="s">
        <v>2895</v>
      </c>
      <c r="BI322" s="35"/>
      <c r="BJ322" s="35"/>
      <c r="BK322" s="29" t="str" cm="1">
        <f t="array" ref="BK322">_xlfn.UNIQUE(MID(BB322,16,14))</f>
        <v>U012UBB01UC002</v>
      </c>
    </row>
    <row r="323" spans="1:63" x14ac:dyDescent="0.3">
      <c r="A323" s="29" t="s">
        <v>2878</v>
      </c>
      <c r="B323" s="36" t="str">
        <f t="shared" si="25"/>
        <v>G01NHA01KF002-FC21</v>
      </c>
      <c r="C323" s="33" t="s">
        <v>2896</v>
      </c>
      <c r="D323" s="34" t="str">
        <f t="shared" si="26"/>
        <v>ELY1 RECT1 CTRL U2 230VAC1 CB ON/OPN</v>
      </c>
      <c r="E323" s="31">
        <f t="shared" si="27"/>
        <v>36</v>
      </c>
      <c r="F323" s="32" t="str">
        <f t="shared" si="28"/>
        <v>ELECTROLYSIS SYSTEM ELECTROLYSIS ARRAY 1 RECTIFIER SYSTEMS RECTIFIER SYSTEM 1 CONTROL UNITS I&amp;C CABINET  2 - RECTIFIER SYSTEM 1 230VAC DISTRIBUTION CHECK BACK ON/OPEN</v>
      </c>
      <c r="G323" s="29" t="s">
        <v>1614</v>
      </c>
      <c r="H323" s="29" t="s">
        <v>1615</v>
      </c>
      <c r="I323" s="29" t="str">
        <f t="shared" si="29"/>
        <v>01</v>
      </c>
      <c r="J323" s="29" t="s">
        <v>1616</v>
      </c>
      <c r="K323" s="29" t="s">
        <v>1842</v>
      </c>
      <c r="L323" s="29" t="s">
        <v>1843</v>
      </c>
      <c r="M323" s="29" t="s">
        <v>1619</v>
      </c>
      <c r="N323" s="29" t="s">
        <v>1844</v>
      </c>
      <c r="O323" s="29" t="s">
        <v>1771</v>
      </c>
      <c r="P323" s="29" t="s">
        <v>2055</v>
      </c>
      <c r="Q323" s="29" t="s">
        <v>1872</v>
      </c>
      <c r="R323" s="29" t="s">
        <v>2880</v>
      </c>
      <c r="S323" s="29" t="s">
        <v>2769</v>
      </c>
      <c r="T323" s="29" t="s">
        <v>2770</v>
      </c>
      <c r="U323" s="29" t="s">
        <v>790</v>
      </c>
      <c r="V323" s="29" t="s">
        <v>2639</v>
      </c>
      <c r="W323" s="35" t="s">
        <v>1628</v>
      </c>
      <c r="X323" s="35" t="s">
        <v>1850</v>
      </c>
      <c r="Y323" s="35" t="s">
        <v>2881</v>
      </c>
      <c r="Z323" s="35" t="s">
        <v>2771</v>
      </c>
      <c r="AA323" s="35" t="s">
        <v>2641</v>
      </c>
      <c r="AB323" s="29" t="s">
        <v>2766</v>
      </c>
      <c r="AC323" s="35" t="s">
        <v>1633</v>
      </c>
      <c r="AD323" s="35" t="s">
        <v>1634</v>
      </c>
      <c r="AE323" s="35" t="s">
        <v>1634</v>
      </c>
      <c r="AF323" s="35" t="s">
        <v>1635</v>
      </c>
      <c r="AG323" s="35" t="s">
        <v>2634</v>
      </c>
      <c r="AI323" s="35"/>
      <c r="AJ323" s="35" t="s">
        <v>1637</v>
      </c>
      <c r="AK323" s="35" t="s">
        <v>1672</v>
      </c>
      <c r="AL323" s="29" t="s">
        <v>2715</v>
      </c>
      <c r="AM323" s="35"/>
      <c r="AN323" s="35"/>
      <c r="AO323" s="35"/>
      <c r="AP323" s="35"/>
      <c r="AQ323" s="35"/>
      <c r="AS323" s="35"/>
      <c r="AU323" s="35"/>
      <c r="AW323" s="35"/>
      <c r="AY323" s="35"/>
      <c r="AZ323" s="35"/>
      <c r="BA323" s="35"/>
      <c r="BB323" s="29" t="s">
        <v>2894</v>
      </c>
      <c r="BC323" s="29" t="s">
        <v>2347</v>
      </c>
      <c r="BD323" s="29" t="s">
        <v>2739</v>
      </c>
      <c r="BE323" s="29" t="s">
        <v>1805</v>
      </c>
      <c r="BF323" s="29" t="s">
        <v>1905</v>
      </c>
      <c r="BG323" s="29" t="s">
        <v>2897</v>
      </c>
      <c r="BI323" s="35"/>
      <c r="BJ323" s="35"/>
      <c r="BK323" s="29" t="str" cm="1">
        <f t="array" ref="BK323">_xlfn.UNIQUE(MID(BB323,16,14))</f>
        <v>U012UBB01UC002</v>
      </c>
    </row>
    <row r="324" spans="1:63" x14ac:dyDescent="0.3">
      <c r="A324" s="29" t="s">
        <v>2878</v>
      </c>
      <c r="B324" s="36" t="str">
        <f t="shared" si="25"/>
        <v>G01NHA01KF002-FC22</v>
      </c>
      <c r="C324" s="33" t="s">
        <v>2898</v>
      </c>
      <c r="D324" s="34" t="str">
        <f t="shared" si="26"/>
        <v>ELY1 RECT1 CTRL U2 230VAC2 CB ON/OPN</v>
      </c>
      <c r="E324" s="31">
        <f t="shared" si="27"/>
        <v>36</v>
      </c>
      <c r="F324" s="32" t="str">
        <f t="shared" si="28"/>
        <v>ELECTROLYSIS SYSTEM ELECTROLYSIS ARRAY 1 RECTIFIER SYSTEMS RECTIFIER SYSTEM 1 CONTROL UNITS I&amp;C CABINET  2 - RECTIFIER SYSTEM 1 230VAC DISTRIBUTION CHECK BACK ON/OPEN</v>
      </c>
      <c r="G324" s="29" t="s">
        <v>1614</v>
      </c>
      <c r="H324" s="29" t="s">
        <v>1615</v>
      </c>
      <c r="I324" s="29" t="str">
        <f t="shared" si="29"/>
        <v>01</v>
      </c>
      <c r="J324" s="29" t="s">
        <v>1616</v>
      </c>
      <c r="K324" s="29" t="s">
        <v>1842</v>
      </c>
      <c r="L324" s="29" t="s">
        <v>1843</v>
      </c>
      <c r="M324" s="29" t="s">
        <v>1619</v>
      </c>
      <c r="N324" s="29" t="s">
        <v>1844</v>
      </c>
      <c r="O324" s="29" t="s">
        <v>1771</v>
      </c>
      <c r="P324" s="29" t="s">
        <v>2055</v>
      </c>
      <c r="Q324" s="29" t="s">
        <v>1872</v>
      </c>
      <c r="R324" s="29" t="s">
        <v>2880</v>
      </c>
      <c r="S324" s="29" t="s">
        <v>2774</v>
      </c>
      <c r="T324" s="29" t="s">
        <v>2770</v>
      </c>
      <c r="U324" s="29" t="s">
        <v>790</v>
      </c>
      <c r="V324" s="29" t="s">
        <v>2639</v>
      </c>
      <c r="W324" s="35" t="s">
        <v>1628</v>
      </c>
      <c r="X324" s="35" t="s">
        <v>1850</v>
      </c>
      <c r="Y324" s="35" t="s">
        <v>2881</v>
      </c>
      <c r="Z324" s="35" t="s">
        <v>2775</v>
      </c>
      <c r="AA324" s="35" t="s">
        <v>2641</v>
      </c>
      <c r="AB324" s="29" t="s">
        <v>2766</v>
      </c>
      <c r="AC324" s="35" t="s">
        <v>1633</v>
      </c>
      <c r="AD324" s="35" t="s">
        <v>1634</v>
      </c>
      <c r="AE324" s="35" t="s">
        <v>1634</v>
      </c>
      <c r="AF324" s="35" t="s">
        <v>1635</v>
      </c>
      <c r="AG324" s="35" t="s">
        <v>2634</v>
      </c>
      <c r="AI324" s="35"/>
      <c r="AJ324" s="35" t="s">
        <v>1637</v>
      </c>
      <c r="AK324" s="35" t="s">
        <v>1672</v>
      </c>
      <c r="AL324" s="29" t="s">
        <v>2715</v>
      </c>
      <c r="AM324" s="35"/>
      <c r="AN324" s="35"/>
      <c r="AO324" s="35"/>
      <c r="AP324" s="35"/>
      <c r="AQ324" s="35"/>
      <c r="AS324" s="35"/>
      <c r="AU324" s="35"/>
      <c r="AW324" s="35"/>
      <c r="AY324" s="35"/>
      <c r="AZ324" s="35"/>
      <c r="BA324" s="35"/>
      <c r="BB324" s="29" t="s">
        <v>2894</v>
      </c>
      <c r="BC324" s="29" t="s">
        <v>2347</v>
      </c>
      <c r="BD324" s="29" t="s">
        <v>2739</v>
      </c>
      <c r="BE324" s="29" t="s">
        <v>1805</v>
      </c>
      <c r="BF324" s="29" t="s">
        <v>1909</v>
      </c>
      <c r="BG324" s="29" t="s">
        <v>2899</v>
      </c>
      <c r="BI324" s="35"/>
      <c r="BJ324" s="35"/>
      <c r="BK324" s="29" t="str" cm="1">
        <f t="array" ref="BK324">_xlfn.UNIQUE(MID(BB324,16,14))</f>
        <v>U012UBB01UC002</v>
      </c>
    </row>
    <row r="325" spans="1:63" x14ac:dyDescent="0.3">
      <c r="A325" s="29" t="s">
        <v>2878</v>
      </c>
      <c r="B325" s="36" t="str">
        <f t="shared" si="25"/>
        <v>G01NHA01KF002-FC23</v>
      </c>
      <c r="C325" s="33" t="s">
        <v>2900</v>
      </c>
      <c r="D325" s="34" t="str">
        <f t="shared" si="26"/>
        <v>ELY1 RECT1 CTRL U2 230VAC3 CB ON/OPN</v>
      </c>
      <c r="E325" s="31">
        <f t="shared" si="27"/>
        <v>36</v>
      </c>
      <c r="F325" s="32" t="str">
        <f t="shared" si="28"/>
        <v>ELECTROLYSIS SYSTEM ELECTROLYSIS ARRAY 1 RECTIFIER SYSTEMS RECTIFIER SYSTEM 1 CONTROL UNITS I&amp;C CABINET  2 - RECTIFIER SYSTEM 1 230VAC DISTRIBUTION CHECK BACK ON/OPEN</v>
      </c>
      <c r="G325" s="29" t="s">
        <v>1614</v>
      </c>
      <c r="H325" s="29" t="s">
        <v>1615</v>
      </c>
      <c r="I325" s="29" t="str">
        <f t="shared" si="29"/>
        <v>01</v>
      </c>
      <c r="J325" s="29" t="s">
        <v>1616</v>
      </c>
      <c r="K325" s="29" t="s">
        <v>1842</v>
      </c>
      <c r="L325" s="29" t="s">
        <v>1843</v>
      </c>
      <c r="M325" s="29" t="s">
        <v>1619</v>
      </c>
      <c r="N325" s="29" t="s">
        <v>1844</v>
      </c>
      <c r="O325" s="29" t="s">
        <v>1771</v>
      </c>
      <c r="P325" s="29" t="s">
        <v>2055</v>
      </c>
      <c r="Q325" s="29" t="s">
        <v>1872</v>
      </c>
      <c r="R325" s="29" t="s">
        <v>2880</v>
      </c>
      <c r="S325" s="29" t="s">
        <v>2778</v>
      </c>
      <c r="T325" s="29" t="s">
        <v>2770</v>
      </c>
      <c r="U325" s="29" t="s">
        <v>790</v>
      </c>
      <c r="V325" s="29" t="s">
        <v>2639</v>
      </c>
      <c r="W325" s="35" t="s">
        <v>1628</v>
      </c>
      <c r="X325" s="35" t="s">
        <v>1850</v>
      </c>
      <c r="Y325" s="35" t="s">
        <v>2881</v>
      </c>
      <c r="Z325" s="35" t="s">
        <v>2779</v>
      </c>
      <c r="AA325" s="35" t="s">
        <v>2641</v>
      </c>
      <c r="AB325" s="29" t="s">
        <v>2766</v>
      </c>
      <c r="AC325" s="35" t="s">
        <v>1633</v>
      </c>
      <c r="AD325" s="35" t="s">
        <v>1634</v>
      </c>
      <c r="AE325" s="35" t="s">
        <v>1634</v>
      </c>
      <c r="AF325" s="35" t="s">
        <v>1635</v>
      </c>
      <c r="AG325" s="35" t="s">
        <v>2634</v>
      </c>
      <c r="AI325" s="35"/>
      <c r="AJ325" s="35" t="s">
        <v>1637</v>
      </c>
      <c r="AK325" s="35" t="s">
        <v>1672</v>
      </c>
      <c r="AL325" s="29" t="s">
        <v>2715</v>
      </c>
      <c r="AM325" s="35"/>
      <c r="AN325" s="35"/>
      <c r="AO325" s="35"/>
      <c r="AP325" s="35"/>
      <c r="AQ325" s="35"/>
      <c r="AS325" s="35"/>
      <c r="AU325" s="35"/>
      <c r="AW325" s="35"/>
      <c r="AY325" s="35"/>
      <c r="AZ325" s="35"/>
      <c r="BA325" s="35"/>
      <c r="BB325" s="29" t="s">
        <v>2894</v>
      </c>
      <c r="BC325" s="29" t="s">
        <v>2347</v>
      </c>
      <c r="BD325" s="29" t="s">
        <v>2739</v>
      </c>
      <c r="BE325" s="29" t="s">
        <v>1805</v>
      </c>
      <c r="BF325" s="29" t="s">
        <v>1915</v>
      </c>
      <c r="BG325" s="29" t="s">
        <v>2901</v>
      </c>
      <c r="BI325" s="35"/>
      <c r="BJ325" s="35"/>
      <c r="BK325" s="29" t="str" cm="1">
        <f t="array" ref="BK325">_xlfn.UNIQUE(MID(BB325,16,14))</f>
        <v>U012UBB01UC002</v>
      </c>
    </row>
    <row r="326" spans="1:63" x14ac:dyDescent="0.3">
      <c r="A326" s="29" t="s">
        <v>2878</v>
      </c>
      <c r="B326" s="36" t="str">
        <f t="shared" si="25"/>
        <v>G01NHA01KF002-FC24</v>
      </c>
      <c r="C326" s="33" t="s">
        <v>2902</v>
      </c>
      <c r="D326" s="34" t="str">
        <f t="shared" si="26"/>
        <v>ELY1 RECT1 CTRL U2 230VAC4 CB ON/OPN</v>
      </c>
      <c r="E326" s="31">
        <f t="shared" si="27"/>
        <v>36</v>
      </c>
      <c r="F326" s="32" t="str">
        <f t="shared" si="28"/>
        <v>ELECTROLYSIS SYSTEM ELECTROLYSIS ARRAY 1 RECTIFIER SYSTEMS RECTIFIER SYSTEM 1 CONTROL UNITS I&amp;C CABINET  2 - RECTIFIER SYSTEM 1 230VAC DISTRIBUTION CHECK BACK ON/OPEN</v>
      </c>
      <c r="G326" s="29" t="s">
        <v>1614</v>
      </c>
      <c r="H326" s="29" t="s">
        <v>1615</v>
      </c>
      <c r="I326" s="29" t="str">
        <f t="shared" si="29"/>
        <v>01</v>
      </c>
      <c r="J326" s="29" t="s">
        <v>1616</v>
      </c>
      <c r="K326" s="29" t="s">
        <v>1842</v>
      </c>
      <c r="L326" s="29" t="s">
        <v>1843</v>
      </c>
      <c r="M326" s="29" t="s">
        <v>1619</v>
      </c>
      <c r="N326" s="29" t="s">
        <v>1844</v>
      </c>
      <c r="O326" s="29" t="s">
        <v>1771</v>
      </c>
      <c r="P326" s="29" t="s">
        <v>2055</v>
      </c>
      <c r="Q326" s="29" t="s">
        <v>1872</v>
      </c>
      <c r="R326" s="29" t="s">
        <v>2880</v>
      </c>
      <c r="S326" s="29" t="s">
        <v>2782</v>
      </c>
      <c r="T326" s="29" t="s">
        <v>2770</v>
      </c>
      <c r="U326" s="29" t="s">
        <v>790</v>
      </c>
      <c r="V326" s="29" t="s">
        <v>2639</v>
      </c>
      <c r="W326" s="35" t="s">
        <v>1628</v>
      </c>
      <c r="X326" s="35" t="s">
        <v>1850</v>
      </c>
      <c r="Y326" s="35" t="s">
        <v>2881</v>
      </c>
      <c r="Z326" s="35" t="s">
        <v>2783</v>
      </c>
      <c r="AA326" s="35" t="s">
        <v>2641</v>
      </c>
      <c r="AB326" s="29" t="s">
        <v>2766</v>
      </c>
      <c r="AC326" s="35" t="s">
        <v>1633</v>
      </c>
      <c r="AD326" s="35" t="s">
        <v>1634</v>
      </c>
      <c r="AE326" s="35" t="s">
        <v>1634</v>
      </c>
      <c r="AF326" s="35" t="s">
        <v>1635</v>
      </c>
      <c r="AG326" s="35" t="s">
        <v>2634</v>
      </c>
      <c r="AI326" s="35"/>
      <c r="AJ326" s="35" t="s">
        <v>1637</v>
      </c>
      <c r="AK326" s="35" t="s">
        <v>1672</v>
      </c>
      <c r="AL326" s="29" t="s">
        <v>2715</v>
      </c>
      <c r="AM326" s="35"/>
      <c r="AN326" s="35"/>
      <c r="AO326" s="35"/>
      <c r="AP326" s="35"/>
      <c r="AQ326" s="35"/>
      <c r="AS326" s="35"/>
      <c r="AU326" s="35"/>
      <c r="AW326" s="35"/>
      <c r="AY326" s="35"/>
      <c r="AZ326" s="35"/>
      <c r="BA326" s="35"/>
      <c r="BB326" s="29" t="s">
        <v>2894</v>
      </c>
      <c r="BC326" s="29" t="s">
        <v>2347</v>
      </c>
      <c r="BD326" s="29" t="s">
        <v>2739</v>
      </c>
      <c r="BE326" s="29" t="s">
        <v>1805</v>
      </c>
      <c r="BF326" s="29" t="s">
        <v>1919</v>
      </c>
      <c r="BG326" s="29" t="s">
        <v>2903</v>
      </c>
      <c r="BI326" s="35"/>
      <c r="BJ326" s="35"/>
      <c r="BK326" s="29" t="str" cm="1">
        <f t="array" ref="BK326">_xlfn.UNIQUE(MID(BB326,16,14))</f>
        <v>U012UBB01UC002</v>
      </c>
    </row>
    <row r="327" spans="1:63" x14ac:dyDescent="0.3">
      <c r="A327" s="29" t="s">
        <v>2878</v>
      </c>
      <c r="B327" s="36" t="str">
        <f t="shared" si="25"/>
        <v>G01NHA01KF002-FC25</v>
      </c>
      <c r="C327" s="33" t="s">
        <v>2904</v>
      </c>
      <c r="D327" s="34" t="str">
        <f t="shared" si="26"/>
        <v>ELY1 RECT1 CTRL U2 230VAC5 CB ON/OPN</v>
      </c>
      <c r="E327" s="31">
        <f t="shared" si="27"/>
        <v>36</v>
      </c>
      <c r="F327" s="32" t="str">
        <f t="shared" si="28"/>
        <v>ELECTROLYSIS SYSTEM ELECTROLYSIS ARRAY 1 RECTIFIER SYSTEMS RECTIFIER SYSTEM 1 CONTROL UNITS I&amp;C CABINET  2 - RECTIFIER SYSTEM 1 230VAC DISTRIBUTION CHECK BACK ON/OPEN</v>
      </c>
      <c r="G327" s="29" t="s">
        <v>1614</v>
      </c>
      <c r="H327" s="29" t="s">
        <v>1615</v>
      </c>
      <c r="I327" s="29" t="str">
        <f t="shared" si="29"/>
        <v>01</v>
      </c>
      <c r="J327" s="29" t="s">
        <v>1616</v>
      </c>
      <c r="K327" s="29" t="s">
        <v>1842</v>
      </c>
      <c r="L327" s="29" t="s">
        <v>1843</v>
      </c>
      <c r="M327" s="29" t="s">
        <v>1619</v>
      </c>
      <c r="N327" s="29" t="s">
        <v>1844</v>
      </c>
      <c r="O327" s="29" t="s">
        <v>1771</v>
      </c>
      <c r="P327" s="29" t="s">
        <v>2055</v>
      </c>
      <c r="Q327" s="29" t="s">
        <v>1872</v>
      </c>
      <c r="R327" s="29" t="s">
        <v>2880</v>
      </c>
      <c r="S327" s="29" t="s">
        <v>2786</v>
      </c>
      <c r="T327" s="29" t="s">
        <v>2770</v>
      </c>
      <c r="U327" s="29" t="s">
        <v>790</v>
      </c>
      <c r="V327" s="29" t="s">
        <v>2639</v>
      </c>
      <c r="W327" s="35" t="s">
        <v>1628</v>
      </c>
      <c r="X327" s="35" t="s">
        <v>1850</v>
      </c>
      <c r="Y327" s="35" t="s">
        <v>2881</v>
      </c>
      <c r="Z327" s="35" t="s">
        <v>2787</v>
      </c>
      <c r="AA327" s="35" t="s">
        <v>2641</v>
      </c>
      <c r="AB327" s="29" t="s">
        <v>2766</v>
      </c>
      <c r="AC327" s="35" t="s">
        <v>1633</v>
      </c>
      <c r="AD327" s="35" t="s">
        <v>1634</v>
      </c>
      <c r="AE327" s="35" t="s">
        <v>1634</v>
      </c>
      <c r="AF327" s="35" t="s">
        <v>1635</v>
      </c>
      <c r="AG327" s="35" t="s">
        <v>2634</v>
      </c>
      <c r="AI327" s="35"/>
      <c r="AJ327" s="35" t="s">
        <v>1637</v>
      </c>
      <c r="AK327" s="35" t="s">
        <v>1672</v>
      </c>
      <c r="AL327" s="29" t="s">
        <v>2715</v>
      </c>
      <c r="AM327" s="35"/>
      <c r="AN327" s="35"/>
      <c r="AO327" s="35"/>
      <c r="AP327" s="35"/>
      <c r="AQ327" s="35"/>
      <c r="AS327" s="35"/>
      <c r="AU327" s="35"/>
      <c r="AW327" s="35"/>
      <c r="AY327" s="35"/>
      <c r="AZ327" s="35"/>
      <c r="BA327" s="35"/>
      <c r="BB327" s="29" t="s">
        <v>2894</v>
      </c>
      <c r="BC327" s="29" t="s">
        <v>2347</v>
      </c>
      <c r="BD327" s="29" t="s">
        <v>2739</v>
      </c>
      <c r="BE327" s="29" t="s">
        <v>1805</v>
      </c>
      <c r="BF327" s="29" t="s">
        <v>1922</v>
      </c>
      <c r="BG327" s="29" t="s">
        <v>2905</v>
      </c>
      <c r="BI327" s="35"/>
      <c r="BJ327" s="35"/>
      <c r="BK327" s="29" t="str" cm="1">
        <f t="array" ref="BK327">_xlfn.UNIQUE(MID(BB327,16,14))</f>
        <v>U012UBB01UC002</v>
      </c>
    </row>
    <row r="328" spans="1:63" x14ac:dyDescent="0.3">
      <c r="A328" s="29" t="s">
        <v>2878</v>
      </c>
      <c r="B328" s="36" t="str">
        <f t="shared" si="25"/>
        <v>G01NHA01KF002-FC26</v>
      </c>
      <c r="C328" s="33" t="s">
        <v>2906</v>
      </c>
      <c r="D328" s="34" t="str">
        <f t="shared" si="26"/>
        <v>ELY1 RECT1 CTRL U2 230VAC6 CB ON/OPN</v>
      </c>
      <c r="E328" s="31">
        <f t="shared" si="27"/>
        <v>36</v>
      </c>
      <c r="F328" s="32" t="str">
        <f t="shared" si="28"/>
        <v>ELECTROLYSIS SYSTEM ELECTROLYSIS ARRAY 1 RECTIFIER SYSTEMS RECTIFIER SYSTEM 1 CONTROL UNITS I&amp;C CABINET  2 - RECTIFIER SYSTEM 1 230VAC DISTRIBUTION CHECK BACK ON/OPEN</v>
      </c>
      <c r="G328" s="29" t="s">
        <v>1614</v>
      </c>
      <c r="H328" s="29" t="s">
        <v>1615</v>
      </c>
      <c r="I328" s="29" t="str">
        <f t="shared" si="29"/>
        <v>01</v>
      </c>
      <c r="J328" s="29" t="s">
        <v>1616</v>
      </c>
      <c r="K328" s="29" t="s">
        <v>1842</v>
      </c>
      <c r="L328" s="29" t="s">
        <v>1843</v>
      </c>
      <c r="M328" s="29" t="s">
        <v>1619</v>
      </c>
      <c r="N328" s="29" t="s">
        <v>1844</v>
      </c>
      <c r="O328" s="29" t="s">
        <v>1771</v>
      </c>
      <c r="P328" s="29" t="s">
        <v>2055</v>
      </c>
      <c r="Q328" s="29" t="s">
        <v>1872</v>
      </c>
      <c r="R328" s="29" t="s">
        <v>2880</v>
      </c>
      <c r="S328" s="29" t="s">
        <v>2790</v>
      </c>
      <c r="T328" s="29" t="s">
        <v>2770</v>
      </c>
      <c r="U328" s="29" t="s">
        <v>790</v>
      </c>
      <c r="V328" s="29" t="s">
        <v>2639</v>
      </c>
      <c r="W328" s="35" t="s">
        <v>1628</v>
      </c>
      <c r="X328" s="35" t="s">
        <v>1850</v>
      </c>
      <c r="Y328" s="35" t="s">
        <v>2881</v>
      </c>
      <c r="Z328" s="35" t="s">
        <v>2791</v>
      </c>
      <c r="AA328" s="35" t="s">
        <v>2641</v>
      </c>
      <c r="AB328" s="29" t="s">
        <v>2766</v>
      </c>
      <c r="AC328" s="35" t="s">
        <v>1633</v>
      </c>
      <c r="AD328" s="35" t="s">
        <v>1634</v>
      </c>
      <c r="AE328" s="35" t="s">
        <v>1634</v>
      </c>
      <c r="AF328" s="35" t="s">
        <v>1635</v>
      </c>
      <c r="AG328" s="35" t="s">
        <v>2634</v>
      </c>
      <c r="AI328" s="35"/>
      <c r="AJ328" s="35" t="s">
        <v>1637</v>
      </c>
      <c r="AK328" s="35" t="s">
        <v>1672</v>
      </c>
      <c r="AL328" s="29" t="s">
        <v>2715</v>
      </c>
      <c r="AM328" s="35"/>
      <c r="AN328" s="35"/>
      <c r="AO328" s="35"/>
      <c r="AP328" s="35"/>
      <c r="AQ328" s="35"/>
      <c r="AS328" s="35"/>
      <c r="AU328" s="35"/>
      <c r="AW328" s="35"/>
      <c r="AY328" s="35"/>
      <c r="AZ328" s="35"/>
      <c r="BA328" s="35"/>
      <c r="BB328" s="29" t="s">
        <v>2894</v>
      </c>
      <c r="BC328" s="29" t="s">
        <v>2347</v>
      </c>
      <c r="BD328" s="29" t="s">
        <v>2739</v>
      </c>
      <c r="BE328" s="29" t="s">
        <v>1805</v>
      </c>
      <c r="BF328" s="29" t="s">
        <v>1931</v>
      </c>
      <c r="BG328" s="29" t="s">
        <v>2907</v>
      </c>
      <c r="BI328" s="35"/>
      <c r="BJ328" s="35"/>
      <c r="BK328" s="29" t="str" cm="1">
        <f t="array" ref="BK328">_xlfn.UNIQUE(MID(BB328,16,14))</f>
        <v>U012UBB01UC002</v>
      </c>
    </row>
    <row r="329" spans="1:63" x14ac:dyDescent="0.3">
      <c r="A329" s="29" t="s">
        <v>2878</v>
      </c>
      <c r="B329" s="36" t="str">
        <f t="shared" si="25"/>
        <v>G01NHA01KF002-FC27</v>
      </c>
      <c r="C329" s="33" t="s">
        <v>2908</v>
      </c>
      <c r="D329" s="34" t="str">
        <f t="shared" si="26"/>
        <v>ELY1 RECT1 CTRL U2 230VAC7 CB ON/OPN</v>
      </c>
      <c r="E329" s="31">
        <f t="shared" si="27"/>
        <v>36</v>
      </c>
      <c r="F329" s="32" t="str">
        <f t="shared" si="28"/>
        <v>ELECTROLYSIS SYSTEM ELECTROLYSIS ARRAY 1 RECTIFIER SYSTEMS RECTIFIER SYSTEM 1 CONTROL UNITS I&amp;C CABINET  2 - RECTIFIER SYSTEM 1 230VAC DISTRIBUTION CHECK BACK ON/OPEN</v>
      </c>
      <c r="G329" s="29" t="s">
        <v>1614</v>
      </c>
      <c r="H329" s="29" t="s">
        <v>1615</v>
      </c>
      <c r="I329" s="29" t="str">
        <f t="shared" si="29"/>
        <v>01</v>
      </c>
      <c r="J329" s="29" t="s">
        <v>1616</v>
      </c>
      <c r="K329" s="29" t="s">
        <v>1842</v>
      </c>
      <c r="L329" s="29" t="s">
        <v>1843</v>
      </c>
      <c r="M329" s="29" t="s">
        <v>1619</v>
      </c>
      <c r="N329" s="29" t="s">
        <v>1844</v>
      </c>
      <c r="O329" s="29" t="s">
        <v>1771</v>
      </c>
      <c r="P329" s="29" t="s">
        <v>2055</v>
      </c>
      <c r="Q329" s="29" t="s">
        <v>1872</v>
      </c>
      <c r="R329" s="29" t="s">
        <v>2880</v>
      </c>
      <c r="S329" s="29" t="s">
        <v>2794</v>
      </c>
      <c r="T329" s="29" t="s">
        <v>2770</v>
      </c>
      <c r="U329" s="29" t="s">
        <v>790</v>
      </c>
      <c r="V329" s="29" t="s">
        <v>2639</v>
      </c>
      <c r="W329" s="35" t="s">
        <v>1628</v>
      </c>
      <c r="X329" s="35" t="s">
        <v>1850</v>
      </c>
      <c r="Y329" s="35" t="s">
        <v>2881</v>
      </c>
      <c r="Z329" s="35" t="s">
        <v>2795</v>
      </c>
      <c r="AA329" s="35" t="s">
        <v>2641</v>
      </c>
      <c r="AB329" s="29" t="s">
        <v>2766</v>
      </c>
      <c r="AC329" s="35" t="s">
        <v>1633</v>
      </c>
      <c r="AD329" s="35" t="s">
        <v>1634</v>
      </c>
      <c r="AE329" s="35" t="s">
        <v>1634</v>
      </c>
      <c r="AF329" s="35" t="s">
        <v>1635</v>
      </c>
      <c r="AG329" s="35" t="s">
        <v>2634</v>
      </c>
      <c r="AI329" s="35"/>
      <c r="AJ329" s="35" t="s">
        <v>1637</v>
      </c>
      <c r="AK329" s="35" t="s">
        <v>1672</v>
      </c>
      <c r="AL329" s="29" t="s">
        <v>2715</v>
      </c>
      <c r="AM329" s="35"/>
      <c r="AN329" s="35"/>
      <c r="AO329" s="35"/>
      <c r="AP329" s="35"/>
      <c r="AQ329" s="35"/>
      <c r="AS329" s="35"/>
      <c r="AU329" s="35"/>
      <c r="AW329" s="35"/>
      <c r="AY329" s="35"/>
      <c r="AZ329" s="35"/>
      <c r="BA329" s="35"/>
      <c r="BB329" s="29" t="s">
        <v>2894</v>
      </c>
      <c r="BC329" s="29" t="s">
        <v>2347</v>
      </c>
      <c r="BD329" s="29" t="s">
        <v>2739</v>
      </c>
      <c r="BE329" s="29" t="s">
        <v>1805</v>
      </c>
      <c r="BF329" s="29" t="s">
        <v>1936</v>
      </c>
      <c r="BG329" s="29" t="s">
        <v>2909</v>
      </c>
      <c r="BI329" s="35"/>
      <c r="BJ329" s="35"/>
      <c r="BK329" s="29" t="str" cm="1">
        <f t="array" ref="BK329">_xlfn.UNIQUE(MID(BB329,16,14))</f>
        <v>U012UBB01UC002</v>
      </c>
    </row>
    <row r="330" spans="1:63" x14ac:dyDescent="0.3">
      <c r="A330" s="29" t="s">
        <v>2878</v>
      </c>
      <c r="B330" s="36" t="str">
        <f t="shared" si="25"/>
        <v>G01NHA01KF002-FC28</v>
      </c>
      <c r="C330" s="33" t="s">
        <v>2910</v>
      </c>
      <c r="D330" s="34" t="str">
        <f t="shared" si="26"/>
        <v>ELY1 RECT1 CTRL U2 230VAC8 CB ON/OPN</v>
      </c>
      <c r="E330" s="31">
        <f t="shared" si="27"/>
        <v>36</v>
      </c>
      <c r="F330" s="32" t="str">
        <f t="shared" si="28"/>
        <v>ELECTROLYSIS SYSTEM ELECTROLYSIS ARRAY 1 RECTIFIER SYSTEMS RECTIFIER SYSTEM 1 CONTROL UNITS I&amp;C CABINET  2 - RECTIFIER SYSTEM 1 230VAC DISTRIBUTION CHECK BACK ON/OPEN</v>
      </c>
      <c r="G330" s="29" t="s">
        <v>1614</v>
      </c>
      <c r="H330" s="29" t="s">
        <v>1615</v>
      </c>
      <c r="I330" s="29" t="str">
        <f t="shared" si="29"/>
        <v>01</v>
      </c>
      <c r="J330" s="29" t="s">
        <v>1616</v>
      </c>
      <c r="K330" s="29" t="s">
        <v>1842</v>
      </c>
      <c r="L330" s="29" t="s">
        <v>1843</v>
      </c>
      <c r="M330" s="29" t="s">
        <v>1619</v>
      </c>
      <c r="N330" s="29" t="s">
        <v>1844</v>
      </c>
      <c r="O330" s="29" t="s">
        <v>1771</v>
      </c>
      <c r="P330" s="29" t="s">
        <v>2055</v>
      </c>
      <c r="Q330" s="29" t="s">
        <v>1872</v>
      </c>
      <c r="R330" s="29" t="s">
        <v>2880</v>
      </c>
      <c r="S330" s="29" t="s">
        <v>2798</v>
      </c>
      <c r="T330" s="29" t="s">
        <v>2770</v>
      </c>
      <c r="U330" s="29" t="s">
        <v>790</v>
      </c>
      <c r="V330" s="29" t="s">
        <v>2639</v>
      </c>
      <c r="W330" s="35" t="s">
        <v>1628</v>
      </c>
      <c r="X330" s="35" t="s">
        <v>1850</v>
      </c>
      <c r="Y330" s="35" t="s">
        <v>2881</v>
      </c>
      <c r="Z330" s="35" t="s">
        <v>2799</v>
      </c>
      <c r="AA330" s="35" t="s">
        <v>2641</v>
      </c>
      <c r="AB330" s="29" t="s">
        <v>2766</v>
      </c>
      <c r="AC330" s="35" t="s">
        <v>1633</v>
      </c>
      <c r="AD330" s="35" t="s">
        <v>1634</v>
      </c>
      <c r="AE330" s="35" t="s">
        <v>1634</v>
      </c>
      <c r="AF330" s="35" t="s">
        <v>1635</v>
      </c>
      <c r="AG330" s="35" t="s">
        <v>2634</v>
      </c>
      <c r="AI330" s="35"/>
      <c r="AJ330" s="35" t="s">
        <v>1637</v>
      </c>
      <c r="AK330" s="35" t="s">
        <v>1672</v>
      </c>
      <c r="AL330" s="29" t="s">
        <v>2715</v>
      </c>
      <c r="AM330" s="35"/>
      <c r="AN330" s="35"/>
      <c r="AO330" s="35"/>
      <c r="AP330" s="35"/>
      <c r="AQ330" s="35"/>
      <c r="AS330" s="35"/>
      <c r="AU330" s="35"/>
      <c r="AW330" s="35"/>
      <c r="AY330" s="35"/>
      <c r="AZ330" s="35"/>
      <c r="BA330" s="35"/>
      <c r="BB330" s="29" t="s">
        <v>2894</v>
      </c>
      <c r="BC330" s="29" t="s">
        <v>2347</v>
      </c>
      <c r="BD330" s="29" t="s">
        <v>2739</v>
      </c>
      <c r="BE330" s="29" t="s">
        <v>1805</v>
      </c>
      <c r="BF330" s="29" t="s">
        <v>2035</v>
      </c>
      <c r="BG330" s="29" t="s">
        <v>2911</v>
      </c>
      <c r="BI330" s="35"/>
      <c r="BJ330" s="35"/>
      <c r="BK330" s="29" t="str" cm="1">
        <f t="array" ref="BK330">_xlfn.UNIQUE(MID(BB330,16,14))</f>
        <v>U012UBB01UC002</v>
      </c>
    </row>
    <row r="331" spans="1:63" x14ac:dyDescent="0.3">
      <c r="A331" s="29" t="s">
        <v>2878</v>
      </c>
      <c r="B331" s="36" t="str">
        <f t="shared" si="25"/>
        <v>G01NHA01KF002-FC29</v>
      </c>
      <c r="C331" s="33" t="s">
        <v>2912</v>
      </c>
      <c r="D331" s="34" t="str">
        <f t="shared" si="26"/>
        <v>ELY1 RECT1 CTRL U2 230VAC9 CB ON/OPN</v>
      </c>
      <c r="E331" s="31">
        <f t="shared" si="27"/>
        <v>36</v>
      </c>
      <c r="F331" s="32" t="str">
        <f t="shared" si="28"/>
        <v>ELECTROLYSIS SYSTEM ELECTROLYSIS ARRAY 1 RECTIFIER SYSTEMS RECTIFIER SYSTEM 1 CONTROL UNITS I&amp;C CABINET  2 - RECTIFIER SYSTEM 1 230VAC DISTRIBUTION CHECK BACK ON/OPEN</v>
      </c>
      <c r="G331" s="29" t="s">
        <v>1614</v>
      </c>
      <c r="H331" s="29" t="s">
        <v>1615</v>
      </c>
      <c r="I331" s="29" t="str">
        <f t="shared" si="29"/>
        <v>01</v>
      </c>
      <c r="J331" s="29" t="s">
        <v>1616</v>
      </c>
      <c r="K331" s="29" t="s">
        <v>1842</v>
      </c>
      <c r="L331" s="29" t="s">
        <v>1843</v>
      </c>
      <c r="M331" s="29" t="s">
        <v>1619</v>
      </c>
      <c r="N331" s="29" t="s">
        <v>1844</v>
      </c>
      <c r="O331" s="29" t="s">
        <v>1771</v>
      </c>
      <c r="P331" s="29" t="s">
        <v>2055</v>
      </c>
      <c r="Q331" s="29" t="s">
        <v>1872</v>
      </c>
      <c r="R331" s="29" t="s">
        <v>2880</v>
      </c>
      <c r="S331" s="29" t="s">
        <v>2802</v>
      </c>
      <c r="T331" s="29" t="s">
        <v>2770</v>
      </c>
      <c r="U331" s="29" t="s">
        <v>790</v>
      </c>
      <c r="V331" s="29" t="s">
        <v>2639</v>
      </c>
      <c r="W331" s="35" t="s">
        <v>1628</v>
      </c>
      <c r="X331" s="35" t="s">
        <v>1850</v>
      </c>
      <c r="Y331" s="35" t="s">
        <v>2881</v>
      </c>
      <c r="Z331" s="35" t="s">
        <v>2803</v>
      </c>
      <c r="AA331" s="35" t="s">
        <v>2641</v>
      </c>
      <c r="AB331" s="29" t="s">
        <v>2766</v>
      </c>
      <c r="AC331" s="35" t="s">
        <v>1633</v>
      </c>
      <c r="AD331" s="35" t="s">
        <v>1634</v>
      </c>
      <c r="AE331" s="35" t="s">
        <v>1634</v>
      </c>
      <c r="AF331" s="35" t="s">
        <v>1635</v>
      </c>
      <c r="AG331" s="35" t="s">
        <v>2634</v>
      </c>
      <c r="AI331" s="35"/>
      <c r="AJ331" s="35" t="s">
        <v>1637</v>
      </c>
      <c r="AK331" s="35" t="s">
        <v>1672</v>
      </c>
      <c r="AL331" s="29" t="s">
        <v>2715</v>
      </c>
      <c r="AM331" s="35"/>
      <c r="AN331" s="35"/>
      <c r="AO331" s="35"/>
      <c r="AP331" s="35"/>
      <c r="AQ331" s="35"/>
      <c r="AS331" s="35"/>
      <c r="AU331" s="35"/>
      <c r="AW331" s="35"/>
      <c r="AY331" s="35"/>
      <c r="AZ331" s="35"/>
      <c r="BA331" s="35"/>
      <c r="BB331" s="29" t="s">
        <v>2894</v>
      </c>
      <c r="BC331" s="29" t="s">
        <v>2347</v>
      </c>
      <c r="BD331" s="29" t="s">
        <v>2739</v>
      </c>
      <c r="BE331" s="29" t="s">
        <v>1805</v>
      </c>
      <c r="BF331" s="29" t="s">
        <v>1969</v>
      </c>
      <c r="BG331" s="29" t="s">
        <v>2913</v>
      </c>
      <c r="BI331" s="35"/>
      <c r="BJ331" s="35"/>
      <c r="BK331" s="29" t="str" cm="1">
        <f t="array" ref="BK331">_xlfn.UNIQUE(MID(BB331,16,14))</f>
        <v>U012UBB01UC002</v>
      </c>
    </row>
    <row r="332" spans="1:63" x14ac:dyDescent="0.3">
      <c r="A332" s="29" t="s">
        <v>2878</v>
      </c>
      <c r="B332" s="36" t="str">
        <f t="shared" si="25"/>
        <v>G01NHA01KF002-FC30</v>
      </c>
      <c r="C332" s="33" t="s">
        <v>2914</v>
      </c>
      <c r="D332" s="34" t="str">
        <f t="shared" si="26"/>
        <v>ELY1 RECT1 CTRL U2 230VAC10 CB ON/OPN</v>
      </c>
      <c r="E332" s="31">
        <f t="shared" si="27"/>
        <v>37</v>
      </c>
      <c r="F332" s="32" t="str">
        <f t="shared" si="28"/>
        <v>ELECTROLYSIS SYSTEM ELECTROLYSIS ARRAY 1 RECTIFIER SYSTEMS RECTIFIER SYSTEM 1 CONTROL UNITS I&amp;C CABINET  2 - RECTIFIER SYSTEM 1 230VAC DISTRIBUTION CHECK BACK ON/OPEN</v>
      </c>
      <c r="G332" s="29" t="s">
        <v>1614</v>
      </c>
      <c r="H332" s="29" t="s">
        <v>1615</v>
      </c>
      <c r="I332" s="29" t="str">
        <f t="shared" si="29"/>
        <v>01</v>
      </c>
      <c r="J332" s="29" t="s">
        <v>1616</v>
      </c>
      <c r="K332" s="29" t="s">
        <v>1842</v>
      </c>
      <c r="L332" s="29" t="s">
        <v>1843</v>
      </c>
      <c r="M332" s="29" t="s">
        <v>1619</v>
      </c>
      <c r="N332" s="29" t="s">
        <v>1844</v>
      </c>
      <c r="O332" s="29" t="s">
        <v>1771</v>
      </c>
      <c r="P332" s="29" t="s">
        <v>2055</v>
      </c>
      <c r="Q332" s="29" t="s">
        <v>1872</v>
      </c>
      <c r="R332" s="29" t="s">
        <v>2880</v>
      </c>
      <c r="S332" s="29" t="s">
        <v>2806</v>
      </c>
      <c r="T332" s="29" t="s">
        <v>2770</v>
      </c>
      <c r="U332" s="29" t="s">
        <v>790</v>
      </c>
      <c r="V332" s="29" t="s">
        <v>2639</v>
      </c>
      <c r="W332" s="35" t="s">
        <v>1628</v>
      </c>
      <c r="X332" s="35" t="s">
        <v>1850</v>
      </c>
      <c r="Y332" s="35" t="s">
        <v>2881</v>
      </c>
      <c r="Z332" s="35" t="s">
        <v>2807</v>
      </c>
      <c r="AA332" s="35" t="s">
        <v>2641</v>
      </c>
      <c r="AB332" s="29" t="s">
        <v>2766</v>
      </c>
      <c r="AC332" s="35" t="s">
        <v>1633</v>
      </c>
      <c r="AD332" s="35" t="s">
        <v>1634</v>
      </c>
      <c r="AE332" s="35" t="s">
        <v>1634</v>
      </c>
      <c r="AF332" s="35" t="s">
        <v>1635</v>
      </c>
      <c r="AG332" s="35" t="s">
        <v>2634</v>
      </c>
      <c r="AI332" s="35"/>
      <c r="AJ332" s="35" t="s">
        <v>1637</v>
      </c>
      <c r="AK332" s="35" t="s">
        <v>1672</v>
      </c>
      <c r="AL332" s="29" t="s">
        <v>2715</v>
      </c>
      <c r="AM332" s="35"/>
      <c r="AN332" s="35"/>
      <c r="AO332" s="35"/>
      <c r="AP332" s="35"/>
      <c r="AQ332" s="35"/>
      <c r="AS332" s="35"/>
      <c r="AU332" s="35"/>
      <c r="AW332" s="35"/>
      <c r="AY332" s="35"/>
      <c r="AZ332" s="35"/>
      <c r="BA332" s="35"/>
      <c r="BB332" s="29" t="s">
        <v>2894</v>
      </c>
      <c r="BC332" s="29" t="s">
        <v>2347</v>
      </c>
      <c r="BD332" s="29" t="s">
        <v>2739</v>
      </c>
      <c r="BE332" s="29" t="s">
        <v>1805</v>
      </c>
      <c r="BF332" s="29" t="s">
        <v>1973</v>
      </c>
      <c r="BG332" s="29" t="s">
        <v>2915</v>
      </c>
      <c r="BI332" s="35"/>
      <c r="BJ332" s="35"/>
      <c r="BK332" s="29" t="str" cm="1">
        <f t="array" ref="BK332">_xlfn.UNIQUE(MID(BB332,16,14))</f>
        <v>U012UBB01UC002</v>
      </c>
    </row>
    <row r="333" spans="1:63" x14ac:dyDescent="0.3">
      <c r="A333" s="29" t="s">
        <v>2878</v>
      </c>
      <c r="B333" s="36" t="str">
        <f t="shared" si="25"/>
        <v>G01NHA01KF002-FC31</v>
      </c>
      <c r="C333" s="33" t="s">
        <v>2916</v>
      </c>
      <c r="D333" s="34" t="str">
        <f t="shared" si="26"/>
        <v>ELY1 RECT1 CTRL U2 230VAC11 CB ON/OPN</v>
      </c>
      <c r="E333" s="31">
        <f t="shared" si="27"/>
        <v>37</v>
      </c>
      <c r="F333" s="32" t="str">
        <f t="shared" si="28"/>
        <v>ELECTROLYSIS SYSTEM ELECTROLYSIS ARRAY 1 RECTIFIER SYSTEMS RECTIFIER SYSTEM 1 CONTROL UNITS I&amp;C CABINET  2 - RECTIFIER SYSTEM 1 230VAC DISTRIBUTION CHECK BACK ON/OPEN</v>
      </c>
      <c r="G333" s="29" t="s">
        <v>1614</v>
      </c>
      <c r="H333" s="29" t="s">
        <v>1615</v>
      </c>
      <c r="I333" s="29" t="str">
        <f t="shared" si="29"/>
        <v>01</v>
      </c>
      <c r="J333" s="29" t="s">
        <v>1616</v>
      </c>
      <c r="K333" s="29" t="s">
        <v>1842</v>
      </c>
      <c r="L333" s="29" t="s">
        <v>1843</v>
      </c>
      <c r="M333" s="29" t="s">
        <v>1619</v>
      </c>
      <c r="N333" s="29" t="s">
        <v>1844</v>
      </c>
      <c r="O333" s="29" t="s">
        <v>1771</v>
      </c>
      <c r="P333" s="29" t="s">
        <v>2055</v>
      </c>
      <c r="Q333" s="29" t="s">
        <v>1872</v>
      </c>
      <c r="R333" s="29" t="s">
        <v>2880</v>
      </c>
      <c r="S333" s="29" t="s">
        <v>2810</v>
      </c>
      <c r="T333" s="29" t="s">
        <v>2770</v>
      </c>
      <c r="U333" s="29" t="s">
        <v>790</v>
      </c>
      <c r="V333" s="29" t="s">
        <v>2639</v>
      </c>
      <c r="W333" s="35" t="s">
        <v>1628</v>
      </c>
      <c r="X333" s="35" t="s">
        <v>1850</v>
      </c>
      <c r="Y333" s="35" t="s">
        <v>2881</v>
      </c>
      <c r="Z333" s="35" t="s">
        <v>2811</v>
      </c>
      <c r="AA333" s="35" t="s">
        <v>2641</v>
      </c>
      <c r="AB333" s="29" t="s">
        <v>2766</v>
      </c>
      <c r="AC333" s="35" t="s">
        <v>1633</v>
      </c>
      <c r="AD333" s="35" t="s">
        <v>1634</v>
      </c>
      <c r="AE333" s="35" t="s">
        <v>1634</v>
      </c>
      <c r="AF333" s="35" t="s">
        <v>1635</v>
      </c>
      <c r="AG333" s="35" t="s">
        <v>2634</v>
      </c>
      <c r="AI333" s="35"/>
      <c r="AJ333" s="35" t="s">
        <v>1637</v>
      </c>
      <c r="AK333" s="35" t="s">
        <v>1672</v>
      </c>
      <c r="AL333" s="29" t="s">
        <v>2715</v>
      </c>
      <c r="AM333" s="35"/>
      <c r="AN333" s="35"/>
      <c r="AO333" s="35"/>
      <c r="AP333" s="35"/>
      <c r="AQ333" s="35"/>
      <c r="AS333" s="35"/>
      <c r="AU333" s="35"/>
      <c r="AW333" s="35"/>
      <c r="AY333" s="35"/>
      <c r="AZ333" s="35"/>
      <c r="BA333" s="35"/>
      <c r="BB333" s="29" t="s">
        <v>2894</v>
      </c>
      <c r="BC333" s="29" t="s">
        <v>2347</v>
      </c>
      <c r="BD333" s="29" t="s">
        <v>2739</v>
      </c>
      <c r="BE333" s="29" t="s">
        <v>1805</v>
      </c>
      <c r="BF333" s="29" t="s">
        <v>2048</v>
      </c>
      <c r="BG333" s="29" t="s">
        <v>2917</v>
      </c>
      <c r="BI333" s="35"/>
      <c r="BJ333" s="35"/>
      <c r="BK333" s="29" t="str" cm="1">
        <f t="array" ref="BK333">_xlfn.UNIQUE(MID(BB333,16,14))</f>
        <v>U012UBB01UC002</v>
      </c>
    </row>
    <row r="334" spans="1:63" x14ac:dyDescent="0.3">
      <c r="A334" s="29" t="s">
        <v>2878</v>
      </c>
      <c r="B334" s="36" t="str">
        <f t="shared" si="25"/>
        <v>G01NHA01KF002-FC41</v>
      </c>
      <c r="C334" s="33" t="s">
        <v>2918</v>
      </c>
      <c r="D334" s="34" t="str">
        <f t="shared" si="26"/>
        <v>ELY1 RECT1 CTRL U2 230VAC UPS1 CB ON/OPN</v>
      </c>
      <c r="E334" s="31">
        <f t="shared" si="27"/>
        <v>40</v>
      </c>
      <c r="F334" s="32" t="str">
        <f t="shared" si="28"/>
        <v>ELECTROLYSIS SYSTEM ELECTROLYSIS ARRAY 1 RECTIFIER SYSTEMS RECTIFIER SYSTEM 1 CONTROL UNITS I&amp;C CABINET  2 - RECTIFIER SYSTEM 1 230VAC UPS DISTRIBUTION CHECK BACK ON/OPEN</v>
      </c>
      <c r="G334" s="29" t="s">
        <v>1614</v>
      </c>
      <c r="H334" s="29" t="s">
        <v>1615</v>
      </c>
      <c r="I334" s="29" t="str">
        <f t="shared" si="29"/>
        <v>01</v>
      </c>
      <c r="J334" s="29" t="s">
        <v>1616</v>
      </c>
      <c r="K334" s="29" t="s">
        <v>1842</v>
      </c>
      <c r="L334" s="29" t="s">
        <v>1843</v>
      </c>
      <c r="M334" s="29" t="s">
        <v>1619</v>
      </c>
      <c r="N334" s="29" t="s">
        <v>1844</v>
      </c>
      <c r="O334" s="29" t="s">
        <v>1771</v>
      </c>
      <c r="P334" s="29" t="s">
        <v>2055</v>
      </c>
      <c r="Q334" s="29" t="s">
        <v>1872</v>
      </c>
      <c r="R334" s="29" t="s">
        <v>2880</v>
      </c>
      <c r="S334" s="29" t="s">
        <v>2814</v>
      </c>
      <c r="T334" s="29" t="s">
        <v>2815</v>
      </c>
      <c r="U334" s="29" t="s">
        <v>790</v>
      </c>
      <c r="V334" s="29" t="s">
        <v>2639</v>
      </c>
      <c r="W334" s="35" t="s">
        <v>1628</v>
      </c>
      <c r="X334" s="35" t="s">
        <v>1850</v>
      </c>
      <c r="Y334" s="35" t="s">
        <v>2881</v>
      </c>
      <c r="Z334" s="35" t="s">
        <v>2816</v>
      </c>
      <c r="AA334" s="35" t="s">
        <v>2641</v>
      </c>
      <c r="AB334" s="29" t="s">
        <v>2766</v>
      </c>
      <c r="AC334" s="35" t="s">
        <v>1633</v>
      </c>
      <c r="AD334" s="35" t="s">
        <v>1634</v>
      </c>
      <c r="AE334" s="35" t="s">
        <v>1634</v>
      </c>
      <c r="AF334" s="35" t="s">
        <v>1635</v>
      </c>
      <c r="AG334" s="35" t="s">
        <v>2634</v>
      </c>
      <c r="AI334" s="35"/>
      <c r="AJ334" s="35" t="s">
        <v>1637</v>
      </c>
      <c r="AK334" s="35" t="s">
        <v>1672</v>
      </c>
      <c r="AL334" s="29" t="s">
        <v>2715</v>
      </c>
      <c r="AM334" s="35"/>
      <c r="AN334" s="35"/>
      <c r="AO334" s="35"/>
      <c r="AP334" s="35"/>
      <c r="AQ334" s="35"/>
      <c r="AS334" s="35"/>
      <c r="AU334" s="35"/>
      <c r="AW334" s="35"/>
      <c r="AY334" s="35"/>
      <c r="AZ334" s="35"/>
      <c r="BA334" s="35"/>
      <c r="BB334" s="29" t="s">
        <v>2894</v>
      </c>
      <c r="BC334" s="29" t="s">
        <v>2347</v>
      </c>
      <c r="BD334" s="29" t="s">
        <v>2739</v>
      </c>
      <c r="BE334" s="29" t="s">
        <v>1805</v>
      </c>
      <c r="BF334" s="29" t="s">
        <v>2051</v>
      </c>
      <c r="BG334" s="29" t="s">
        <v>2919</v>
      </c>
      <c r="BI334" s="35"/>
      <c r="BJ334" s="35"/>
      <c r="BK334" s="29" t="str" cm="1">
        <f t="array" ref="BK334">_xlfn.UNIQUE(MID(BB334,16,14))</f>
        <v>U012UBB01UC002</v>
      </c>
    </row>
    <row r="335" spans="1:63" x14ac:dyDescent="0.3">
      <c r="A335" s="29" t="s">
        <v>2878</v>
      </c>
      <c r="B335" s="36" t="str">
        <f t="shared" si="25"/>
        <v>G01NHA01KF002-FC42</v>
      </c>
      <c r="C335" s="33" t="s">
        <v>2920</v>
      </c>
      <c r="D335" s="34" t="str">
        <f t="shared" si="26"/>
        <v>ELY1 RECT1 CTRL U2 230VAC UPS2 CB ON/OPN</v>
      </c>
      <c r="E335" s="31">
        <f t="shared" si="27"/>
        <v>40</v>
      </c>
      <c r="F335" s="32" t="str">
        <f t="shared" si="28"/>
        <v>ELECTROLYSIS SYSTEM ELECTROLYSIS ARRAY 1 RECTIFIER SYSTEMS RECTIFIER SYSTEM 1 CONTROL UNITS I&amp;C CABINET  2 - RECTIFIER SYSTEM 1 230VAC UPS DISTRIBUTION CHECK BACK ON/OPEN</v>
      </c>
      <c r="G335" s="29" t="s">
        <v>1614</v>
      </c>
      <c r="H335" s="29" t="s">
        <v>1615</v>
      </c>
      <c r="I335" s="29" t="str">
        <f t="shared" si="29"/>
        <v>01</v>
      </c>
      <c r="J335" s="29" t="s">
        <v>1616</v>
      </c>
      <c r="K335" s="29" t="s">
        <v>1842</v>
      </c>
      <c r="L335" s="29" t="s">
        <v>1843</v>
      </c>
      <c r="M335" s="29" t="s">
        <v>1619</v>
      </c>
      <c r="N335" s="29" t="s">
        <v>1844</v>
      </c>
      <c r="O335" s="29" t="s">
        <v>1771</v>
      </c>
      <c r="P335" s="29" t="s">
        <v>2055</v>
      </c>
      <c r="Q335" s="29" t="s">
        <v>1872</v>
      </c>
      <c r="R335" s="29" t="s">
        <v>2880</v>
      </c>
      <c r="S335" s="29" t="s">
        <v>2819</v>
      </c>
      <c r="T335" s="29" t="s">
        <v>2815</v>
      </c>
      <c r="U335" s="29" t="s">
        <v>790</v>
      </c>
      <c r="V335" s="29" t="s">
        <v>2639</v>
      </c>
      <c r="W335" s="35" t="s">
        <v>1628</v>
      </c>
      <c r="X335" s="35" t="s">
        <v>1850</v>
      </c>
      <c r="Y335" s="35" t="s">
        <v>2881</v>
      </c>
      <c r="Z335" s="35" t="s">
        <v>2820</v>
      </c>
      <c r="AA335" s="35" t="s">
        <v>2641</v>
      </c>
      <c r="AB335" s="29" t="s">
        <v>2766</v>
      </c>
      <c r="AC335" s="35" t="s">
        <v>1633</v>
      </c>
      <c r="AD335" s="35" t="s">
        <v>1634</v>
      </c>
      <c r="AE335" s="35" t="s">
        <v>1634</v>
      </c>
      <c r="AF335" s="35" t="s">
        <v>1635</v>
      </c>
      <c r="AG335" s="35" t="s">
        <v>2634</v>
      </c>
      <c r="AI335" s="35"/>
      <c r="AJ335" s="35" t="s">
        <v>1637</v>
      </c>
      <c r="AK335" s="35" t="s">
        <v>1672</v>
      </c>
      <c r="AL335" s="29" t="s">
        <v>2715</v>
      </c>
      <c r="AM335" s="35"/>
      <c r="AN335" s="35"/>
      <c r="AO335" s="35"/>
      <c r="AP335" s="35"/>
      <c r="AQ335" s="35"/>
      <c r="AS335" s="35"/>
      <c r="AU335" s="35"/>
      <c r="AW335" s="35"/>
      <c r="AY335" s="35"/>
      <c r="AZ335" s="35"/>
      <c r="BA335" s="35"/>
      <c r="BB335" s="29" t="s">
        <v>2894</v>
      </c>
      <c r="BC335" s="29" t="s">
        <v>2347</v>
      </c>
      <c r="BD335" s="29" t="s">
        <v>2739</v>
      </c>
      <c r="BE335" s="29" t="s">
        <v>1805</v>
      </c>
      <c r="BF335" s="29" t="s">
        <v>2016</v>
      </c>
      <c r="BG335" s="29" t="s">
        <v>2921</v>
      </c>
      <c r="BI335" s="35"/>
      <c r="BJ335" s="35"/>
      <c r="BK335" s="29" t="str" cm="1">
        <f t="array" ref="BK335">_xlfn.UNIQUE(MID(BB335,16,14))</f>
        <v>U012UBB01UC002</v>
      </c>
    </row>
    <row r="336" spans="1:63" x14ac:dyDescent="0.3">
      <c r="A336" s="29" t="s">
        <v>2878</v>
      </c>
      <c r="B336" s="36" t="str">
        <f t="shared" si="25"/>
        <v>G01NHA01KF002-FC43</v>
      </c>
      <c r="C336" s="33" t="s">
        <v>2922</v>
      </c>
      <c r="D336" s="34" t="str">
        <f t="shared" si="26"/>
        <v>ELY1 RECT1 CTRL U2 230VAC UPS3 CB ON/OPN</v>
      </c>
      <c r="E336" s="31">
        <f t="shared" si="27"/>
        <v>40</v>
      </c>
      <c r="F336" s="32" t="str">
        <f t="shared" si="28"/>
        <v>ELECTROLYSIS SYSTEM ELECTROLYSIS ARRAY 1 RECTIFIER SYSTEMS RECTIFIER SYSTEM 1 CONTROL UNITS I&amp;C CABINET  2 - RECTIFIER SYSTEM 1 230VAC UPS DISTRIBUTION CHECK BACK ON/OPEN</v>
      </c>
      <c r="G336" s="29" t="s">
        <v>1614</v>
      </c>
      <c r="H336" s="29" t="s">
        <v>1615</v>
      </c>
      <c r="I336" s="29" t="str">
        <f t="shared" si="29"/>
        <v>01</v>
      </c>
      <c r="J336" s="29" t="s">
        <v>1616</v>
      </c>
      <c r="K336" s="29" t="s">
        <v>1842</v>
      </c>
      <c r="L336" s="29" t="s">
        <v>1843</v>
      </c>
      <c r="M336" s="29" t="s">
        <v>1619</v>
      </c>
      <c r="N336" s="29" t="s">
        <v>1844</v>
      </c>
      <c r="O336" s="29" t="s">
        <v>1771</v>
      </c>
      <c r="P336" s="29" t="s">
        <v>2055</v>
      </c>
      <c r="Q336" s="29" t="s">
        <v>1872</v>
      </c>
      <c r="R336" s="29" t="s">
        <v>2880</v>
      </c>
      <c r="S336" s="29" t="s">
        <v>2823</v>
      </c>
      <c r="T336" s="29" t="s">
        <v>2815</v>
      </c>
      <c r="U336" s="29" t="s">
        <v>790</v>
      </c>
      <c r="V336" s="29" t="s">
        <v>2639</v>
      </c>
      <c r="W336" s="35" t="s">
        <v>1628</v>
      </c>
      <c r="X336" s="35" t="s">
        <v>1850</v>
      </c>
      <c r="Y336" s="35" t="s">
        <v>2881</v>
      </c>
      <c r="Z336" s="35" t="s">
        <v>2824</v>
      </c>
      <c r="AA336" s="35" t="s">
        <v>2641</v>
      </c>
      <c r="AB336" s="29" t="s">
        <v>2766</v>
      </c>
      <c r="AC336" s="35" t="s">
        <v>1633</v>
      </c>
      <c r="AD336" s="35" t="s">
        <v>1634</v>
      </c>
      <c r="AE336" s="35" t="s">
        <v>1634</v>
      </c>
      <c r="AF336" s="35" t="s">
        <v>1635</v>
      </c>
      <c r="AG336" s="35" t="s">
        <v>2634</v>
      </c>
      <c r="AI336" s="35"/>
      <c r="AJ336" s="35" t="s">
        <v>1637</v>
      </c>
      <c r="AK336" s="35" t="s">
        <v>1672</v>
      </c>
      <c r="AL336" s="29" t="s">
        <v>2715</v>
      </c>
      <c r="AM336" s="35"/>
      <c r="AN336" s="35"/>
      <c r="AO336" s="35"/>
      <c r="AP336" s="35"/>
      <c r="AQ336" s="35"/>
      <c r="AS336" s="35"/>
      <c r="AU336" s="35"/>
      <c r="AW336" s="35"/>
      <c r="AY336" s="35"/>
      <c r="AZ336" s="35"/>
      <c r="BA336" s="35"/>
      <c r="BB336" s="29" t="s">
        <v>2894</v>
      </c>
      <c r="BC336" s="29" t="s">
        <v>2347</v>
      </c>
      <c r="BD336" s="29" t="s">
        <v>2739</v>
      </c>
      <c r="BE336" s="29" t="s">
        <v>1805</v>
      </c>
      <c r="BF336" s="29" t="s">
        <v>2341</v>
      </c>
      <c r="BG336" s="29" t="s">
        <v>2923</v>
      </c>
      <c r="BI336" s="35"/>
      <c r="BJ336" s="35"/>
      <c r="BK336" s="29" t="str" cm="1">
        <f t="array" ref="BK336">_xlfn.UNIQUE(MID(BB336,16,14))</f>
        <v>U012UBB01UC002</v>
      </c>
    </row>
    <row r="337" spans="1:63" x14ac:dyDescent="0.3">
      <c r="A337" s="29" t="s">
        <v>2878</v>
      </c>
      <c r="B337" s="36" t="str">
        <f t="shared" si="25"/>
        <v>G01NHA01KF002-QA11</v>
      </c>
      <c r="C337" s="33" t="s">
        <v>2924</v>
      </c>
      <c r="D337" s="34" t="str">
        <f t="shared" si="26"/>
        <v>ELY1 RECT1 CTRL U2 SW 400VAC1 CB ON/OPN</v>
      </c>
      <c r="E337" s="31">
        <f t="shared" si="27"/>
        <v>39</v>
      </c>
      <c r="F337" s="32" t="str">
        <f t="shared" si="28"/>
        <v>ELECTROLYSIS SYSTEM ELECTROLYSIS ARRAY 1 RECTIFIER SYSTEMS RECTIFIER SYSTEM 1 CONTROL UNITS I&amp;C CABINET  2 - RECTIFIER SYSTEM 1 400VAC DISTRIBUTION CHECK BACK ON/OPEN</v>
      </c>
      <c r="G337" s="29" t="s">
        <v>1614</v>
      </c>
      <c r="H337" s="29" t="s">
        <v>1615</v>
      </c>
      <c r="I337" s="29" t="str">
        <f t="shared" si="29"/>
        <v>01</v>
      </c>
      <c r="J337" s="29" t="s">
        <v>1616</v>
      </c>
      <c r="K337" s="29" t="s">
        <v>1842</v>
      </c>
      <c r="L337" s="29" t="s">
        <v>1843</v>
      </c>
      <c r="M337" s="29" t="s">
        <v>1619</v>
      </c>
      <c r="N337" s="29" t="s">
        <v>1844</v>
      </c>
      <c r="O337" s="29" t="s">
        <v>1771</v>
      </c>
      <c r="P337" s="29" t="s">
        <v>2055</v>
      </c>
      <c r="Q337" s="29" t="s">
        <v>1872</v>
      </c>
      <c r="R337" s="29" t="s">
        <v>2880</v>
      </c>
      <c r="S337" s="29" t="s">
        <v>2828</v>
      </c>
      <c r="T337" s="29" t="s">
        <v>2829</v>
      </c>
      <c r="U337" s="29" t="s">
        <v>790</v>
      </c>
      <c r="V337" s="29" t="s">
        <v>2639</v>
      </c>
      <c r="W337" s="35" t="s">
        <v>1628</v>
      </c>
      <c r="X337" s="35" t="s">
        <v>1850</v>
      </c>
      <c r="Y337" s="35" t="s">
        <v>2881</v>
      </c>
      <c r="Z337" s="35" t="s">
        <v>2830</v>
      </c>
      <c r="AA337" s="35" t="s">
        <v>2641</v>
      </c>
      <c r="AB337" s="29" t="s">
        <v>2831</v>
      </c>
      <c r="AC337" s="35" t="s">
        <v>1633</v>
      </c>
      <c r="AD337" s="35" t="s">
        <v>1634</v>
      </c>
      <c r="AE337" s="35" t="s">
        <v>1634</v>
      </c>
      <c r="AF337" s="35" t="s">
        <v>1635</v>
      </c>
      <c r="AG337" s="35" t="s">
        <v>2634</v>
      </c>
      <c r="AI337" s="35"/>
      <c r="AJ337" s="35" t="s">
        <v>1637</v>
      </c>
      <c r="AK337" s="35" t="s">
        <v>1672</v>
      </c>
      <c r="AL337" s="29" t="s">
        <v>2715</v>
      </c>
      <c r="AM337" s="35"/>
      <c r="AN337" s="35"/>
      <c r="AO337" s="35"/>
      <c r="AP337" s="35"/>
      <c r="AQ337" s="35"/>
      <c r="AS337" s="35"/>
      <c r="AU337" s="35"/>
      <c r="AW337" s="35"/>
      <c r="AY337" s="35"/>
      <c r="AZ337" s="35"/>
      <c r="BA337" s="35"/>
      <c r="BB337" s="29" t="s">
        <v>2894</v>
      </c>
      <c r="BC337" s="29" t="s">
        <v>2347</v>
      </c>
      <c r="BD337" s="29" t="s">
        <v>2739</v>
      </c>
      <c r="BE337" s="29" t="s">
        <v>1805</v>
      </c>
      <c r="BF337" s="29" t="s">
        <v>2388</v>
      </c>
      <c r="BG337" s="29" t="s">
        <v>2925</v>
      </c>
      <c r="BI337" s="35"/>
      <c r="BJ337" s="35"/>
      <c r="BK337" s="29" t="str" cm="1">
        <f t="array" ref="BK337">_xlfn.UNIQUE(MID(BB337,16,14))</f>
        <v>U012UBB01UC002</v>
      </c>
    </row>
    <row r="338" spans="1:63" x14ac:dyDescent="0.3">
      <c r="A338" s="29" t="s">
        <v>2878</v>
      </c>
      <c r="B338" s="36" t="str">
        <f t="shared" si="25"/>
        <v>G01NHA01KF002-QA12</v>
      </c>
      <c r="C338" s="33" t="s">
        <v>2926</v>
      </c>
      <c r="D338" s="34" t="str">
        <f t="shared" si="26"/>
        <v>ELY1 RECT1 CTRL U2 SW 400VAC2 CB ON/OPN</v>
      </c>
      <c r="E338" s="31">
        <f t="shared" si="27"/>
        <v>39</v>
      </c>
      <c r="F338" s="32" t="str">
        <f t="shared" si="28"/>
        <v>ELECTROLYSIS SYSTEM ELECTROLYSIS ARRAY 1 RECTIFIER SYSTEMS RECTIFIER SYSTEM 1 CONTROL UNITS I&amp;C CABINET  2 - RECTIFIER SYSTEM 1 400VAC DISTRIBUTION CHECK BACK ON/OPEN</v>
      </c>
      <c r="G338" s="29" t="s">
        <v>1614</v>
      </c>
      <c r="H338" s="29" t="s">
        <v>1615</v>
      </c>
      <c r="I338" s="29" t="str">
        <f t="shared" si="29"/>
        <v>01</v>
      </c>
      <c r="J338" s="29" t="s">
        <v>1616</v>
      </c>
      <c r="K338" s="29" t="s">
        <v>1842</v>
      </c>
      <c r="L338" s="29" t="s">
        <v>1843</v>
      </c>
      <c r="M338" s="29" t="s">
        <v>1619</v>
      </c>
      <c r="N338" s="29" t="s">
        <v>1844</v>
      </c>
      <c r="O338" s="29" t="s">
        <v>1771</v>
      </c>
      <c r="P338" s="29" t="s">
        <v>2055</v>
      </c>
      <c r="Q338" s="29" t="s">
        <v>1872</v>
      </c>
      <c r="R338" s="29" t="s">
        <v>2880</v>
      </c>
      <c r="S338" s="29" t="s">
        <v>2834</v>
      </c>
      <c r="T338" s="29" t="s">
        <v>2829</v>
      </c>
      <c r="U338" s="29" t="s">
        <v>790</v>
      </c>
      <c r="V338" s="29" t="s">
        <v>2639</v>
      </c>
      <c r="W338" s="35" t="s">
        <v>1628</v>
      </c>
      <c r="X338" s="35" t="s">
        <v>1850</v>
      </c>
      <c r="Y338" s="35" t="s">
        <v>2881</v>
      </c>
      <c r="Z338" s="35" t="s">
        <v>2835</v>
      </c>
      <c r="AA338" s="35" t="s">
        <v>2641</v>
      </c>
      <c r="AB338" s="29" t="s">
        <v>2831</v>
      </c>
      <c r="AC338" s="35" t="s">
        <v>1633</v>
      </c>
      <c r="AD338" s="35" t="s">
        <v>1634</v>
      </c>
      <c r="AE338" s="35" t="s">
        <v>1634</v>
      </c>
      <c r="AF338" s="35" t="s">
        <v>1635</v>
      </c>
      <c r="AG338" s="35" t="s">
        <v>2634</v>
      </c>
      <c r="AI338" s="35"/>
      <c r="AJ338" s="35" t="s">
        <v>1637</v>
      </c>
      <c r="AK338" s="35" t="s">
        <v>1672</v>
      </c>
      <c r="AL338" s="29" t="s">
        <v>2715</v>
      </c>
      <c r="AM338" s="35"/>
      <c r="AN338" s="35"/>
      <c r="AO338" s="35"/>
      <c r="AP338" s="35"/>
      <c r="AQ338" s="35"/>
      <c r="AS338" s="35"/>
      <c r="AU338" s="35"/>
      <c r="AW338" s="35"/>
      <c r="AY338" s="35"/>
      <c r="AZ338" s="35"/>
      <c r="BA338" s="35"/>
      <c r="BB338" s="29" t="s">
        <v>2927</v>
      </c>
      <c r="BC338" s="29" t="s">
        <v>2347</v>
      </c>
      <c r="BD338" s="29" t="s">
        <v>2739</v>
      </c>
      <c r="BE338" s="29" t="s">
        <v>1805</v>
      </c>
      <c r="BF338" s="29" t="s">
        <v>1619</v>
      </c>
      <c r="BG338" s="29" t="s">
        <v>2928</v>
      </c>
      <c r="BI338" s="35"/>
      <c r="BJ338" s="35"/>
      <c r="BK338" s="29" t="str" cm="1">
        <f t="array" ref="BK338">_xlfn.UNIQUE(MID(BB338,16,14))</f>
        <v>U012UBB01UC002</v>
      </c>
    </row>
    <row r="339" spans="1:63" x14ac:dyDescent="0.3">
      <c r="A339" s="29" t="s">
        <v>2878</v>
      </c>
      <c r="B339" s="36" t="str">
        <f t="shared" si="25"/>
        <v>G01NHA01KF002-QA13</v>
      </c>
      <c r="C339" s="33" t="s">
        <v>2929</v>
      </c>
      <c r="D339" s="34" t="str">
        <f t="shared" si="26"/>
        <v>ELY1 RECT1 CTRL U2 SW 400VAC3 CB ON/OPN</v>
      </c>
      <c r="E339" s="31">
        <f t="shared" si="27"/>
        <v>39</v>
      </c>
      <c r="F339" s="32" t="str">
        <f t="shared" si="28"/>
        <v>ELECTROLYSIS SYSTEM ELECTROLYSIS ARRAY 1 RECTIFIER SYSTEMS RECTIFIER SYSTEM 1 CONTROL UNITS I&amp;C CABINET  2 - RECTIFIER SYSTEM 1 400VAC DISTRIBUTION CHECK BACK ON/OPEN</v>
      </c>
      <c r="G339" s="29" t="s">
        <v>1614</v>
      </c>
      <c r="H339" s="29" t="s">
        <v>1615</v>
      </c>
      <c r="I339" s="29" t="str">
        <f t="shared" si="29"/>
        <v>01</v>
      </c>
      <c r="J339" s="29" t="s">
        <v>1616</v>
      </c>
      <c r="K339" s="29" t="s">
        <v>1842</v>
      </c>
      <c r="L339" s="29" t="s">
        <v>1843</v>
      </c>
      <c r="M339" s="29" t="s">
        <v>1619</v>
      </c>
      <c r="N339" s="29" t="s">
        <v>1844</v>
      </c>
      <c r="O339" s="29" t="s">
        <v>1771</v>
      </c>
      <c r="P339" s="29" t="s">
        <v>2055</v>
      </c>
      <c r="Q339" s="29" t="s">
        <v>1872</v>
      </c>
      <c r="R339" s="29" t="s">
        <v>2880</v>
      </c>
      <c r="S339" s="29" t="s">
        <v>2838</v>
      </c>
      <c r="T339" s="29" t="s">
        <v>2829</v>
      </c>
      <c r="U339" s="29" t="s">
        <v>790</v>
      </c>
      <c r="V339" s="29" t="s">
        <v>2639</v>
      </c>
      <c r="W339" s="35" t="s">
        <v>1628</v>
      </c>
      <c r="X339" s="35" t="s">
        <v>1850</v>
      </c>
      <c r="Y339" s="35" t="s">
        <v>2881</v>
      </c>
      <c r="Z339" s="35" t="s">
        <v>2839</v>
      </c>
      <c r="AA339" s="35" t="s">
        <v>2641</v>
      </c>
      <c r="AB339" s="29" t="s">
        <v>2831</v>
      </c>
      <c r="AC339" s="35" t="s">
        <v>1633</v>
      </c>
      <c r="AD339" s="35" t="s">
        <v>1634</v>
      </c>
      <c r="AE339" s="35" t="s">
        <v>1634</v>
      </c>
      <c r="AF339" s="35" t="s">
        <v>1635</v>
      </c>
      <c r="AG339" s="35" t="s">
        <v>2634</v>
      </c>
      <c r="AI339" s="35"/>
      <c r="AJ339" s="35" t="s">
        <v>1637</v>
      </c>
      <c r="AK339" s="35" t="s">
        <v>1672</v>
      </c>
      <c r="AL339" s="29" t="s">
        <v>2715</v>
      </c>
      <c r="AM339" s="35"/>
      <c r="AN339" s="35"/>
      <c r="AO339" s="35"/>
      <c r="AP339" s="35"/>
      <c r="AQ339" s="35"/>
      <c r="AS339" s="35"/>
      <c r="AU339" s="35"/>
      <c r="AW339" s="35"/>
      <c r="AY339" s="35"/>
      <c r="AZ339" s="35"/>
      <c r="BA339" s="35"/>
      <c r="BB339" s="29" t="s">
        <v>2927</v>
      </c>
      <c r="BC339" s="29" t="s">
        <v>2347</v>
      </c>
      <c r="BD339" s="29" t="s">
        <v>2739</v>
      </c>
      <c r="BE339" s="29" t="s">
        <v>1805</v>
      </c>
      <c r="BF339" s="29" t="s">
        <v>1905</v>
      </c>
      <c r="BG339" s="29" t="s">
        <v>2930</v>
      </c>
      <c r="BI339" s="35"/>
      <c r="BJ339" s="35"/>
      <c r="BK339" s="29" t="str" cm="1">
        <f t="array" ref="BK339">_xlfn.UNIQUE(MID(BB339,16,14))</f>
        <v>U012UBB01UC002</v>
      </c>
    </row>
    <row r="340" spans="1:63" x14ac:dyDescent="0.3">
      <c r="A340" s="29" t="s">
        <v>2878</v>
      </c>
      <c r="B340" s="36" t="str">
        <f t="shared" si="25"/>
        <v>G01NHA01KF002-QA14</v>
      </c>
      <c r="C340" s="33" t="s">
        <v>2931</v>
      </c>
      <c r="D340" s="34" t="str">
        <f t="shared" si="26"/>
        <v>ELY1 RECT1 CTRL U2 SW 400VAC4 CB ON/OPN</v>
      </c>
      <c r="E340" s="31">
        <f t="shared" si="27"/>
        <v>39</v>
      </c>
      <c r="F340" s="32" t="str">
        <f t="shared" si="28"/>
        <v>ELECTROLYSIS SYSTEM ELECTROLYSIS ARRAY 1 RECTIFIER SYSTEMS RECTIFIER SYSTEM 1 CONTROL UNITS I&amp;C CABINET  2 - RECTIFIER SYSTEM 1 400VAC DISTRIBUTION CHECK BACK ON/OPEN</v>
      </c>
      <c r="G340" s="29" t="s">
        <v>1614</v>
      </c>
      <c r="H340" s="29" t="s">
        <v>1615</v>
      </c>
      <c r="I340" s="29" t="str">
        <f t="shared" si="29"/>
        <v>01</v>
      </c>
      <c r="J340" s="29" t="s">
        <v>1616</v>
      </c>
      <c r="K340" s="29" t="s">
        <v>1842</v>
      </c>
      <c r="L340" s="29" t="s">
        <v>1843</v>
      </c>
      <c r="M340" s="29" t="s">
        <v>1619</v>
      </c>
      <c r="N340" s="29" t="s">
        <v>1844</v>
      </c>
      <c r="O340" s="29" t="s">
        <v>1771</v>
      </c>
      <c r="P340" s="29" t="s">
        <v>2055</v>
      </c>
      <c r="Q340" s="29" t="s">
        <v>1872</v>
      </c>
      <c r="R340" s="29" t="s">
        <v>2880</v>
      </c>
      <c r="S340" s="29" t="s">
        <v>2842</v>
      </c>
      <c r="T340" s="29" t="s">
        <v>2829</v>
      </c>
      <c r="U340" s="29" t="s">
        <v>790</v>
      </c>
      <c r="V340" s="29" t="s">
        <v>2639</v>
      </c>
      <c r="W340" s="35" t="s">
        <v>1628</v>
      </c>
      <c r="X340" s="35" t="s">
        <v>1850</v>
      </c>
      <c r="Y340" s="35" t="s">
        <v>2881</v>
      </c>
      <c r="Z340" s="35" t="s">
        <v>2843</v>
      </c>
      <c r="AA340" s="35" t="s">
        <v>2641</v>
      </c>
      <c r="AB340" s="29" t="s">
        <v>2831</v>
      </c>
      <c r="AC340" s="35" t="s">
        <v>1633</v>
      </c>
      <c r="AD340" s="35" t="s">
        <v>1634</v>
      </c>
      <c r="AE340" s="35" t="s">
        <v>1634</v>
      </c>
      <c r="AF340" s="35" t="s">
        <v>1635</v>
      </c>
      <c r="AG340" s="35" t="s">
        <v>2634</v>
      </c>
      <c r="AI340" s="35"/>
      <c r="AJ340" s="35" t="s">
        <v>1637</v>
      </c>
      <c r="AK340" s="35" t="s">
        <v>1672</v>
      </c>
      <c r="AL340" s="29" t="s">
        <v>2715</v>
      </c>
      <c r="AM340" s="35"/>
      <c r="AN340" s="35"/>
      <c r="AO340" s="35"/>
      <c r="AP340" s="35"/>
      <c r="AQ340" s="35"/>
      <c r="AS340" s="35"/>
      <c r="AU340" s="35"/>
      <c r="AW340" s="35"/>
      <c r="AY340" s="35"/>
      <c r="AZ340" s="35"/>
      <c r="BA340" s="35"/>
      <c r="BB340" s="29" t="s">
        <v>2927</v>
      </c>
      <c r="BC340" s="29" t="s">
        <v>2347</v>
      </c>
      <c r="BD340" s="29" t="s">
        <v>2739</v>
      </c>
      <c r="BE340" s="29" t="s">
        <v>1805</v>
      </c>
      <c r="BF340" s="29" t="s">
        <v>1909</v>
      </c>
      <c r="BG340" s="29" t="s">
        <v>2932</v>
      </c>
      <c r="BI340" s="35"/>
      <c r="BJ340" s="35"/>
      <c r="BK340" s="29" t="str" cm="1">
        <f t="array" ref="BK340">_xlfn.UNIQUE(MID(BB340,16,14))</f>
        <v>U012UBB01UC002</v>
      </c>
    </row>
    <row r="341" spans="1:63" x14ac:dyDescent="0.3">
      <c r="A341" s="29" t="s">
        <v>2878</v>
      </c>
      <c r="B341" s="36" t="str">
        <f t="shared" si="25"/>
        <v>G01NHA01KF002-QA15</v>
      </c>
      <c r="C341" s="33" t="s">
        <v>2933</v>
      </c>
      <c r="D341" s="34" t="str">
        <f t="shared" si="26"/>
        <v>ELY1 RECT1 CTRL U2 SW 400VAC5 CB ON/OPN</v>
      </c>
      <c r="E341" s="31">
        <f t="shared" si="27"/>
        <v>39</v>
      </c>
      <c r="F341" s="32" t="str">
        <f t="shared" si="28"/>
        <v>ELECTROLYSIS SYSTEM ELECTROLYSIS ARRAY 1 RECTIFIER SYSTEMS RECTIFIER SYSTEM 1 CONTROL UNITS I&amp;C CABINET  2 - RECTIFIER SYSTEM 1 400VAC DISTRIBUTION CHECK BACK ON/OPEN</v>
      </c>
      <c r="G341" s="29" t="s">
        <v>1614</v>
      </c>
      <c r="H341" s="29" t="s">
        <v>1615</v>
      </c>
      <c r="I341" s="29" t="str">
        <f t="shared" si="29"/>
        <v>01</v>
      </c>
      <c r="J341" s="29" t="s">
        <v>1616</v>
      </c>
      <c r="K341" s="29" t="s">
        <v>1842</v>
      </c>
      <c r="L341" s="29" t="s">
        <v>1843</v>
      </c>
      <c r="M341" s="29" t="s">
        <v>1619</v>
      </c>
      <c r="N341" s="29" t="s">
        <v>1844</v>
      </c>
      <c r="O341" s="29" t="s">
        <v>1771</v>
      </c>
      <c r="P341" s="29" t="s">
        <v>2055</v>
      </c>
      <c r="Q341" s="29" t="s">
        <v>1872</v>
      </c>
      <c r="R341" s="29" t="s">
        <v>2880</v>
      </c>
      <c r="S341" s="29" t="s">
        <v>2846</v>
      </c>
      <c r="T341" s="29" t="s">
        <v>2829</v>
      </c>
      <c r="U341" s="29" t="s">
        <v>790</v>
      </c>
      <c r="V341" s="29" t="s">
        <v>2639</v>
      </c>
      <c r="W341" s="35" t="s">
        <v>1628</v>
      </c>
      <c r="X341" s="35" t="s">
        <v>1850</v>
      </c>
      <c r="Y341" s="35" t="s">
        <v>2881</v>
      </c>
      <c r="Z341" s="35" t="s">
        <v>2847</v>
      </c>
      <c r="AA341" s="35" t="s">
        <v>2641</v>
      </c>
      <c r="AB341" s="29" t="s">
        <v>2831</v>
      </c>
      <c r="AC341" s="35" t="s">
        <v>1633</v>
      </c>
      <c r="AD341" s="35" t="s">
        <v>1634</v>
      </c>
      <c r="AE341" s="35" t="s">
        <v>1634</v>
      </c>
      <c r="AF341" s="35" t="s">
        <v>1635</v>
      </c>
      <c r="AG341" s="35" t="s">
        <v>2634</v>
      </c>
      <c r="AI341" s="35"/>
      <c r="AJ341" s="35" t="s">
        <v>1637</v>
      </c>
      <c r="AK341" s="35" t="s">
        <v>1672</v>
      </c>
      <c r="AL341" s="29" t="s">
        <v>2715</v>
      </c>
      <c r="AM341" s="35"/>
      <c r="AN341" s="35"/>
      <c r="AO341" s="35"/>
      <c r="AP341" s="35"/>
      <c r="AQ341" s="35"/>
      <c r="AS341" s="35"/>
      <c r="AU341" s="35"/>
      <c r="AW341" s="35"/>
      <c r="AY341" s="35"/>
      <c r="AZ341" s="35"/>
      <c r="BA341" s="35"/>
      <c r="BB341" s="29" t="s">
        <v>2927</v>
      </c>
      <c r="BC341" s="29" t="s">
        <v>2347</v>
      </c>
      <c r="BD341" s="29" t="s">
        <v>2739</v>
      </c>
      <c r="BE341" s="29" t="s">
        <v>1805</v>
      </c>
      <c r="BF341" s="29" t="s">
        <v>1915</v>
      </c>
      <c r="BG341" s="29" t="s">
        <v>2934</v>
      </c>
      <c r="BI341" s="35"/>
      <c r="BJ341" s="35"/>
      <c r="BK341" s="29" t="str" cm="1">
        <f t="array" ref="BK341">_xlfn.UNIQUE(MID(BB341,16,14))</f>
        <v>U012UBB01UC002</v>
      </c>
    </row>
    <row r="342" spans="1:63" x14ac:dyDescent="0.3">
      <c r="A342" s="29" t="s">
        <v>2878</v>
      </c>
      <c r="B342" s="36" t="str">
        <f t="shared" si="25"/>
        <v>G01NHA01KF002-QA16</v>
      </c>
      <c r="C342" s="33" t="s">
        <v>2935</v>
      </c>
      <c r="D342" s="34" t="str">
        <f t="shared" si="26"/>
        <v>ELY1 RECT1 CTRL U2 SW 400VAC6 CB ON/OPN</v>
      </c>
      <c r="E342" s="31">
        <f t="shared" si="27"/>
        <v>39</v>
      </c>
      <c r="F342" s="32" t="str">
        <f t="shared" si="28"/>
        <v>ELECTROLYSIS SYSTEM ELECTROLYSIS ARRAY 1 RECTIFIER SYSTEMS RECTIFIER SYSTEM 1 CONTROL UNITS I&amp;C CABINET  2 - RECTIFIER SYSTEM 1 400VAC DISTRIBUTION CHECK BACK ON/OPEN</v>
      </c>
      <c r="G342" s="29" t="s">
        <v>1614</v>
      </c>
      <c r="H342" s="29" t="s">
        <v>1615</v>
      </c>
      <c r="I342" s="29" t="str">
        <f t="shared" si="29"/>
        <v>01</v>
      </c>
      <c r="J342" s="29" t="s">
        <v>1616</v>
      </c>
      <c r="K342" s="29" t="s">
        <v>1842</v>
      </c>
      <c r="L342" s="29" t="s">
        <v>1843</v>
      </c>
      <c r="M342" s="29" t="s">
        <v>1619</v>
      </c>
      <c r="N342" s="29" t="s">
        <v>1844</v>
      </c>
      <c r="O342" s="29" t="s">
        <v>1771</v>
      </c>
      <c r="P342" s="29" t="s">
        <v>2055</v>
      </c>
      <c r="Q342" s="29" t="s">
        <v>1872</v>
      </c>
      <c r="R342" s="29" t="s">
        <v>2880</v>
      </c>
      <c r="S342" s="29" t="s">
        <v>2850</v>
      </c>
      <c r="T342" s="29" t="s">
        <v>2829</v>
      </c>
      <c r="U342" s="29" t="s">
        <v>790</v>
      </c>
      <c r="V342" s="29" t="s">
        <v>2639</v>
      </c>
      <c r="W342" s="35" t="s">
        <v>1628</v>
      </c>
      <c r="X342" s="35" t="s">
        <v>1850</v>
      </c>
      <c r="Y342" s="35" t="s">
        <v>2881</v>
      </c>
      <c r="Z342" s="35" t="s">
        <v>2851</v>
      </c>
      <c r="AA342" s="35" t="s">
        <v>2641</v>
      </c>
      <c r="AB342" s="29" t="s">
        <v>2831</v>
      </c>
      <c r="AC342" s="35" t="s">
        <v>1633</v>
      </c>
      <c r="AD342" s="35" t="s">
        <v>1634</v>
      </c>
      <c r="AE342" s="35" t="s">
        <v>1634</v>
      </c>
      <c r="AF342" s="35" t="s">
        <v>1635</v>
      </c>
      <c r="AG342" s="35" t="s">
        <v>2634</v>
      </c>
      <c r="AI342" s="35"/>
      <c r="AJ342" s="35" t="s">
        <v>1637</v>
      </c>
      <c r="AK342" s="35" t="s">
        <v>1672</v>
      </c>
      <c r="AL342" s="29" t="s">
        <v>2715</v>
      </c>
      <c r="AM342" s="35"/>
      <c r="AN342" s="35"/>
      <c r="AO342" s="35"/>
      <c r="AP342" s="35"/>
      <c r="AQ342" s="35"/>
      <c r="AS342" s="35"/>
      <c r="AU342" s="35"/>
      <c r="AW342" s="35"/>
      <c r="AY342" s="35"/>
      <c r="AZ342" s="35"/>
      <c r="BA342" s="35"/>
      <c r="BB342" s="29" t="s">
        <v>2927</v>
      </c>
      <c r="BC342" s="29" t="s">
        <v>2347</v>
      </c>
      <c r="BD342" s="29" t="s">
        <v>2739</v>
      </c>
      <c r="BE342" s="29" t="s">
        <v>1805</v>
      </c>
      <c r="BF342" s="29" t="s">
        <v>1919</v>
      </c>
      <c r="BG342" s="29" t="s">
        <v>2936</v>
      </c>
      <c r="BI342" s="35"/>
      <c r="BJ342" s="35"/>
      <c r="BK342" s="29" t="str" cm="1">
        <f t="array" ref="BK342">_xlfn.UNIQUE(MID(BB342,16,14))</f>
        <v>U012UBB01UC002</v>
      </c>
    </row>
    <row r="343" spans="1:63" x14ac:dyDescent="0.3">
      <c r="A343" s="29" t="s">
        <v>2878</v>
      </c>
      <c r="B343" s="36" t="str">
        <f t="shared" si="25"/>
        <v>G01NHA01KF002-QA17</v>
      </c>
      <c r="C343" s="33" t="s">
        <v>2937</v>
      </c>
      <c r="D343" s="34" t="str">
        <f t="shared" si="26"/>
        <v>ELY1 RECT1 CTRL U2 SW 400VAC7 CB ON/OPN</v>
      </c>
      <c r="E343" s="31">
        <f t="shared" si="27"/>
        <v>39</v>
      </c>
      <c r="F343" s="32" t="str">
        <f t="shared" si="28"/>
        <v>ELECTROLYSIS SYSTEM ELECTROLYSIS ARRAY 1 RECTIFIER SYSTEMS RECTIFIER SYSTEM 1 CONTROL UNITS I&amp;C CABINET  2 - RECTIFIER SYSTEM 1 400VAC DISTRIBUTION CHECK BACK ON/OPEN</v>
      </c>
      <c r="G343" s="29" t="s">
        <v>1614</v>
      </c>
      <c r="H343" s="29" t="s">
        <v>1615</v>
      </c>
      <c r="I343" s="29" t="str">
        <f t="shared" si="29"/>
        <v>01</v>
      </c>
      <c r="J343" s="29" t="s">
        <v>1616</v>
      </c>
      <c r="K343" s="29" t="s">
        <v>1842</v>
      </c>
      <c r="L343" s="29" t="s">
        <v>1843</v>
      </c>
      <c r="M343" s="29" t="s">
        <v>1619</v>
      </c>
      <c r="N343" s="29" t="s">
        <v>1844</v>
      </c>
      <c r="O343" s="29" t="s">
        <v>1771</v>
      </c>
      <c r="P343" s="29" t="s">
        <v>2055</v>
      </c>
      <c r="Q343" s="29" t="s">
        <v>1872</v>
      </c>
      <c r="R343" s="29" t="s">
        <v>2880</v>
      </c>
      <c r="S343" s="29" t="s">
        <v>2854</v>
      </c>
      <c r="T343" s="29" t="s">
        <v>2829</v>
      </c>
      <c r="U343" s="29" t="s">
        <v>790</v>
      </c>
      <c r="V343" s="29" t="s">
        <v>2639</v>
      </c>
      <c r="W343" s="35" t="s">
        <v>1628</v>
      </c>
      <c r="X343" s="35" t="s">
        <v>1850</v>
      </c>
      <c r="Y343" s="35" t="s">
        <v>2881</v>
      </c>
      <c r="Z343" s="35" t="s">
        <v>2855</v>
      </c>
      <c r="AA343" s="35" t="s">
        <v>2641</v>
      </c>
      <c r="AB343" s="29" t="s">
        <v>2831</v>
      </c>
      <c r="AC343" s="35" t="s">
        <v>1633</v>
      </c>
      <c r="AD343" s="35" t="s">
        <v>1634</v>
      </c>
      <c r="AE343" s="35" t="s">
        <v>1634</v>
      </c>
      <c r="AF343" s="35" t="s">
        <v>1635</v>
      </c>
      <c r="AG343" s="35" t="s">
        <v>2634</v>
      </c>
      <c r="AI343" s="35"/>
      <c r="AJ343" s="35" t="s">
        <v>1637</v>
      </c>
      <c r="AK343" s="35" t="s">
        <v>1672</v>
      </c>
      <c r="AL343" s="29" t="s">
        <v>2715</v>
      </c>
      <c r="AM343" s="35"/>
      <c r="AN343" s="35"/>
      <c r="AO343" s="35"/>
      <c r="AP343" s="35"/>
      <c r="AQ343" s="35"/>
      <c r="AS343" s="35"/>
      <c r="AU343" s="35"/>
      <c r="AW343" s="35"/>
      <c r="AY343" s="35"/>
      <c r="AZ343" s="35"/>
      <c r="BA343" s="35"/>
      <c r="BB343" s="29" t="s">
        <v>2927</v>
      </c>
      <c r="BC343" s="29" t="s">
        <v>2347</v>
      </c>
      <c r="BD343" s="29" t="s">
        <v>2739</v>
      </c>
      <c r="BE343" s="29" t="s">
        <v>1805</v>
      </c>
      <c r="BF343" s="29" t="s">
        <v>1922</v>
      </c>
      <c r="BG343" s="29" t="s">
        <v>2938</v>
      </c>
      <c r="BI343" s="35"/>
      <c r="BJ343" s="35"/>
      <c r="BK343" s="29" t="str" cm="1">
        <f t="array" ref="BK343">_xlfn.UNIQUE(MID(BB343,16,14))</f>
        <v>U012UBB01UC002</v>
      </c>
    </row>
    <row r="344" spans="1:63" x14ac:dyDescent="0.3">
      <c r="A344" s="29" t="s">
        <v>2878</v>
      </c>
      <c r="B344" s="36" t="str">
        <f t="shared" si="25"/>
        <v>G01NHA01KF002-QA18</v>
      </c>
      <c r="C344" s="33" t="s">
        <v>2939</v>
      </c>
      <c r="D344" s="34" t="str">
        <f t="shared" si="26"/>
        <v>ELY1 RECT1 CTRL U2 SW 400VAC8 CB ON/OPN</v>
      </c>
      <c r="E344" s="31">
        <f t="shared" si="27"/>
        <v>39</v>
      </c>
      <c r="F344" s="32" t="str">
        <f t="shared" si="28"/>
        <v>ELECTROLYSIS SYSTEM ELECTROLYSIS ARRAY 1 RECTIFIER SYSTEMS RECTIFIER SYSTEM 1 CONTROL UNITS I&amp;C CABINET  2 - RECTIFIER SYSTEM 1 400VAC DISTRIBUTION CHECK BACK ON/OPEN</v>
      </c>
      <c r="G344" s="29" t="s">
        <v>1614</v>
      </c>
      <c r="H344" s="29" t="s">
        <v>1615</v>
      </c>
      <c r="I344" s="29" t="str">
        <f t="shared" si="29"/>
        <v>01</v>
      </c>
      <c r="J344" s="29" t="s">
        <v>1616</v>
      </c>
      <c r="K344" s="29" t="s">
        <v>1842</v>
      </c>
      <c r="L344" s="29" t="s">
        <v>1843</v>
      </c>
      <c r="M344" s="29" t="s">
        <v>1619</v>
      </c>
      <c r="N344" s="29" t="s">
        <v>1844</v>
      </c>
      <c r="O344" s="29" t="s">
        <v>1771</v>
      </c>
      <c r="P344" s="29" t="s">
        <v>2055</v>
      </c>
      <c r="Q344" s="29" t="s">
        <v>1872</v>
      </c>
      <c r="R344" s="29" t="s">
        <v>2880</v>
      </c>
      <c r="S344" s="29" t="s">
        <v>2858</v>
      </c>
      <c r="T344" s="29" t="s">
        <v>2829</v>
      </c>
      <c r="U344" s="29" t="s">
        <v>790</v>
      </c>
      <c r="V344" s="29" t="s">
        <v>2639</v>
      </c>
      <c r="W344" s="35" t="s">
        <v>1628</v>
      </c>
      <c r="X344" s="35" t="s">
        <v>1850</v>
      </c>
      <c r="Y344" s="35" t="s">
        <v>2881</v>
      </c>
      <c r="Z344" s="35" t="s">
        <v>2859</v>
      </c>
      <c r="AA344" s="35" t="s">
        <v>2641</v>
      </c>
      <c r="AB344" s="29" t="s">
        <v>2831</v>
      </c>
      <c r="AC344" s="35" t="s">
        <v>1633</v>
      </c>
      <c r="AD344" s="35" t="s">
        <v>1634</v>
      </c>
      <c r="AE344" s="35" t="s">
        <v>1634</v>
      </c>
      <c r="AF344" s="35" t="s">
        <v>1635</v>
      </c>
      <c r="AG344" s="35" t="s">
        <v>2634</v>
      </c>
      <c r="AI344" s="35"/>
      <c r="AJ344" s="35" t="s">
        <v>1637</v>
      </c>
      <c r="AK344" s="35" t="s">
        <v>1672</v>
      </c>
      <c r="AL344" s="29" t="s">
        <v>2715</v>
      </c>
      <c r="AM344" s="35"/>
      <c r="AN344" s="35"/>
      <c r="AO344" s="35"/>
      <c r="AP344" s="35"/>
      <c r="AQ344" s="35"/>
      <c r="AS344" s="35"/>
      <c r="AU344" s="35"/>
      <c r="AW344" s="35"/>
      <c r="AY344" s="35"/>
      <c r="AZ344" s="35"/>
      <c r="BA344" s="35"/>
      <c r="BB344" s="29" t="s">
        <v>2927</v>
      </c>
      <c r="BC344" s="29" t="s">
        <v>2347</v>
      </c>
      <c r="BD344" s="29" t="s">
        <v>2739</v>
      </c>
      <c r="BE344" s="29" t="s">
        <v>1805</v>
      </c>
      <c r="BF344" s="29" t="s">
        <v>1931</v>
      </c>
      <c r="BG344" s="29" t="s">
        <v>2940</v>
      </c>
      <c r="BI344" s="35"/>
      <c r="BJ344" s="35"/>
      <c r="BK344" s="29" t="str" cm="1">
        <f t="array" ref="BK344">_xlfn.UNIQUE(MID(BB344,16,14))</f>
        <v>U012UBB01UC002</v>
      </c>
    </row>
    <row r="345" spans="1:63" x14ac:dyDescent="0.3">
      <c r="A345" s="29" t="s">
        <v>2878</v>
      </c>
      <c r="B345" s="36" t="str">
        <f t="shared" si="25"/>
        <v>G01NHA01KF002-TB01</v>
      </c>
      <c r="C345" s="33" t="s">
        <v>2941</v>
      </c>
      <c r="D345" s="34" t="str">
        <f t="shared" si="26"/>
        <v>ELY1 RECT1 CTRL U2 24VDC MON1 CB ON/OPN</v>
      </c>
      <c r="E345" s="31">
        <f t="shared" si="27"/>
        <v>39</v>
      </c>
      <c r="F345" s="32" t="str">
        <f t="shared" si="28"/>
        <v>ELECTROLYSIS SYSTEM ELECTROLYSIS ARRAY 1 RECTIFIER SYSTEMS RECTIFIER SYSTEM 1 CONTROL UNITS I&amp;C CABINET  2 - RECTIFIER SYSTEM 1 SITOP PSU6200 24 V/20 A CHECK BACK ON/OPEN</v>
      </c>
      <c r="G345" s="29" t="s">
        <v>1614</v>
      </c>
      <c r="H345" s="29" t="s">
        <v>1615</v>
      </c>
      <c r="I345" s="29" t="str">
        <f t="shared" si="29"/>
        <v>01</v>
      </c>
      <c r="J345" s="29" t="s">
        <v>1616</v>
      </c>
      <c r="K345" s="29" t="s">
        <v>1842</v>
      </c>
      <c r="L345" s="29" t="s">
        <v>1843</v>
      </c>
      <c r="M345" s="29" t="s">
        <v>1619</v>
      </c>
      <c r="N345" s="29" t="s">
        <v>1844</v>
      </c>
      <c r="O345" s="29" t="s">
        <v>1771</v>
      </c>
      <c r="P345" s="29" t="s">
        <v>2055</v>
      </c>
      <c r="Q345" s="29" t="s">
        <v>1872</v>
      </c>
      <c r="R345" s="29" t="s">
        <v>2880</v>
      </c>
      <c r="S345" s="29" t="s">
        <v>2870</v>
      </c>
      <c r="T345" s="29" t="s">
        <v>2871</v>
      </c>
      <c r="U345" s="29" t="s">
        <v>790</v>
      </c>
      <c r="V345" s="29" t="s">
        <v>2639</v>
      </c>
      <c r="W345" s="35" t="s">
        <v>1628</v>
      </c>
      <c r="X345" s="35" t="s">
        <v>1850</v>
      </c>
      <c r="Y345" s="35" t="s">
        <v>2881</v>
      </c>
      <c r="Z345" s="35" t="s">
        <v>2872</v>
      </c>
      <c r="AA345" s="35" t="s">
        <v>2641</v>
      </c>
      <c r="AB345" s="29" t="s">
        <v>2870</v>
      </c>
      <c r="AC345" s="35" t="s">
        <v>1633</v>
      </c>
      <c r="AD345" s="35" t="s">
        <v>1634</v>
      </c>
      <c r="AE345" s="35" t="s">
        <v>1634</v>
      </c>
      <c r="AF345" s="35" t="s">
        <v>1635</v>
      </c>
      <c r="AG345" s="35" t="s">
        <v>1670</v>
      </c>
      <c r="AI345" s="35"/>
      <c r="AJ345" s="35" t="s">
        <v>1637</v>
      </c>
      <c r="AK345" s="35" t="s">
        <v>1672</v>
      </c>
      <c r="AL345" s="29" t="s">
        <v>2715</v>
      </c>
      <c r="AM345" s="35"/>
      <c r="AN345" s="35"/>
      <c r="AO345" s="35"/>
      <c r="AP345" s="35"/>
      <c r="AQ345" s="35"/>
      <c r="AS345" s="35"/>
      <c r="AU345" s="35"/>
      <c r="AW345" s="35"/>
      <c r="AY345" s="35"/>
      <c r="AZ345" s="35"/>
      <c r="BA345" s="35"/>
      <c r="BB345" s="29" t="s">
        <v>2927</v>
      </c>
      <c r="BC345" s="29" t="s">
        <v>2347</v>
      </c>
      <c r="BD345" s="29" t="s">
        <v>2739</v>
      </c>
      <c r="BE345" s="29" t="s">
        <v>1805</v>
      </c>
      <c r="BF345" s="29" t="s">
        <v>1936</v>
      </c>
      <c r="BG345" s="29" t="s">
        <v>2942</v>
      </c>
      <c r="BI345" s="35"/>
      <c r="BJ345" s="35"/>
      <c r="BK345" s="29" t="str" cm="1">
        <f t="array" ref="BK345">_xlfn.UNIQUE(MID(BB345,16,14))</f>
        <v>U012UBB01UC002</v>
      </c>
    </row>
    <row r="346" spans="1:63" x14ac:dyDescent="0.3">
      <c r="A346" s="29" t="s">
        <v>2878</v>
      </c>
      <c r="B346" s="36" t="str">
        <f t="shared" si="25"/>
        <v>G01NHA01KF002-TB02</v>
      </c>
      <c r="C346" s="33" t="s">
        <v>2943</v>
      </c>
      <c r="D346" s="34" t="str">
        <f t="shared" si="26"/>
        <v>ELY1 RECT1 CTRL U2 24VDC MON2 CB ON/OPN</v>
      </c>
      <c r="E346" s="31">
        <f t="shared" si="27"/>
        <v>39</v>
      </c>
      <c r="F346" s="32" t="str">
        <f t="shared" si="28"/>
        <v>ELECTROLYSIS SYSTEM ELECTROLYSIS ARRAY 1 RECTIFIER SYSTEMS RECTIFIER SYSTEM 1 CONTROL UNITS I&amp;C CABINET  2 - RECTIFIER SYSTEM 1 SITOP PSU6200 24 V/20 A CHECK BACK ON/OPEN</v>
      </c>
      <c r="G346" s="29" t="s">
        <v>1614</v>
      </c>
      <c r="H346" s="29" t="s">
        <v>1615</v>
      </c>
      <c r="I346" s="29" t="str">
        <f t="shared" si="29"/>
        <v>01</v>
      </c>
      <c r="J346" s="29" t="s">
        <v>1616</v>
      </c>
      <c r="K346" s="29" t="s">
        <v>1842</v>
      </c>
      <c r="L346" s="29" t="s">
        <v>1843</v>
      </c>
      <c r="M346" s="29" t="s">
        <v>1619</v>
      </c>
      <c r="N346" s="29" t="s">
        <v>1844</v>
      </c>
      <c r="O346" s="29" t="s">
        <v>1771</v>
      </c>
      <c r="P346" s="29" t="s">
        <v>2055</v>
      </c>
      <c r="Q346" s="29" t="s">
        <v>1872</v>
      </c>
      <c r="R346" s="29" t="s">
        <v>2880</v>
      </c>
      <c r="S346" s="29" t="s">
        <v>2875</v>
      </c>
      <c r="T346" s="29" t="s">
        <v>2871</v>
      </c>
      <c r="U346" s="29" t="s">
        <v>790</v>
      </c>
      <c r="V346" s="29" t="s">
        <v>2639</v>
      </c>
      <c r="W346" s="35" t="s">
        <v>1628</v>
      </c>
      <c r="X346" s="35" t="s">
        <v>1850</v>
      </c>
      <c r="Y346" s="35" t="s">
        <v>2881</v>
      </c>
      <c r="Z346" s="35" t="s">
        <v>2876</v>
      </c>
      <c r="AA346" s="35" t="s">
        <v>2641</v>
      </c>
      <c r="AB346" s="29" t="s">
        <v>2875</v>
      </c>
      <c r="AC346" s="35" t="s">
        <v>1633</v>
      </c>
      <c r="AD346" s="35" t="s">
        <v>1634</v>
      </c>
      <c r="AE346" s="35" t="s">
        <v>1634</v>
      </c>
      <c r="AF346" s="35" t="s">
        <v>1635</v>
      </c>
      <c r="AG346" s="35" t="s">
        <v>2660</v>
      </c>
      <c r="AI346" s="35"/>
      <c r="AJ346" s="35" t="s">
        <v>1637</v>
      </c>
      <c r="AK346" s="35" t="s">
        <v>1672</v>
      </c>
      <c r="AL346" s="29" t="s">
        <v>2715</v>
      </c>
      <c r="AM346" s="35"/>
      <c r="AN346" s="35"/>
      <c r="AO346" s="35"/>
      <c r="AP346" s="35"/>
      <c r="AQ346" s="35"/>
      <c r="AS346" s="35"/>
      <c r="AU346" s="35"/>
      <c r="AW346" s="35"/>
      <c r="AY346" s="35"/>
      <c r="AZ346" s="35"/>
      <c r="BA346" s="35"/>
      <c r="BB346" s="29" t="s">
        <v>2927</v>
      </c>
      <c r="BC346" s="29" t="s">
        <v>2347</v>
      </c>
      <c r="BD346" s="29" t="s">
        <v>2739</v>
      </c>
      <c r="BE346" s="29" t="s">
        <v>1805</v>
      </c>
      <c r="BF346" s="29" t="s">
        <v>2035</v>
      </c>
      <c r="BG346" s="29" t="s">
        <v>2944</v>
      </c>
      <c r="BI346" s="35"/>
      <c r="BJ346" s="35"/>
      <c r="BK346" s="29" t="str" cm="1">
        <f t="array" ref="BK346">_xlfn.UNIQUE(MID(BB346,16,14))</f>
        <v>U012UBB01UC002</v>
      </c>
    </row>
    <row r="347" spans="1:63" x14ac:dyDescent="0.3">
      <c r="A347" s="29" t="s">
        <v>2945</v>
      </c>
      <c r="B347" s="36" t="str">
        <f t="shared" si="25"/>
        <v>G01NHA01QZ001-QB01</v>
      </c>
      <c r="C347" s="33" t="s">
        <v>2946</v>
      </c>
      <c r="D347" s="34" t="str">
        <f t="shared" si="26"/>
        <v>ELY1 RECT1 DC SWG1 DISC DC+ CB ON/OPN</v>
      </c>
      <c r="E347" s="31">
        <f t="shared" si="27"/>
        <v>37</v>
      </c>
      <c r="F347" s="32" t="str">
        <f t="shared" si="28"/>
        <v>ELECTROLYSIS SYSTEM ELECTROLYSIS ARRAY 1 RECTIFIER SYSTEMS RECTIFIER SYSTEM 1 DC-SWITCHGEAR DC-SWITCHGEAR 1 DISCONNECTOR - DC+ CHECK BACK ON/OPEN</v>
      </c>
      <c r="G347" s="29" t="s">
        <v>1614</v>
      </c>
      <c r="H347" s="29" t="s">
        <v>1615</v>
      </c>
      <c r="I347" s="29" t="str">
        <f t="shared" si="29"/>
        <v>01</v>
      </c>
      <c r="J347" s="29" t="s">
        <v>1616</v>
      </c>
      <c r="K347" s="29" t="s">
        <v>1842</v>
      </c>
      <c r="L347" s="29" t="s">
        <v>1843</v>
      </c>
      <c r="M347" s="29" t="s">
        <v>1619</v>
      </c>
      <c r="N347" s="29" t="s">
        <v>1844</v>
      </c>
      <c r="O347" s="29" t="s">
        <v>2947</v>
      </c>
      <c r="P347" s="29" t="s">
        <v>2948</v>
      </c>
      <c r="Q347" s="29" t="s">
        <v>1623</v>
      </c>
      <c r="R347" s="29" t="s">
        <v>2949</v>
      </c>
      <c r="S347" s="29" t="s">
        <v>2950</v>
      </c>
      <c r="T347" s="29" t="s">
        <v>2951</v>
      </c>
      <c r="U347" s="29" t="s">
        <v>790</v>
      </c>
      <c r="V347" s="29" t="s">
        <v>2639</v>
      </c>
      <c r="W347" s="35" t="s">
        <v>1628</v>
      </c>
      <c r="X347" s="35" t="s">
        <v>1850</v>
      </c>
      <c r="Y347" s="35" t="s">
        <v>2952</v>
      </c>
      <c r="Z347" s="35" t="s">
        <v>2953</v>
      </c>
      <c r="AA347" s="35" t="s">
        <v>2641</v>
      </c>
      <c r="AB347" s="29" t="s">
        <v>2653</v>
      </c>
      <c r="AC347" s="35" t="s">
        <v>1633</v>
      </c>
      <c r="AD347" s="35" t="s">
        <v>1634</v>
      </c>
      <c r="AE347" s="35" t="s">
        <v>1634</v>
      </c>
      <c r="AF347" s="35" t="s">
        <v>1635</v>
      </c>
      <c r="AG347" s="35" t="s">
        <v>2634</v>
      </c>
      <c r="AI347" s="35"/>
      <c r="AJ347" s="35" t="s">
        <v>1637</v>
      </c>
      <c r="AK347" s="35" t="s">
        <v>1638</v>
      </c>
      <c r="AL347" s="29" t="s">
        <v>2954</v>
      </c>
      <c r="AM347" s="35"/>
      <c r="AN347" s="35"/>
      <c r="AO347" s="35"/>
      <c r="AP347" s="35"/>
      <c r="AQ347" s="35"/>
      <c r="AS347" s="35"/>
      <c r="AU347" s="35"/>
      <c r="AW347" s="35"/>
      <c r="AY347" s="35"/>
      <c r="AZ347" s="35" t="s">
        <v>1642</v>
      </c>
      <c r="BA347" s="35"/>
      <c r="BB347" s="29" t="s">
        <v>2654</v>
      </c>
      <c r="BC347" s="29" t="s">
        <v>1644</v>
      </c>
      <c r="BD347" s="29" t="s">
        <v>2955</v>
      </c>
      <c r="BE347" s="29" t="s">
        <v>2956</v>
      </c>
      <c r="BF347" s="29" t="s">
        <v>1905</v>
      </c>
      <c r="BG347" s="29" t="s">
        <v>2957</v>
      </c>
      <c r="BI347" s="35"/>
      <c r="BJ347" s="35"/>
      <c r="BK347" s="29" t="str" cm="1">
        <f t="array" ref="BK347">_xlfn.UNIQUE(MID(BB347,16,14))</f>
        <v>U012UBB01UC001</v>
      </c>
    </row>
    <row r="348" spans="1:63" x14ac:dyDescent="0.3">
      <c r="A348" s="29" t="s">
        <v>2945</v>
      </c>
      <c r="B348" s="36" t="str">
        <f t="shared" si="25"/>
        <v>G01NHA01QZ001-QB01</v>
      </c>
      <c r="C348" s="33" t="s">
        <v>2958</v>
      </c>
      <c r="D348" s="34" t="str">
        <f t="shared" si="26"/>
        <v>ELY1 RECT1 DC SWG1 DISC DC+ CB OFF/CLD</v>
      </c>
      <c r="E348" s="31">
        <f t="shared" si="27"/>
        <v>38</v>
      </c>
      <c r="F348" s="32" t="str">
        <f t="shared" si="28"/>
        <v>ELECTROLYSIS SYSTEM ELECTROLYSIS ARRAY 1 RECTIFIER SYSTEMS RECTIFIER SYSTEM 1 DC-SWITCHGEAR DC-SWITCHGEAR 1 DISCONNECTOR - DC+ CHECK BACK OFF/CLOSED</v>
      </c>
      <c r="G348" s="29" t="s">
        <v>1614</v>
      </c>
      <c r="H348" s="29" t="s">
        <v>1615</v>
      </c>
      <c r="I348" s="29" t="str">
        <f t="shared" si="29"/>
        <v>01</v>
      </c>
      <c r="J348" s="29" t="s">
        <v>1616</v>
      </c>
      <c r="K348" s="29" t="s">
        <v>1842</v>
      </c>
      <c r="L348" s="29" t="s">
        <v>1843</v>
      </c>
      <c r="M348" s="29" t="s">
        <v>1619</v>
      </c>
      <c r="N348" s="29" t="s">
        <v>1844</v>
      </c>
      <c r="O348" s="29" t="s">
        <v>2947</v>
      </c>
      <c r="P348" s="29" t="s">
        <v>2948</v>
      </c>
      <c r="Q348" s="29" t="s">
        <v>1623</v>
      </c>
      <c r="R348" s="29" t="s">
        <v>2949</v>
      </c>
      <c r="S348" s="29" t="s">
        <v>2950</v>
      </c>
      <c r="T348" s="29" t="s">
        <v>2951</v>
      </c>
      <c r="U348" s="29" t="s">
        <v>363</v>
      </c>
      <c r="V348" s="29" t="s">
        <v>2645</v>
      </c>
      <c r="W348" s="35" t="s">
        <v>1628</v>
      </c>
      <c r="X348" s="35" t="s">
        <v>1850</v>
      </c>
      <c r="Y348" s="35" t="s">
        <v>2952</v>
      </c>
      <c r="Z348" s="35" t="s">
        <v>2953</v>
      </c>
      <c r="AA348" s="35" t="s">
        <v>2646</v>
      </c>
      <c r="AB348" s="29" t="s">
        <v>2653</v>
      </c>
      <c r="AC348" s="35" t="s">
        <v>1633</v>
      </c>
      <c r="AD348" s="35" t="s">
        <v>1634</v>
      </c>
      <c r="AE348" s="35" t="s">
        <v>1634</v>
      </c>
      <c r="AF348" s="35" t="s">
        <v>1635</v>
      </c>
      <c r="AG348" s="35" t="s">
        <v>2634</v>
      </c>
      <c r="AI348" s="35"/>
      <c r="AJ348" s="35" t="s">
        <v>1637</v>
      </c>
      <c r="AK348" s="35" t="s">
        <v>1638</v>
      </c>
      <c r="AL348" s="29" t="s">
        <v>2954</v>
      </c>
      <c r="AM348" s="35"/>
      <c r="AN348" s="35"/>
      <c r="AO348" s="35"/>
      <c r="AP348" s="35"/>
      <c r="AQ348" s="35"/>
      <c r="AS348" s="35"/>
      <c r="AU348" s="35"/>
      <c r="AW348" s="35"/>
      <c r="AY348" s="35"/>
      <c r="AZ348" s="35" t="s">
        <v>1642</v>
      </c>
      <c r="BA348" s="35"/>
      <c r="BB348" s="29" t="s">
        <v>2654</v>
      </c>
      <c r="BC348" s="29" t="s">
        <v>1644</v>
      </c>
      <c r="BD348" s="29" t="s">
        <v>1913</v>
      </c>
      <c r="BE348" s="29" t="s">
        <v>2959</v>
      </c>
      <c r="BF348" s="29" t="s">
        <v>2016</v>
      </c>
      <c r="BG348" s="29" t="s">
        <v>2957</v>
      </c>
      <c r="BI348" s="35"/>
      <c r="BJ348" s="35"/>
      <c r="BK348" s="29" t="str" cm="1">
        <f t="array" ref="BK348">_xlfn.UNIQUE(MID(BB348,16,14))</f>
        <v>U012UBB01UC001</v>
      </c>
    </row>
    <row r="349" spans="1:63" x14ac:dyDescent="0.3">
      <c r="A349" s="29" t="s">
        <v>2945</v>
      </c>
      <c r="B349" s="36" t="str">
        <f t="shared" si="25"/>
        <v>G01NHA01QZ001-QB02</v>
      </c>
      <c r="C349" s="33" t="s">
        <v>2960</v>
      </c>
      <c r="D349" s="34" t="str">
        <f t="shared" si="26"/>
        <v>ELY1 RECT1 DC SWG1 DISC DC- CB ON/OPN</v>
      </c>
      <c r="E349" s="31">
        <f t="shared" si="27"/>
        <v>37</v>
      </c>
      <c r="F349" s="32" t="str">
        <f t="shared" si="28"/>
        <v>ELECTROLYSIS SYSTEM ELECTROLYSIS ARRAY 1 RECTIFIER SYSTEMS RECTIFIER SYSTEM 1 DC-SWITCHGEAR DC-SWITCHGEAR 1 DISCONNECTOR - DC- CHECK BACK ON/OPEN</v>
      </c>
      <c r="G349" s="29" t="s">
        <v>1614</v>
      </c>
      <c r="H349" s="29" t="s">
        <v>1615</v>
      </c>
      <c r="I349" s="29" t="str">
        <f t="shared" si="29"/>
        <v>01</v>
      </c>
      <c r="J349" s="29" t="s">
        <v>1616</v>
      </c>
      <c r="K349" s="29" t="s">
        <v>1842</v>
      </c>
      <c r="L349" s="29" t="s">
        <v>1843</v>
      </c>
      <c r="M349" s="29" t="s">
        <v>1619</v>
      </c>
      <c r="N349" s="29" t="s">
        <v>1844</v>
      </c>
      <c r="O349" s="29" t="s">
        <v>2947</v>
      </c>
      <c r="P349" s="29" t="s">
        <v>2948</v>
      </c>
      <c r="Q349" s="29" t="s">
        <v>1623</v>
      </c>
      <c r="R349" s="29" t="s">
        <v>2949</v>
      </c>
      <c r="S349" s="29" t="s">
        <v>2961</v>
      </c>
      <c r="T349" s="29" t="s">
        <v>2962</v>
      </c>
      <c r="U349" s="29" t="s">
        <v>790</v>
      </c>
      <c r="V349" s="29" t="s">
        <v>2639</v>
      </c>
      <c r="W349" s="35" t="s">
        <v>1628</v>
      </c>
      <c r="X349" s="35" t="s">
        <v>1850</v>
      </c>
      <c r="Y349" s="35" t="s">
        <v>2952</v>
      </c>
      <c r="Z349" s="35" t="s">
        <v>2963</v>
      </c>
      <c r="AA349" s="35" t="s">
        <v>2641</v>
      </c>
      <c r="AB349" s="29" t="s">
        <v>2653</v>
      </c>
      <c r="AC349" s="35" t="s">
        <v>1633</v>
      </c>
      <c r="AD349" s="35" t="s">
        <v>1634</v>
      </c>
      <c r="AE349" s="35" t="s">
        <v>1634</v>
      </c>
      <c r="AF349" s="35" t="s">
        <v>1635</v>
      </c>
      <c r="AG349" s="35" t="s">
        <v>2634</v>
      </c>
      <c r="AI349" s="35"/>
      <c r="AJ349" s="35" t="s">
        <v>1637</v>
      </c>
      <c r="AK349" s="35" t="s">
        <v>1638</v>
      </c>
      <c r="AL349" s="29" t="s">
        <v>2954</v>
      </c>
      <c r="AM349" s="35"/>
      <c r="AN349" s="35"/>
      <c r="AO349" s="35"/>
      <c r="AP349" s="35"/>
      <c r="AQ349" s="35"/>
      <c r="AS349" s="35"/>
      <c r="AU349" s="35"/>
      <c r="AW349" s="35"/>
      <c r="AY349" s="35"/>
      <c r="AZ349" s="35" t="s">
        <v>1642</v>
      </c>
      <c r="BA349" s="35"/>
      <c r="BB349" s="29" t="s">
        <v>2654</v>
      </c>
      <c r="BC349" s="29" t="s">
        <v>1644</v>
      </c>
      <c r="BD349" s="29" t="s">
        <v>2964</v>
      </c>
      <c r="BE349" s="29" t="s">
        <v>2016</v>
      </c>
      <c r="BF349" s="29" t="s">
        <v>1909</v>
      </c>
      <c r="BG349" s="29" t="s">
        <v>2965</v>
      </c>
      <c r="BI349" s="35"/>
      <c r="BJ349" s="35"/>
      <c r="BK349" s="29" t="str" cm="1">
        <f t="array" ref="BK349">_xlfn.UNIQUE(MID(BB349,16,14))</f>
        <v>U012UBB01UC001</v>
      </c>
    </row>
    <row r="350" spans="1:63" x14ac:dyDescent="0.3">
      <c r="A350" s="29" t="s">
        <v>2945</v>
      </c>
      <c r="B350" s="36" t="str">
        <f t="shared" si="25"/>
        <v>G01NHA01QZ001-QB02</v>
      </c>
      <c r="C350" s="33" t="s">
        <v>2966</v>
      </c>
      <c r="D350" s="34" t="str">
        <f t="shared" si="26"/>
        <v>ELY1 RECT1 DC SWG1 DISC DC- CB OFF/CLD</v>
      </c>
      <c r="E350" s="31">
        <f t="shared" si="27"/>
        <v>38</v>
      </c>
      <c r="F350" s="32" t="str">
        <f t="shared" si="28"/>
        <v>ELECTROLYSIS SYSTEM ELECTROLYSIS ARRAY 1 RECTIFIER SYSTEMS RECTIFIER SYSTEM 1 DC-SWITCHGEAR DC-SWITCHGEAR 1 DISCONNECTOR - DC- CHECK BACK OFF/CLOSED</v>
      </c>
      <c r="G350" s="29" t="s">
        <v>1614</v>
      </c>
      <c r="H350" s="29" t="s">
        <v>1615</v>
      </c>
      <c r="I350" s="29" t="str">
        <f t="shared" si="29"/>
        <v>01</v>
      </c>
      <c r="J350" s="29" t="s">
        <v>1616</v>
      </c>
      <c r="K350" s="29" t="s">
        <v>1842</v>
      </c>
      <c r="L350" s="29" t="s">
        <v>1843</v>
      </c>
      <c r="M350" s="29" t="s">
        <v>1619</v>
      </c>
      <c r="N350" s="29" t="s">
        <v>1844</v>
      </c>
      <c r="O350" s="29" t="s">
        <v>2947</v>
      </c>
      <c r="P350" s="29" t="s">
        <v>2948</v>
      </c>
      <c r="Q350" s="29" t="s">
        <v>1623</v>
      </c>
      <c r="R350" s="29" t="s">
        <v>2949</v>
      </c>
      <c r="S350" s="29" t="s">
        <v>2961</v>
      </c>
      <c r="T350" s="29" t="s">
        <v>2962</v>
      </c>
      <c r="U350" s="29" t="s">
        <v>363</v>
      </c>
      <c r="V350" s="29" t="s">
        <v>2645</v>
      </c>
      <c r="W350" s="35" t="s">
        <v>1628</v>
      </c>
      <c r="X350" s="35" t="s">
        <v>1850</v>
      </c>
      <c r="Y350" s="35" t="s">
        <v>2952</v>
      </c>
      <c r="Z350" s="35" t="s">
        <v>2963</v>
      </c>
      <c r="AA350" s="35" t="s">
        <v>2646</v>
      </c>
      <c r="AB350" s="29" t="s">
        <v>2653</v>
      </c>
      <c r="AC350" s="35" t="s">
        <v>1633</v>
      </c>
      <c r="AD350" s="35" t="s">
        <v>1634</v>
      </c>
      <c r="AE350" s="35" t="s">
        <v>1634</v>
      </c>
      <c r="AF350" s="35" t="s">
        <v>1635</v>
      </c>
      <c r="AG350" s="35" t="s">
        <v>2634</v>
      </c>
      <c r="AI350" s="35"/>
      <c r="AJ350" s="35" t="s">
        <v>1637</v>
      </c>
      <c r="AK350" s="35" t="s">
        <v>1638</v>
      </c>
      <c r="AL350" s="29" t="s">
        <v>2954</v>
      </c>
      <c r="AM350" s="35"/>
      <c r="AN350" s="35"/>
      <c r="AO350" s="35"/>
      <c r="AP350" s="35"/>
      <c r="AQ350" s="35"/>
      <c r="AS350" s="35"/>
      <c r="AU350" s="35"/>
      <c r="AW350" s="35"/>
      <c r="AY350" s="35"/>
      <c r="AZ350" s="35" t="s">
        <v>1642</v>
      </c>
      <c r="BA350" s="35"/>
      <c r="BB350" s="29" t="s">
        <v>2654</v>
      </c>
      <c r="BC350" s="29" t="s">
        <v>1644</v>
      </c>
      <c r="BD350" s="29" t="s">
        <v>2967</v>
      </c>
      <c r="BE350" s="29" t="s">
        <v>2341</v>
      </c>
      <c r="BF350" s="29" t="s">
        <v>2341</v>
      </c>
      <c r="BG350" s="29" t="s">
        <v>2965</v>
      </c>
      <c r="BI350" s="35"/>
      <c r="BJ350" s="35"/>
      <c r="BK350" s="29" t="str" cm="1">
        <f t="array" ref="BK350">_xlfn.UNIQUE(MID(BB350,16,14))</f>
        <v>U012UBB01UC001</v>
      </c>
    </row>
    <row r="351" spans="1:63" x14ac:dyDescent="0.3">
      <c r="A351" s="29" t="s">
        <v>2968</v>
      </c>
      <c r="B351" s="36" t="str">
        <f t="shared" si="25"/>
        <v>G01NHA01QZ002-QB01</v>
      </c>
      <c r="C351" s="33" t="s">
        <v>2969</v>
      </c>
      <c r="D351" s="34" t="str">
        <f t="shared" si="26"/>
        <v>ELY1 RECT1 DC SWG2 DISC DC+ CB ON/OPN</v>
      </c>
      <c r="E351" s="31">
        <f t="shared" si="27"/>
        <v>37</v>
      </c>
      <c r="F351" s="32" t="str">
        <f t="shared" si="28"/>
        <v>ELECTROLYSIS SYSTEM ELECTROLYSIS ARRAY 1 RECTIFIER SYSTEMS RECTIFIER SYSTEM 1 DC-SWITCHGEAR DC-SWITCHGEAR 2 DISCONNECTOR - DC+ CHECK BACK ON/OPEN</v>
      </c>
      <c r="G351" s="29" t="s">
        <v>1614</v>
      </c>
      <c r="H351" s="29" t="s">
        <v>1615</v>
      </c>
      <c r="I351" s="29" t="str">
        <f t="shared" si="29"/>
        <v>01</v>
      </c>
      <c r="J351" s="29" t="s">
        <v>1616</v>
      </c>
      <c r="K351" s="29" t="s">
        <v>1842</v>
      </c>
      <c r="L351" s="29" t="s">
        <v>1843</v>
      </c>
      <c r="M351" s="29" t="s">
        <v>1619</v>
      </c>
      <c r="N351" s="29" t="s">
        <v>1844</v>
      </c>
      <c r="O351" s="29" t="s">
        <v>2947</v>
      </c>
      <c r="P351" s="29" t="s">
        <v>2948</v>
      </c>
      <c r="Q351" s="29" t="s">
        <v>1872</v>
      </c>
      <c r="R351" s="29" t="s">
        <v>2970</v>
      </c>
      <c r="S351" s="29" t="s">
        <v>2950</v>
      </c>
      <c r="T351" s="29" t="s">
        <v>2951</v>
      </c>
      <c r="U351" s="29" t="s">
        <v>790</v>
      </c>
      <c r="V351" s="29" t="s">
        <v>2639</v>
      </c>
      <c r="W351" s="35" t="s">
        <v>1628</v>
      </c>
      <c r="X351" s="35" t="s">
        <v>1850</v>
      </c>
      <c r="Y351" s="35" t="s">
        <v>2971</v>
      </c>
      <c r="Z351" s="35" t="s">
        <v>2953</v>
      </c>
      <c r="AA351" s="35" t="s">
        <v>2641</v>
      </c>
      <c r="AB351" s="29" t="s">
        <v>2653</v>
      </c>
      <c r="AC351" s="35" t="s">
        <v>1633</v>
      </c>
      <c r="AD351" s="35" t="s">
        <v>1634</v>
      </c>
      <c r="AE351" s="35" t="s">
        <v>1634</v>
      </c>
      <c r="AF351" s="35" t="s">
        <v>1635</v>
      </c>
      <c r="AG351" s="35" t="s">
        <v>2634</v>
      </c>
      <c r="AI351" s="35"/>
      <c r="AJ351" s="35" t="s">
        <v>1637</v>
      </c>
      <c r="AK351" s="35" t="s">
        <v>1638</v>
      </c>
      <c r="AL351" s="29" t="s">
        <v>2954</v>
      </c>
      <c r="AM351" s="35"/>
      <c r="AN351" s="35"/>
      <c r="AO351" s="35"/>
      <c r="AP351" s="35"/>
      <c r="AQ351" s="35"/>
      <c r="AS351" s="35"/>
      <c r="AU351" s="35"/>
      <c r="AW351" s="35"/>
      <c r="AY351" s="35"/>
      <c r="AZ351" s="35" t="s">
        <v>1642</v>
      </c>
      <c r="BA351" s="35"/>
      <c r="BB351" s="29" t="s">
        <v>2654</v>
      </c>
      <c r="BC351" s="29" t="s">
        <v>1644</v>
      </c>
      <c r="BD351" s="29" t="s">
        <v>2955</v>
      </c>
      <c r="BE351" s="29" t="s">
        <v>2972</v>
      </c>
      <c r="BF351" s="29" t="s">
        <v>1915</v>
      </c>
      <c r="BG351" s="29" t="s">
        <v>2973</v>
      </c>
      <c r="BI351" s="35"/>
      <c r="BJ351" s="35"/>
      <c r="BK351" s="29" t="str" cm="1">
        <f t="array" ref="BK351">_xlfn.UNIQUE(MID(BB351,16,14))</f>
        <v>U012UBB01UC001</v>
      </c>
    </row>
    <row r="352" spans="1:63" x14ac:dyDescent="0.3">
      <c r="A352" s="29" t="s">
        <v>2968</v>
      </c>
      <c r="B352" s="36" t="str">
        <f t="shared" si="25"/>
        <v>G01NHA01QZ002-QB01</v>
      </c>
      <c r="C352" s="33" t="s">
        <v>2974</v>
      </c>
      <c r="D352" s="34" t="str">
        <f t="shared" si="26"/>
        <v>ELY1 RECT1 DC SWG2 DISC DC+ CB OFF/CLD</v>
      </c>
      <c r="E352" s="31">
        <f t="shared" si="27"/>
        <v>38</v>
      </c>
      <c r="F352" s="32" t="str">
        <f t="shared" si="28"/>
        <v>ELECTROLYSIS SYSTEM ELECTROLYSIS ARRAY 1 RECTIFIER SYSTEMS RECTIFIER SYSTEM 1 DC-SWITCHGEAR DC-SWITCHGEAR 2 DISCONNECTOR - DC+ CHECK BACK OFF/CLOSED</v>
      </c>
      <c r="G352" s="29" t="s">
        <v>1614</v>
      </c>
      <c r="H352" s="29" t="s">
        <v>1615</v>
      </c>
      <c r="I352" s="29" t="str">
        <f t="shared" si="29"/>
        <v>01</v>
      </c>
      <c r="J352" s="29" t="s">
        <v>1616</v>
      </c>
      <c r="K352" s="29" t="s">
        <v>1842</v>
      </c>
      <c r="L352" s="29" t="s">
        <v>1843</v>
      </c>
      <c r="M352" s="29" t="s">
        <v>1619</v>
      </c>
      <c r="N352" s="29" t="s">
        <v>1844</v>
      </c>
      <c r="O352" s="29" t="s">
        <v>2947</v>
      </c>
      <c r="P352" s="29" t="s">
        <v>2948</v>
      </c>
      <c r="Q352" s="29" t="s">
        <v>1872</v>
      </c>
      <c r="R352" s="29" t="s">
        <v>2970</v>
      </c>
      <c r="S352" s="29" t="s">
        <v>2950</v>
      </c>
      <c r="T352" s="29" t="s">
        <v>2951</v>
      </c>
      <c r="U352" s="29" t="s">
        <v>363</v>
      </c>
      <c r="V352" s="29" t="s">
        <v>2645</v>
      </c>
      <c r="W352" s="35" t="s">
        <v>1628</v>
      </c>
      <c r="X352" s="35" t="s">
        <v>1850</v>
      </c>
      <c r="Y352" s="35" t="s">
        <v>2971</v>
      </c>
      <c r="Z352" s="35" t="s">
        <v>2953</v>
      </c>
      <c r="AA352" s="35" t="s">
        <v>2646</v>
      </c>
      <c r="AB352" s="29" t="s">
        <v>2653</v>
      </c>
      <c r="AC352" s="35" t="s">
        <v>1633</v>
      </c>
      <c r="AD352" s="35" t="s">
        <v>1634</v>
      </c>
      <c r="AE352" s="35" t="s">
        <v>1634</v>
      </c>
      <c r="AF352" s="35" t="s">
        <v>1635</v>
      </c>
      <c r="AG352" s="35" t="s">
        <v>2634</v>
      </c>
      <c r="AI352" s="35"/>
      <c r="AJ352" s="35" t="s">
        <v>1637</v>
      </c>
      <c r="AK352" s="35" t="s">
        <v>1638</v>
      </c>
      <c r="AL352" s="29" t="s">
        <v>2954</v>
      </c>
      <c r="AM352" s="35"/>
      <c r="AN352" s="35"/>
      <c r="AO352" s="35"/>
      <c r="AP352" s="35"/>
      <c r="AQ352" s="35"/>
      <c r="AS352" s="35"/>
      <c r="AU352" s="35"/>
      <c r="AW352" s="35"/>
      <c r="AY352" s="35"/>
      <c r="AZ352" s="35" t="s">
        <v>1642</v>
      </c>
      <c r="BA352" s="35"/>
      <c r="BB352" s="29" t="s">
        <v>2654</v>
      </c>
      <c r="BC352" s="29" t="s">
        <v>1644</v>
      </c>
      <c r="BD352" s="29" t="s">
        <v>1913</v>
      </c>
      <c r="BE352" s="29" t="s">
        <v>2959</v>
      </c>
      <c r="BF352" s="29" t="s">
        <v>2388</v>
      </c>
      <c r="BG352" s="29" t="s">
        <v>2973</v>
      </c>
      <c r="BI352" s="35"/>
      <c r="BJ352" s="35"/>
      <c r="BK352" s="29" t="str" cm="1">
        <f t="array" ref="BK352">_xlfn.UNIQUE(MID(BB352,16,14))</f>
        <v>U012UBB01UC001</v>
      </c>
    </row>
    <row r="353" spans="1:63" x14ac:dyDescent="0.3">
      <c r="A353" s="29" t="s">
        <v>2968</v>
      </c>
      <c r="B353" s="36" t="str">
        <f t="shared" si="25"/>
        <v>G01NHA01QZ002-QB02</v>
      </c>
      <c r="C353" s="33" t="s">
        <v>2975</v>
      </c>
      <c r="D353" s="34" t="str">
        <f t="shared" si="26"/>
        <v>ELY1 RECT1 DC SWG2 DISC DC- CB ON/OPN</v>
      </c>
      <c r="E353" s="31">
        <f t="shared" si="27"/>
        <v>37</v>
      </c>
      <c r="F353" s="32" t="str">
        <f t="shared" si="28"/>
        <v>ELECTROLYSIS SYSTEM ELECTROLYSIS ARRAY 1 RECTIFIER SYSTEMS RECTIFIER SYSTEM 1 DC-SWITCHGEAR DC-SWITCHGEAR 2 DISCONNECTOR - DC- CHECK BACK ON/OPEN</v>
      </c>
      <c r="G353" s="29" t="s">
        <v>1614</v>
      </c>
      <c r="H353" s="29" t="s">
        <v>1615</v>
      </c>
      <c r="I353" s="29" t="str">
        <f t="shared" si="29"/>
        <v>01</v>
      </c>
      <c r="J353" s="29" t="s">
        <v>1616</v>
      </c>
      <c r="K353" s="29" t="s">
        <v>1842</v>
      </c>
      <c r="L353" s="29" t="s">
        <v>1843</v>
      </c>
      <c r="M353" s="29" t="s">
        <v>1619</v>
      </c>
      <c r="N353" s="29" t="s">
        <v>1844</v>
      </c>
      <c r="O353" s="29" t="s">
        <v>2947</v>
      </c>
      <c r="P353" s="29" t="s">
        <v>2948</v>
      </c>
      <c r="Q353" s="29" t="s">
        <v>1872</v>
      </c>
      <c r="R353" s="29" t="s">
        <v>2970</v>
      </c>
      <c r="S353" s="29" t="s">
        <v>2961</v>
      </c>
      <c r="T353" s="29" t="s">
        <v>2962</v>
      </c>
      <c r="U353" s="29" t="s">
        <v>790</v>
      </c>
      <c r="V353" s="29" t="s">
        <v>2639</v>
      </c>
      <c r="W353" s="35" t="s">
        <v>1628</v>
      </c>
      <c r="X353" s="35" t="s">
        <v>1850</v>
      </c>
      <c r="Y353" s="35" t="s">
        <v>2971</v>
      </c>
      <c r="Z353" s="35" t="s">
        <v>2963</v>
      </c>
      <c r="AA353" s="35" t="s">
        <v>2641</v>
      </c>
      <c r="AB353" s="29" t="s">
        <v>2653</v>
      </c>
      <c r="AC353" s="35" t="s">
        <v>1633</v>
      </c>
      <c r="AD353" s="35" t="s">
        <v>1634</v>
      </c>
      <c r="AE353" s="35" t="s">
        <v>1634</v>
      </c>
      <c r="AF353" s="35" t="s">
        <v>1635</v>
      </c>
      <c r="AG353" s="35" t="s">
        <v>2634</v>
      </c>
      <c r="AI353" s="35"/>
      <c r="AJ353" s="35" t="s">
        <v>1637</v>
      </c>
      <c r="AK353" s="35" t="s">
        <v>1638</v>
      </c>
      <c r="AL353" s="29" t="s">
        <v>2954</v>
      </c>
      <c r="AM353" s="35"/>
      <c r="AN353" s="35"/>
      <c r="AO353" s="35"/>
      <c r="AP353" s="35"/>
      <c r="AQ353" s="35"/>
      <c r="AS353" s="35"/>
      <c r="AU353" s="35"/>
      <c r="AW353" s="35"/>
      <c r="AY353" s="35"/>
      <c r="AZ353" s="35" t="s">
        <v>1642</v>
      </c>
      <c r="BA353" s="35"/>
      <c r="BB353" s="29" t="s">
        <v>2654</v>
      </c>
      <c r="BC353" s="29" t="s">
        <v>1644</v>
      </c>
      <c r="BD353" s="29" t="s">
        <v>2964</v>
      </c>
      <c r="BE353" s="29" t="s">
        <v>2016</v>
      </c>
      <c r="BF353" s="29" t="s">
        <v>1919</v>
      </c>
      <c r="BG353" s="29" t="s">
        <v>2976</v>
      </c>
      <c r="BI353" s="35"/>
      <c r="BJ353" s="35"/>
      <c r="BK353" s="29" t="str" cm="1">
        <f t="array" ref="BK353">_xlfn.UNIQUE(MID(BB353,16,14))</f>
        <v>U012UBB01UC001</v>
      </c>
    </row>
    <row r="354" spans="1:63" x14ac:dyDescent="0.3">
      <c r="A354" s="29" t="s">
        <v>2968</v>
      </c>
      <c r="B354" s="36" t="str">
        <f t="shared" si="25"/>
        <v>G01NHA01QZ002-QB02</v>
      </c>
      <c r="C354" s="33" t="s">
        <v>2977</v>
      </c>
      <c r="D354" s="34" t="str">
        <f t="shared" si="26"/>
        <v>ELY1 RECT1 DC SWG2 DISC DC- CB OFF/CLD</v>
      </c>
      <c r="E354" s="31">
        <f t="shared" si="27"/>
        <v>38</v>
      </c>
      <c r="F354" s="32" t="str">
        <f t="shared" si="28"/>
        <v>ELECTROLYSIS SYSTEM ELECTROLYSIS ARRAY 1 RECTIFIER SYSTEMS RECTIFIER SYSTEM 1 DC-SWITCHGEAR DC-SWITCHGEAR 2 DISCONNECTOR - DC- CHECK BACK OFF/CLOSED</v>
      </c>
      <c r="G354" s="29" t="s">
        <v>1614</v>
      </c>
      <c r="H354" s="29" t="s">
        <v>1615</v>
      </c>
      <c r="I354" s="29" t="str">
        <f t="shared" si="29"/>
        <v>01</v>
      </c>
      <c r="J354" s="29" t="s">
        <v>1616</v>
      </c>
      <c r="K354" s="29" t="s">
        <v>1842</v>
      </c>
      <c r="L354" s="29" t="s">
        <v>1843</v>
      </c>
      <c r="M354" s="29" t="s">
        <v>1619</v>
      </c>
      <c r="N354" s="29" t="s">
        <v>1844</v>
      </c>
      <c r="O354" s="29" t="s">
        <v>2947</v>
      </c>
      <c r="P354" s="29" t="s">
        <v>2948</v>
      </c>
      <c r="Q354" s="29" t="s">
        <v>1872</v>
      </c>
      <c r="R354" s="29" t="s">
        <v>2970</v>
      </c>
      <c r="S354" s="29" t="s">
        <v>2961</v>
      </c>
      <c r="T354" s="29" t="s">
        <v>2962</v>
      </c>
      <c r="U354" s="29" t="s">
        <v>363</v>
      </c>
      <c r="V354" s="29" t="s">
        <v>2645</v>
      </c>
      <c r="W354" s="35" t="s">
        <v>1628</v>
      </c>
      <c r="X354" s="35" t="s">
        <v>1850</v>
      </c>
      <c r="Y354" s="35" t="s">
        <v>2971</v>
      </c>
      <c r="Z354" s="35" t="s">
        <v>2963</v>
      </c>
      <c r="AA354" s="35" t="s">
        <v>2646</v>
      </c>
      <c r="AB354" s="29" t="s">
        <v>2653</v>
      </c>
      <c r="AC354" s="35" t="s">
        <v>1633</v>
      </c>
      <c r="AD354" s="35" t="s">
        <v>1634</v>
      </c>
      <c r="AE354" s="35" t="s">
        <v>1634</v>
      </c>
      <c r="AF354" s="35" t="s">
        <v>1635</v>
      </c>
      <c r="AG354" s="35" t="s">
        <v>2634</v>
      </c>
      <c r="AI354" s="35"/>
      <c r="AJ354" s="35" t="s">
        <v>1637</v>
      </c>
      <c r="AK354" s="35" t="s">
        <v>1638</v>
      </c>
      <c r="AL354" s="29" t="s">
        <v>2954</v>
      </c>
      <c r="AM354" s="35"/>
      <c r="AN354" s="35"/>
      <c r="AO354" s="35"/>
      <c r="AP354" s="35"/>
      <c r="AQ354" s="35"/>
      <c r="AS354" s="35"/>
      <c r="AU354" s="35"/>
      <c r="AW354" s="35"/>
      <c r="AY354" s="35"/>
      <c r="AZ354" s="35" t="s">
        <v>1642</v>
      </c>
      <c r="BA354" s="35"/>
      <c r="BB354" s="29" t="s">
        <v>2654</v>
      </c>
      <c r="BC354" s="29" t="s">
        <v>1644</v>
      </c>
      <c r="BD354" s="29" t="s">
        <v>2967</v>
      </c>
      <c r="BE354" s="29" t="s">
        <v>2341</v>
      </c>
      <c r="BF354" s="29" t="s">
        <v>2978</v>
      </c>
      <c r="BG354" s="29" t="s">
        <v>2976</v>
      </c>
      <c r="BI354" s="35"/>
      <c r="BJ354" s="35"/>
      <c r="BK354" s="29" t="str" cm="1">
        <f t="array" ref="BK354">_xlfn.UNIQUE(MID(BB354,16,14))</f>
        <v>U012UBB01UC001</v>
      </c>
    </row>
    <row r="355" spans="1:63" x14ac:dyDescent="0.3">
      <c r="A355" s="29" t="s">
        <v>2979</v>
      </c>
      <c r="B355" s="36" t="str">
        <f t="shared" si="25"/>
        <v>G01NHA01QZ003-QB01</v>
      </c>
      <c r="C355" s="33" t="s">
        <v>2980</v>
      </c>
      <c r="D355" s="34" t="str">
        <f t="shared" si="26"/>
        <v>ELY1 RECT1 DC SWG3 DISC DC+ CB ON/OPN</v>
      </c>
      <c r="E355" s="31">
        <f t="shared" si="27"/>
        <v>37</v>
      </c>
      <c r="F355" s="32" t="str">
        <f t="shared" si="28"/>
        <v>ELECTROLYSIS SYSTEM ELECTROLYSIS ARRAY 1 RECTIFIER SYSTEMS RECTIFIER SYSTEM 1 DC-SWITCHGEAR DC-SWITCHGEAR 3 DISCONNECTOR - DC+ CHECK BACK ON/OPEN</v>
      </c>
      <c r="G355" s="29" t="s">
        <v>1614</v>
      </c>
      <c r="H355" s="29" t="s">
        <v>1615</v>
      </c>
      <c r="I355" s="29" t="str">
        <f t="shared" si="29"/>
        <v>01</v>
      </c>
      <c r="J355" s="29" t="s">
        <v>1616</v>
      </c>
      <c r="K355" s="29" t="s">
        <v>1842</v>
      </c>
      <c r="L355" s="29" t="s">
        <v>1843</v>
      </c>
      <c r="M355" s="29" t="s">
        <v>1619</v>
      </c>
      <c r="N355" s="29" t="s">
        <v>1844</v>
      </c>
      <c r="O355" s="29" t="s">
        <v>2947</v>
      </c>
      <c r="P355" s="29" t="s">
        <v>2948</v>
      </c>
      <c r="Q355" s="29" t="s">
        <v>1830</v>
      </c>
      <c r="R355" s="29" t="s">
        <v>2981</v>
      </c>
      <c r="S355" s="29" t="s">
        <v>2950</v>
      </c>
      <c r="T355" s="29" t="s">
        <v>2951</v>
      </c>
      <c r="U355" s="29" t="s">
        <v>790</v>
      </c>
      <c r="V355" s="29" t="s">
        <v>2639</v>
      </c>
      <c r="W355" s="35" t="s">
        <v>1628</v>
      </c>
      <c r="X355" s="35" t="s">
        <v>1850</v>
      </c>
      <c r="Y355" s="35" t="s">
        <v>2982</v>
      </c>
      <c r="Z355" s="35" t="s">
        <v>2953</v>
      </c>
      <c r="AA355" s="35" t="s">
        <v>2641</v>
      </c>
      <c r="AB355" s="29" t="s">
        <v>2653</v>
      </c>
      <c r="AC355" s="35" t="s">
        <v>1633</v>
      </c>
      <c r="AD355" s="35" t="s">
        <v>1634</v>
      </c>
      <c r="AE355" s="35" t="s">
        <v>1634</v>
      </c>
      <c r="AF355" s="35" t="s">
        <v>1635</v>
      </c>
      <c r="AG355" s="35" t="s">
        <v>2634</v>
      </c>
      <c r="AI355" s="35"/>
      <c r="AJ355" s="35" t="s">
        <v>1637</v>
      </c>
      <c r="AK355" s="35" t="s">
        <v>1638</v>
      </c>
      <c r="AL355" s="29" t="s">
        <v>2954</v>
      </c>
      <c r="AM355" s="35"/>
      <c r="AN355" s="35"/>
      <c r="AO355" s="35"/>
      <c r="AP355" s="35"/>
      <c r="AQ355" s="35"/>
      <c r="AS355" s="35"/>
      <c r="AU355" s="35"/>
      <c r="AW355" s="35"/>
      <c r="AY355" s="35"/>
      <c r="AZ355" s="35" t="s">
        <v>1642</v>
      </c>
      <c r="BA355" s="35"/>
      <c r="BB355" s="29" t="s">
        <v>2680</v>
      </c>
      <c r="BC355" s="29" t="s">
        <v>1644</v>
      </c>
      <c r="BD355" s="29" t="s">
        <v>2955</v>
      </c>
      <c r="BE355" s="29" t="s">
        <v>2972</v>
      </c>
      <c r="BF355" s="29" t="s">
        <v>1619</v>
      </c>
      <c r="BG355" s="29" t="s">
        <v>2983</v>
      </c>
      <c r="BI355" s="35"/>
      <c r="BJ355" s="35"/>
      <c r="BK355" s="29" t="str" cm="1">
        <f t="array" ref="BK355">_xlfn.UNIQUE(MID(BB355,16,14))</f>
        <v>U012UBB01UC002</v>
      </c>
    </row>
    <row r="356" spans="1:63" x14ac:dyDescent="0.3">
      <c r="A356" s="29" t="s">
        <v>2979</v>
      </c>
      <c r="B356" s="36" t="str">
        <f t="shared" si="25"/>
        <v>G01NHA01QZ003-QB01</v>
      </c>
      <c r="C356" s="33" t="s">
        <v>2984</v>
      </c>
      <c r="D356" s="34" t="str">
        <f t="shared" si="26"/>
        <v>ELY1 RECT1 DC SWG3 DISC DC+ CB OFF/CLD</v>
      </c>
      <c r="E356" s="31">
        <f t="shared" si="27"/>
        <v>38</v>
      </c>
      <c r="F356" s="32" t="str">
        <f t="shared" si="28"/>
        <v>ELECTROLYSIS SYSTEM ELECTROLYSIS ARRAY 1 RECTIFIER SYSTEMS RECTIFIER SYSTEM 1 DC-SWITCHGEAR DC-SWITCHGEAR 3 DISCONNECTOR - DC+ CHECK BACK OFF/CLOSED</v>
      </c>
      <c r="G356" s="29" t="s">
        <v>1614</v>
      </c>
      <c r="H356" s="29" t="s">
        <v>1615</v>
      </c>
      <c r="I356" s="29" t="str">
        <f t="shared" si="29"/>
        <v>01</v>
      </c>
      <c r="J356" s="29" t="s">
        <v>1616</v>
      </c>
      <c r="K356" s="29" t="s">
        <v>1842</v>
      </c>
      <c r="L356" s="29" t="s">
        <v>1843</v>
      </c>
      <c r="M356" s="29" t="s">
        <v>1619</v>
      </c>
      <c r="N356" s="29" t="s">
        <v>1844</v>
      </c>
      <c r="O356" s="29" t="s">
        <v>2947</v>
      </c>
      <c r="P356" s="29" t="s">
        <v>2948</v>
      </c>
      <c r="Q356" s="29" t="s">
        <v>1830</v>
      </c>
      <c r="R356" s="29" t="s">
        <v>2981</v>
      </c>
      <c r="S356" s="29" t="s">
        <v>2950</v>
      </c>
      <c r="T356" s="29" t="s">
        <v>2951</v>
      </c>
      <c r="U356" s="29" t="s">
        <v>363</v>
      </c>
      <c r="V356" s="29" t="s">
        <v>2645</v>
      </c>
      <c r="W356" s="35" t="s">
        <v>1628</v>
      </c>
      <c r="X356" s="35" t="s">
        <v>1850</v>
      </c>
      <c r="Y356" s="35" t="s">
        <v>2982</v>
      </c>
      <c r="Z356" s="35" t="s">
        <v>2953</v>
      </c>
      <c r="AA356" s="35" t="s">
        <v>2646</v>
      </c>
      <c r="AB356" s="29" t="s">
        <v>2653</v>
      </c>
      <c r="AC356" s="35" t="s">
        <v>1633</v>
      </c>
      <c r="AD356" s="35" t="s">
        <v>1634</v>
      </c>
      <c r="AE356" s="35" t="s">
        <v>1634</v>
      </c>
      <c r="AF356" s="35" t="s">
        <v>1635</v>
      </c>
      <c r="AG356" s="35" t="s">
        <v>2634</v>
      </c>
      <c r="AI356" s="35"/>
      <c r="AJ356" s="35" t="s">
        <v>1637</v>
      </c>
      <c r="AK356" s="35" t="s">
        <v>1638</v>
      </c>
      <c r="AL356" s="29" t="s">
        <v>2954</v>
      </c>
      <c r="AM356" s="35"/>
      <c r="AN356" s="35"/>
      <c r="AO356" s="35"/>
      <c r="AP356" s="35"/>
      <c r="AQ356" s="35"/>
      <c r="AS356" s="35"/>
      <c r="AU356" s="35"/>
      <c r="AW356" s="35"/>
      <c r="AY356" s="35"/>
      <c r="AZ356" s="35" t="s">
        <v>1642</v>
      </c>
      <c r="BA356" s="35"/>
      <c r="BB356" s="29" t="s">
        <v>2680</v>
      </c>
      <c r="BC356" s="29" t="s">
        <v>1644</v>
      </c>
      <c r="BD356" s="29" t="s">
        <v>1913</v>
      </c>
      <c r="BE356" s="29" t="s">
        <v>2959</v>
      </c>
      <c r="BF356" s="29" t="s">
        <v>2051</v>
      </c>
      <c r="BG356" s="29" t="s">
        <v>2983</v>
      </c>
      <c r="BI356" s="35"/>
      <c r="BJ356" s="35"/>
      <c r="BK356" s="29" t="str" cm="1">
        <f t="array" ref="BK356">_xlfn.UNIQUE(MID(BB356,16,14))</f>
        <v>U012UBB01UC002</v>
      </c>
    </row>
    <row r="357" spans="1:63" x14ac:dyDescent="0.3">
      <c r="A357" s="29" t="s">
        <v>2979</v>
      </c>
      <c r="B357" s="36" t="str">
        <f t="shared" si="25"/>
        <v>G01NHA01QZ003-QB02</v>
      </c>
      <c r="C357" s="33" t="s">
        <v>2985</v>
      </c>
      <c r="D357" s="34" t="str">
        <f t="shared" si="26"/>
        <v>ELY1 RECT1 DC SWG3 DISC DC- CB ON/OPN</v>
      </c>
      <c r="E357" s="31">
        <f t="shared" si="27"/>
        <v>37</v>
      </c>
      <c r="F357" s="32" t="str">
        <f t="shared" si="28"/>
        <v>ELECTROLYSIS SYSTEM ELECTROLYSIS ARRAY 1 RECTIFIER SYSTEMS RECTIFIER SYSTEM 1 DC-SWITCHGEAR DC-SWITCHGEAR 3 DISCONNECTOR - DC- CHECK BACK ON/OPEN</v>
      </c>
      <c r="G357" s="29" t="s">
        <v>1614</v>
      </c>
      <c r="H357" s="29" t="s">
        <v>1615</v>
      </c>
      <c r="I357" s="29" t="str">
        <f t="shared" si="29"/>
        <v>01</v>
      </c>
      <c r="J357" s="29" t="s">
        <v>1616</v>
      </c>
      <c r="K357" s="29" t="s">
        <v>1842</v>
      </c>
      <c r="L357" s="29" t="s">
        <v>1843</v>
      </c>
      <c r="M357" s="29" t="s">
        <v>1619</v>
      </c>
      <c r="N357" s="29" t="s">
        <v>1844</v>
      </c>
      <c r="O357" s="29" t="s">
        <v>2947</v>
      </c>
      <c r="P357" s="29" t="s">
        <v>2948</v>
      </c>
      <c r="Q357" s="29" t="s">
        <v>1830</v>
      </c>
      <c r="R357" s="29" t="s">
        <v>2981</v>
      </c>
      <c r="S357" s="29" t="s">
        <v>2961</v>
      </c>
      <c r="T357" s="29" t="s">
        <v>2962</v>
      </c>
      <c r="U357" s="29" t="s">
        <v>790</v>
      </c>
      <c r="V357" s="29" t="s">
        <v>2639</v>
      </c>
      <c r="W357" s="35" t="s">
        <v>1628</v>
      </c>
      <c r="X357" s="35" t="s">
        <v>1850</v>
      </c>
      <c r="Y357" s="35" t="s">
        <v>2982</v>
      </c>
      <c r="Z357" s="35" t="s">
        <v>2963</v>
      </c>
      <c r="AA357" s="35" t="s">
        <v>2641</v>
      </c>
      <c r="AB357" s="29" t="s">
        <v>2653</v>
      </c>
      <c r="AC357" s="35" t="s">
        <v>1633</v>
      </c>
      <c r="AD357" s="35" t="s">
        <v>1634</v>
      </c>
      <c r="AE357" s="35" t="s">
        <v>1634</v>
      </c>
      <c r="AF357" s="35" t="s">
        <v>1635</v>
      </c>
      <c r="AG357" s="35" t="s">
        <v>2634</v>
      </c>
      <c r="AI357" s="35"/>
      <c r="AJ357" s="35" t="s">
        <v>1637</v>
      </c>
      <c r="AK357" s="35" t="s">
        <v>1638</v>
      </c>
      <c r="AL357" s="29" t="s">
        <v>2954</v>
      </c>
      <c r="AM357" s="35"/>
      <c r="AN357" s="35"/>
      <c r="AO357" s="35"/>
      <c r="AP357" s="35"/>
      <c r="AQ357" s="35"/>
      <c r="AS357" s="35"/>
      <c r="AU357" s="35"/>
      <c r="AW357" s="35"/>
      <c r="AY357" s="35"/>
      <c r="AZ357" s="35" t="s">
        <v>1642</v>
      </c>
      <c r="BA357" s="35"/>
      <c r="BB357" s="29" t="s">
        <v>2680</v>
      </c>
      <c r="BC357" s="29" t="s">
        <v>1644</v>
      </c>
      <c r="BD357" s="29" t="s">
        <v>2964</v>
      </c>
      <c r="BE357" s="29" t="s">
        <v>2051</v>
      </c>
      <c r="BF357" s="29" t="s">
        <v>1905</v>
      </c>
      <c r="BG357" s="29" t="s">
        <v>2986</v>
      </c>
      <c r="BI357" s="35"/>
      <c r="BJ357" s="35"/>
      <c r="BK357" s="29" t="str" cm="1">
        <f t="array" ref="BK357">_xlfn.UNIQUE(MID(BB357,16,14))</f>
        <v>U012UBB01UC002</v>
      </c>
    </row>
    <row r="358" spans="1:63" x14ac:dyDescent="0.3">
      <c r="A358" s="29" t="s">
        <v>2979</v>
      </c>
      <c r="B358" s="36" t="str">
        <f t="shared" si="25"/>
        <v>G01NHA01QZ003-QB02</v>
      </c>
      <c r="C358" s="33" t="s">
        <v>2987</v>
      </c>
      <c r="D358" s="34" t="str">
        <f t="shared" si="26"/>
        <v>ELY1 RECT1 DC SWG3 DISC DC- CB OFF/CLD</v>
      </c>
      <c r="E358" s="31">
        <f t="shared" si="27"/>
        <v>38</v>
      </c>
      <c r="F358" s="32" t="str">
        <f t="shared" si="28"/>
        <v>ELECTROLYSIS SYSTEM ELECTROLYSIS ARRAY 1 RECTIFIER SYSTEMS RECTIFIER SYSTEM 1 DC-SWITCHGEAR DC-SWITCHGEAR 3 DISCONNECTOR - DC- CHECK BACK OFF/CLOSED</v>
      </c>
      <c r="G358" s="29" t="s">
        <v>1614</v>
      </c>
      <c r="H358" s="29" t="s">
        <v>1615</v>
      </c>
      <c r="I358" s="29" t="str">
        <f t="shared" si="29"/>
        <v>01</v>
      </c>
      <c r="J358" s="29" t="s">
        <v>1616</v>
      </c>
      <c r="K358" s="29" t="s">
        <v>1842</v>
      </c>
      <c r="L358" s="29" t="s">
        <v>1843</v>
      </c>
      <c r="M358" s="29" t="s">
        <v>1619</v>
      </c>
      <c r="N358" s="29" t="s">
        <v>1844</v>
      </c>
      <c r="O358" s="29" t="s">
        <v>2947</v>
      </c>
      <c r="P358" s="29" t="s">
        <v>2948</v>
      </c>
      <c r="Q358" s="29" t="s">
        <v>1830</v>
      </c>
      <c r="R358" s="29" t="s">
        <v>2981</v>
      </c>
      <c r="S358" s="29" t="s">
        <v>2961</v>
      </c>
      <c r="T358" s="29" t="s">
        <v>2962</v>
      </c>
      <c r="U358" s="29" t="s">
        <v>363</v>
      </c>
      <c r="V358" s="29" t="s">
        <v>2645</v>
      </c>
      <c r="W358" s="35" t="s">
        <v>1628</v>
      </c>
      <c r="X358" s="35" t="s">
        <v>1850</v>
      </c>
      <c r="Y358" s="35" t="s">
        <v>2982</v>
      </c>
      <c r="Z358" s="35" t="s">
        <v>2963</v>
      </c>
      <c r="AA358" s="35" t="s">
        <v>2646</v>
      </c>
      <c r="AB358" s="29" t="s">
        <v>2653</v>
      </c>
      <c r="AC358" s="35" t="s">
        <v>1633</v>
      </c>
      <c r="AD358" s="35" t="s">
        <v>1634</v>
      </c>
      <c r="AE358" s="35" t="s">
        <v>1634</v>
      </c>
      <c r="AF358" s="35" t="s">
        <v>1635</v>
      </c>
      <c r="AG358" s="35" t="s">
        <v>2634</v>
      </c>
      <c r="AI358" s="35"/>
      <c r="AJ358" s="35" t="s">
        <v>1637</v>
      </c>
      <c r="AK358" s="35" t="s">
        <v>1638</v>
      </c>
      <c r="AL358" s="29" t="s">
        <v>2954</v>
      </c>
      <c r="AM358" s="35"/>
      <c r="AN358" s="35"/>
      <c r="AO358" s="35"/>
      <c r="AP358" s="35"/>
      <c r="AQ358" s="35"/>
      <c r="AS358" s="35"/>
      <c r="AU358" s="35"/>
      <c r="AW358" s="35"/>
      <c r="AY358" s="35"/>
      <c r="AZ358" s="35" t="s">
        <v>1642</v>
      </c>
      <c r="BA358" s="35"/>
      <c r="BB358" s="29" t="s">
        <v>2680</v>
      </c>
      <c r="BC358" s="29" t="s">
        <v>1644</v>
      </c>
      <c r="BD358" s="29" t="s">
        <v>2967</v>
      </c>
      <c r="BE358" s="29" t="s">
        <v>2341</v>
      </c>
      <c r="BF358" s="29" t="s">
        <v>2016</v>
      </c>
      <c r="BG358" s="29" t="s">
        <v>2986</v>
      </c>
      <c r="BI358" s="35"/>
      <c r="BJ358" s="35"/>
      <c r="BK358" s="29" t="str" cm="1">
        <f t="array" ref="BK358">_xlfn.UNIQUE(MID(BB358,16,14))</f>
        <v>U012UBB01UC002</v>
      </c>
    </row>
    <row r="359" spans="1:63" x14ac:dyDescent="0.3">
      <c r="A359" s="29" t="s">
        <v>2988</v>
      </c>
      <c r="B359" s="36" t="str">
        <f t="shared" si="25"/>
        <v>G01NHA01QZ004-QB01</v>
      </c>
      <c r="C359" s="33" t="s">
        <v>2989</v>
      </c>
      <c r="D359" s="34" t="str">
        <f t="shared" si="26"/>
        <v>ELY1 RECT1 DC SWG4 DISC DC+ CB ON/OPN</v>
      </c>
      <c r="E359" s="31">
        <f t="shared" si="27"/>
        <v>37</v>
      </c>
      <c r="F359" s="32" t="str">
        <f t="shared" si="28"/>
        <v>ELECTROLYSIS SYSTEM ELECTROLYSIS ARRAY 1 RECTIFIER SYSTEMS RECTIFIER SYSTEM 1 DC-SWITCHGEAR DC-SWITCHGEAR 4 DISCONNECTOR - DC+ CHECK BACK ON/OPEN</v>
      </c>
      <c r="G359" s="29" t="s">
        <v>1614</v>
      </c>
      <c r="H359" s="29" t="s">
        <v>1615</v>
      </c>
      <c r="I359" s="29" t="str">
        <f t="shared" si="29"/>
        <v>01</v>
      </c>
      <c r="J359" s="29" t="s">
        <v>1616</v>
      </c>
      <c r="K359" s="29" t="s">
        <v>1842</v>
      </c>
      <c r="L359" s="29" t="s">
        <v>1843</v>
      </c>
      <c r="M359" s="29" t="s">
        <v>1619</v>
      </c>
      <c r="N359" s="29" t="s">
        <v>1844</v>
      </c>
      <c r="O359" s="29" t="s">
        <v>2947</v>
      </c>
      <c r="P359" s="29" t="s">
        <v>2948</v>
      </c>
      <c r="Q359" s="29" t="s">
        <v>1838</v>
      </c>
      <c r="R359" s="29" t="s">
        <v>2990</v>
      </c>
      <c r="S359" s="29" t="s">
        <v>2950</v>
      </c>
      <c r="T359" s="29" t="s">
        <v>2951</v>
      </c>
      <c r="U359" s="29" t="s">
        <v>790</v>
      </c>
      <c r="V359" s="29" t="s">
        <v>2639</v>
      </c>
      <c r="W359" s="35" t="s">
        <v>1628</v>
      </c>
      <c r="X359" s="35" t="s">
        <v>1850</v>
      </c>
      <c r="Y359" s="35" t="s">
        <v>2991</v>
      </c>
      <c r="Z359" s="35" t="s">
        <v>2953</v>
      </c>
      <c r="AA359" s="35" t="s">
        <v>2641</v>
      </c>
      <c r="AB359" s="29" t="s">
        <v>2653</v>
      </c>
      <c r="AC359" s="35" t="s">
        <v>1633</v>
      </c>
      <c r="AD359" s="35" t="s">
        <v>1634</v>
      </c>
      <c r="AE359" s="35" t="s">
        <v>1634</v>
      </c>
      <c r="AF359" s="35" t="s">
        <v>1635</v>
      </c>
      <c r="AG359" s="35" t="s">
        <v>2634</v>
      </c>
      <c r="AI359" s="35"/>
      <c r="AJ359" s="35" t="s">
        <v>1637</v>
      </c>
      <c r="AK359" s="35" t="s">
        <v>1638</v>
      </c>
      <c r="AL359" s="29" t="s">
        <v>2954</v>
      </c>
      <c r="AM359" s="35"/>
      <c r="AN359" s="35"/>
      <c r="AO359" s="35"/>
      <c r="AP359" s="35"/>
      <c r="AQ359" s="35"/>
      <c r="AS359" s="35"/>
      <c r="AU359" s="35"/>
      <c r="AW359" s="35"/>
      <c r="AY359" s="35"/>
      <c r="AZ359" s="35" t="s">
        <v>1642</v>
      </c>
      <c r="BA359" s="35"/>
      <c r="BB359" s="29" t="s">
        <v>2680</v>
      </c>
      <c r="BC359" s="29" t="s">
        <v>1644</v>
      </c>
      <c r="BD359" s="29" t="s">
        <v>2955</v>
      </c>
      <c r="BE359" s="29" t="s">
        <v>2972</v>
      </c>
      <c r="BF359" s="29" t="s">
        <v>1909</v>
      </c>
      <c r="BG359" s="29" t="s">
        <v>2992</v>
      </c>
      <c r="BI359" s="35"/>
      <c r="BJ359" s="35"/>
      <c r="BK359" s="29" t="str" cm="1">
        <f t="array" ref="BK359">_xlfn.UNIQUE(MID(BB359,16,14))</f>
        <v>U012UBB01UC002</v>
      </c>
    </row>
    <row r="360" spans="1:63" x14ac:dyDescent="0.3">
      <c r="A360" s="29" t="s">
        <v>2988</v>
      </c>
      <c r="B360" s="36" t="str">
        <f t="shared" si="25"/>
        <v>G01NHA01QZ004-QB01</v>
      </c>
      <c r="C360" s="33" t="s">
        <v>2993</v>
      </c>
      <c r="D360" s="34" t="str">
        <f t="shared" si="26"/>
        <v>ELY1 RECT1 DC SWG4 DISC DC+ CB OFF/CLD</v>
      </c>
      <c r="E360" s="31">
        <f t="shared" si="27"/>
        <v>38</v>
      </c>
      <c r="F360" s="32" t="str">
        <f t="shared" si="28"/>
        <v>ELECTROLYSIS SYSTEM ELECTROLYSIS ARRAY 1 RECTIFIER SYSTEMS RECTIFIER SYSTEM 1 DC-SWITCHGEAR DC-SWITCHGEAR 4 DISCONNECTOR - DC+ CHECK BACK OFF/CLOSED</v>
      </c>
      <c r="G360" s="29" t="s">
        <v>1614</v>
      </c>
      <c r="H360" s="29" t="s">
        <v>1615</v>
      </c>
      <c r="I360" s="29" t="str">
        <f t="shared" si="29"/>
        <v>01</v>
      </c>
      <c r="J360" s="29" t="s">
        <v>1616</v>
      </c>
      <c r="K360" s="29" t="s">
        <v>1842</v>
      </c>
      <c r="L360" s="29" t="s">
        <v>1843</v>
      </c>
      <c r="M360" s="29" t="s">
        <v>1619</v>
      </c>
      <c r="N360" s="29" t="s">
        <v>1844</v>
      </c>
      <c r="O360" s="29" t="s">
        <v>2947</v>
      </c>
      <c r="P360" s="29" t="s">
        <v>2948</v>
      </c>
      <c r="Q360" s="29" t="s">
        <v>1838</v>
      </c>
      <c r="R360" s="29" t="s">
        <v>2990</v>
      </c>
      <c r="S360" s="29" t="s">
        <v>2950</v>
      </c>
      <c r="T360" s="29" t="s">
        <v>2951</v>
      </c>
      <c r="U360" s="29" t="s">
        <v>363</v>
      </c>
      <c r="V360" s="29" t="s">
        <v>2645</v>
      </c>
      <c r="W360" s="35" t="s">
        <v>1628</v>
      </c>
      <c r="X360" s="35" t="s">
        <v>1850</v>
      </c>
      <c r="Y360" s="35" t="s">
        <v>2991</v>
      </c>
      <c r="Z360" s="35" t="s">
        <v>2953</v>
      </c>
      <c r="AA360" s="35" t="s">
        <v>2646</v>
      </c>
      <c r="AB360" s="29" t="s">
        <v>2653</v>
      </c>
      <c r="AC360" s="35" t="s">
        <v>1633</v>
      </c>
      <c r="AD360" s="35" t="s">
        <v>1634</v>
      </c>
      <c r="AE360" s="35" t="s">
        <v>1634</v>
      </c>
      <c r="AF360" s="35" t="s">
        <v>1635</v>
      </c>
      <c r="AG360" s="35" t="s">
        <v>2634</v>
      </c>
      <c r="AI360" s="35"/>
      <c r="AJ360" s="35" t="s">
        <v>1637</v>
      </c>
      <c r="AK360" s="35" t="s">
        <v>1638</v>
      </c>
      <c r="AL360" s="29" t="s">
        <v>2954</v>
      </c>
      <c r="AM360" s="35"/>
      <c r="AN360" s="35"/>
      <c r="AO360" s="35"/>
      <c r="AP360" s="35"/>
      <c r="AQ360" s="35"/>
      <c r="AS360" s="35"/>
      <c r="AU360" s="35"/>
      <c r="AW360" s="35"/>
      <c r="AY360" s="35"/>
      <c r="AZ360" s="35" t="s">
        <v>1642</v>
      </c>
      <c r="BA360" s="35"/>
      <c r="BB360" s="29" t="s">
        <v>2680</v>
      </c>
      <c r="BC360" s="29" t="s">
        <v>1644</v>
      </c>
      <c r="BD360" s="29" t="s">
        <v>1913</v>
      </c>
      <c r="BE360" s="29" t="s">
        <v>2959</v>
      </c>
      <c r="BF360" s="29" t="s">
        <v>2341</v>
      </c>
      <c r="BG360" s="29" t="s">
        <v>2992</v>
      </c>
      <c r="BI360" s="35"/>
      <c r="BJ360" s="35"/>
      <c r="BK360" s="29" t="str" cm="1">
        <f t="array" ref="BK360">_xlfn.UNIQUE(MID(BB360,16,14))</f>
        <v>U012UBB01UC002</v>
      </c>
    </row>
    <row r="361" spans="1:63" x14ac:dyDescent="0.3">
      <c r="A361" s="29" t="s">
        <v>2988</v>
      </c>
      <c r="B361" s="36" t="str">
        <f t="shared" si="25"/>
        <v>G01NHA01QZ004-QB02</v>
      </c>
      <c r="C361" s="33" t="s">
        <v>2994</v>
      </c>
      <c r="D361" s="34" t="str">
        <f t="shared" si="26"/>
        <v>ELY1 RECT1 DC SWG4 DISC DC- CB ON/OPN</v>
      </c>
      <c r="E361" s="31">
        <f t="shared" si="27"/>
        <v>37</v>
      </c>
      <c r="F361" s="32" t="str">
        <f t="shared" si="28"/>
        <v>ELECTROLYSIS SYSTEM ELECTROLYSIS ARRAY 1 RECTIFIER SYSTEMS RECTIFIER SYSTEM 1 DC-SWITCHGEAR DC-SWITCHGEAR 4 DISCONNECTOR - DC- CHECK BACK ON/OPEN</v>
      </c>
      <c r="G361" s="29" t="s">
        <v>1614</v>
      </c>
      <c r="H361" s="29" t="s">
        <v>1615</v>
      </c>
      <c r="I361" s="29" t="str">
        <f t="shared" si="29"/>
        <v>01</v>
      </c>
      <c r="J361" s="29" t="s">
        <v>1616</v>
      </c>
      <c r="K361" s="29" t="s">
        <v>1842</v>
      </c>
      <c r="L361" s="29" t="s">
        <v>1843</v>
      </c>
      <c r="M361" s="29" t="s">
        <v>1619</v>
      </c>
      <c r="N361" s="29" t="s">
        <v>1844</v>
      </c>
      <c r="O361" s="29" t="s">
        <v>2947</v>
      </c>
      <c r="P361" s="29" t="s">
        <v>2948</v>
      </c>
      <c r="Q361" s="29" t="s">
        <v>1838</v>
      </c>
      <c r="R361" s="29" t="s">
        <v>2990</v>
      </c>
      <c r="S361" s="29" t="s">
        <v>2961</v>
      </c>
      <c r="T361" s="29" t="s">
        <v>2962</v>
      </c>
      <c r="U361" s="29" t="s">
        <v>790</v>
      </c>
      <c r="V361" s="29" t="s">
        <v>2639</v>
      </c>
      <c r="W361" s="35" t="s">
        <v>1628</v>
      </c>
      <c r="X361" s="35" t="s">
        <v>1850</v>
      </c>
      <c r="Y361" s="35" t="s">
        <v>2991</v>
      </c>
      <c r="Z361" s="35" t="s">
        <v>2963</v>
      </c>
      <c r="AA361" s="35" t="s">
        <v>2641</v>
      </c>
      <c r="AB361" s="29" t="s">
        <v>2653</v>
      </c>
      <c r="AC361" s="35" t="s">
        <v>1633</v>
      </c>
      <c r="AD361" s="35" t="s">
        <v>1634</v>
      </c>
      <c r="AE361" s="35" t="s">
        <v>1634</v>
      </c>
      <c r="AF361" s="35" t="s">
        <v>1635</v>
      </c>
      <c r="AG361" s="35" t="s">
        <v>2634</v>
      </c>
      <c r="AI361" s="35"/>
      <c r="AJ361" s="35" t="s">
        <v>1637</v>
      </c>
      <c r="AK361" s="35" t="s">
        <v>1638</v>
      </c>
      <c r="AL361" s="29" t="s">
        <v>2954</v>
      </c>
      <c r="AM361" s="35"/>
      <c r="AN361" s="35"/>
      <c r="AO361" s="35"/>
      <c r="AP361" s="35"/>
      <c r="AQ361" s="35"/>
      <c r="AS361" s="35"/>
      <c r="AU361" s="35"/>
      <c r="AW361" s="35"/>
      <c r="AY361" s="35"/>
      <c r="AZ361" s="35" t="s">
        <v>1642</v>
      </c>
      <c r="BA361" s="35"/>
      <c r="BB361" s="29" t="s">
        <v>2680</v>
      </c>
      <c r="BC361" s="29" t="s">
        <v>1644</v>
      </c>
      <c r="BD361" s="29" t="s">
        <v>2964</v>
      </c>
      <c r="BE361" s="29" t="s">
        <v>2051</v>
      </c>
      <c r="BF361" s="29" t="s">
        <v>1915</v>
      </c>
      <c r="BG361" s="29" t="s">
        <v>2995</v>
      </c>
      <c r="BI361" s="35"/>
      <c r="BJ361" s="35"/>
      <c r="BK361" s="29" t="str" cm="1">
        <f t="array" ref="BK361">_xlfn.UNIQUE(MID(BB361,16,14))</f>
        <v>U012UBB01UC002</v>
      </c>
    </row>
    <row r="362" spans="1:63" x14ac:dyDescent="0.3">
      <c r="A362" s="29" t="s">
        <v>2988</v>
      </c>
      <c r="B362" s="36" t="str">
        <f t="shared" si="25"/>
        <v>G01NHA01QZ004-QB02</v>
      </c>
      <c r="C362" s="33" t="s">
        <v>2996</v>
      </c>
      <c r="D362" s="34" t="str">
        <f t="shared" si="26"/>
        <v>ELY1 RECT1 DC SWG4 DISC DC- CB OFF/CLD</v>
      </c>
      <c r="E362" s="31">
        <f t="shared" si="27"/>
        <v>38</v>
      </c>
      <c r="F362" s="32" t="str">
        <f t="shared" si="28"/>
        <v>ELECTROLYSIS SYSTEM ELECTROLYSIS ARRAY 1 RECTIFIER SYSTEMS RECTIFIER SYSTEM 1 DC-SWITCHGEAR DC-SWITCHGEAR 4 DISCONNECTOR - DC- CHECK BACK OFF/CLOSED</v>
      </c>
      <c r="G362" s="29" t="s">
        <v>1614</v>
      </c>
      <c r="H362" s="29" t="s">
        <v>1615</v>
      </c>
      <c r="I362" s="29" t="str">
        <f t="shared" si="29"/>
        <v>01</v>
      </c>
      <c r="J362" s="29" t="s">
        <v>1616</v>
      </c>
      <c r="K362" s="29" t="s">
        <v>1842</v>
      </c>
      <c r="L362" s="29" t="s">
        <v>1843</v>
      </c>
      <c r="M362" s="29" t="s">
        <v>1619</v>
      </c>
      <c r="N362" s="29" t="s">
        <v>1844</v>
      </c>
      <c r="O362" s="29" t="s">
        <v>2947</v>
      </c>
      <c r="P362" s="29" t="s">
        <v>2948</v>
      </c>
      <c r="Q362" s="29" t="s">
        <v>1838</v>
      </c>
      <c r="R362" s="29" t="s">
        <v>2990</v>
      </c>
      <c r="S362" s="29" t="s">
        <v>2961</v>
      </c>
      <c r="T362" s="29" t="s">
        <v>2962</v>
      </c>
      <c r="U362" s="29" t="s">
        <v>363</v>
      </c>
      <c r="V362" s="29" t="s">
        <v>2645</v>
      </c>
      <c r="W362" s="35" t="s">
        <v>1628</v>
      </c>
      <c r="X362" s="35" t="s">
        <v>1850</v>
      </c>
      <c r="Y362" s="35" t="s">
        <v>2991</v>
      </c>
      <c r="Z362" s="35" t="s">
        <v>2963</v>
      </c>
      <c r="AA362" s="35" t="s">
        <v>2646</v>
      </c>
      <c r="AB362" s="29" t="s">
        <v>2653</v>
      </c>
      <c r="AC362" s="35" t="s">
        <v>1633</v>
      </c>
      <c r="AD362" s="35" t="s">
        <v>1634</v>
      </c>
      <c r="AE362" s="35" t="s">
        <v>1634</v>
      </c>
      <c r="AF362" s="35" t="s">
        <v>1635</v>
      </c>
      <c r="AG362" s="35" t="s">
        <v>2634</v>
      </c>
      <c r="AI362" s="35"/>
      <c r="AJ362" s="35" t="s">
        <v>1637</v>
      </c>
      <c r="AK362" s="35" t="s">
        <v>1638</v>
      </c>
      <c r="AL362" s="29" t="s">
        <v>2954</v>
      </c>
      <c r="AM362" s="35"/>
      <c r="AN362" s="35"/>
      <c r="AO362" s="35"/>
      <c r="AP362" s="35"/>
      <c r="AQ362" s="35"/>
      <c r="AS362" s="35"/>
      <c r="AU362" s="35"/>
      <c r="AW362" s="35"/>
      <c r="AY362" s="35"/>
      <c r="AZ362" s="35" t="s">
        <v>1642</v>
      </c>
      <c r="BA362" s="35"/>
      <c r="BB362" s="29" t="s">
        <v>2680</v>
      </c>
      <c r="BC362" s="29" t="s">
        <v>1644</v>
      </c>
      <c r="BD362" s="29" t="s">
        <v>2964</v>
      </c>
      <c r="BE362" s="29" t="s">
        <v>2016</v>
      </c>
      <c r="BF362" s="29" t="s">
        <v>2388</v>
      </c>
      <c r="BG362" s="29" t="s">
        <v>2995</v>
      </c>
      <c r="BI362" s="35"/>
      <c r="BJ362" s="35"/>
      <c r="BK362" s="29" t="str" cm="1">
        <f t="array" ref="BK362">_xlfn.UNIQUE(MID(BB362,16,14))</f>
        <v>U012UBB01UC002</v>
      </c>
    </row>
    <row r="363" spans="1:63" x14ac:dyDescent="0.3">
      <c r="A363" s="29" t="s">
        <v>2997</v>
      </c>
      <c r="B363" s="36" t="str">
        <f t="shared" si="25"/>
        <v>G01NHA01RA001-KF01</v>
      </c>
      <c r="C363" s="33" t="s">
        <v>2998</v>
      </c>
      <c r="D363" s="34" t="str">
        <f t="shared" si="26"/>
        <v>ELY1 RECT1 DISCH RES1 OUTP MOD CHECK CMD</v>
      </c>
      <c r="E363" s="31">
        <f t="shared" si="27"/>
        <v>40</v>
      </c>
      <c r="F363" s="32" t="str">
        <f t="shared" si="28"/>
        <v>ELECTROLYSIS SYSTEM ELECTROLYSIS ARRAY 1 RECTIFIER SYSTEMS RECTIFIER SYSTEM 1 RESISTORS DISCHARGE-RESISTOR 1 OUTPUT COUPLER RELAY COUPLER, 1 CHANGE-OVER CONTACT CHECK COMMAND</v>
      </c>
      <c r="G363" s="29" t="s">
        <v>1614</v>
      </c>
      <c r="H363" s="29" t="s">
        <v>1615</v>
      </c>
      <c r="I363" s="29" t="str">
        <f t="shared" si="29"/>
        <v>01</v>
      </c>
      <c r="J363" s="29" t="s">
        <v>1616</v>
      </c>
      <c r="K363" s="29" t="s">
        <v>1842</v>
      </c>
      <c r="L363" s="29" t="s">
        <v>1843</v>
      </c>
      <c r="M363" s="29" t="s">
        <v>1619</v>
      </c>
      <c r="N363" s="29" t="s">
        <v>1844</v>
      </c>
      <c r="O363" s="29" t="s">
        <v>2999</v>
      </c>
      <c r="P363" s="29" t="s">
        <v>3000</v>
      </c>
      <c r="Q363" s="29" t="s">
        <v>1623</v>
      </c>
      <c r="R363" s="29" t="s">
        <v>3001</v>
      </c>
      <c r="S363" s="29" t="s">
        <v>3002</v>
      </c>
      <c r="T363" s="29" t="s">
        <v>3003</v>
      </c>
      <c r="U363" s="29" t="s">
        <v>1105</v>
      </c>
      <c r="V363" s="29" t="s">
        <v>1107</v>
      </c>
      <c r="W363" s="35" t="s">
        <v>1628</v>
      </c>
      <c r="X363" s="35" t="s">
        <v>1850</v>
      </c>
      <c r="Y363" s="35" t="s">
        <v>3004</v>
      </c>
      <c r="Z363" s="35" t="s">
        <v>3005</v>
      </c>
      <c r="AA363" s="35" t="s">
        <v>2697</v>
      </c>
      <c r="AB363" s="29" t="s">
        <v>2653</v>
      </c>
      <c r="AC363" s="35" t="s">
        <v>1633</v>
      </c>
      <c r="AD363" s="35"/>
      <c r="AE363" s="35"/>
      <c r="AF363" s="35"/>
      <c r="AG363" s="35" t="s">
        <v>1728</v>
      </c>
      <c r="AI363" s="35"/>
      <c r="AJ363" s="35" t="s">
        <v>1637</v>
      </c>
      <c r="AK363" s="35" t="s">
        <v>1672</v>
      </c>
      <c r="AL363" s="29" t="s">
        <v>2954</v>
      </c>
      <c r="AM363" s="35"/>
      <c r="AN363" s="35"/>
      <c r="AO363" s="35"/>
      <c r="AP363" s="35"/>
      <c r="AQ363" s="35"/>
      <c r="AS363" s="35"/>
      <c r="AU363" s="35"/>
      <c r="AW363" s="35"/>
      <c r="AY363" s="35"/>
      <c r="AZ363" s="35"/>
      <c r="BA363" s="35"/>
      <c r="BB363" s="29" t="s">
        <v>3006</v>
      </c>
      <c r="BC363" s="29" t="s">
        <v>2347</v>
      </c>
      <c r="BD363" s="29" t="s">
        <v>2698</v>
      </c>
      <c r="BE363" s="29" t="s">
        <v>1805</v>
      </c>
      <c r="BF363" s="29" t="s">
        <v>1915</v>
      </c>
      <c r="BG363" s="29" t="s">
        <v>3007</v>
      </c>
      <c r="BI363" s="35"/>
      <c r="BJ363" s="35"/>
      <c r="BK363" s="29" t="str" cm="1">
        <f t="array" ref="BK363">_xlfn.UNIQUE(MID(BB363,16,14))</f>
        <v>U012UBB01UC001</v>
      </c>
    </row>
    <row r="364" spans="1:63" x14ac:dyDescent="0.3">
      <c r="A364" s="29" t="s">
        <v>3008</v>
      </c>
      <c r="B364" s="36" t="str">
        <f t="shared" si="25"/>
        <v>G01NHA01RA002-KF01</v>
      </c>
      <c r="C364" s="33" t="s">
        <v>3009</v>
      </c>
      <c r="D364" s="34" t="str">
        <f t="shared" si="26"/>
        <v>ELY1 RECT1 DISCH RES2 OUTP MOD CHECK CMD</v>
      </c>
      <c r="E364" s="31">
        <f t="shared" si="27"/>
        <v>40</v>
      </c>
      <c r="F364" s="32" t="str">
        <f t="shared" si="28"/>
        <v>ELECTROLYSIS SYSTEM ELECTROLYSIS ARRAY 1 RECTIFIER SYSTEMS RECTIFIER SYSTEM 1 RESISTORS DISCHARGE-RESISTOR 2 OUTPUT COUPLER RELAY COUPLER, 1 CHANGE-OVER CONTACT CHECK COMMAND</v>
      </c>
      <c r="G364" s="29" t="s">
        <v>1614</v>
      </c>
      <c r="H364" s="29" t="s">
        <v>1615</v>
      </c>
      <c r="I364" s="29" t="str">
        <f t="shared" si="29"/>
        <v>01</v>
      </c>
      <c r="J364" s="29" t="s">
        <v>1616</v>
      </c>
      <c r="K364" s="29" t="s">
        <v>1842</v>
      </c>
      <c r="L364" s="29" t="s">
        <v>1843</v>
      </c>
      <c r="M364" s="29" t="s">
        <v>1619</v>
      </c>
      <c r="N364" s="29" t="s">
        <v>1844</v>
      </c>
      <c r="O364" s="29" t="s">
        <v>2999</v>
      </c>
      <c r="P364" s="29" t="s">
        <v>3000</v>
      </c>
      <c r="Q364" s="29" t="s">
        <v>1872</v>
      </c>
      <c r="R364" s="29" t="s">
        <v>3010</v>
      </c>
      <c r="S364" s="29" t="s">
        <v>3002</v>
      </c>
      <c r="T364" s="29" t="s">
        <v>3003</v>
      </c>
      <c r="U364" s="29" t="s">
        <v>1105</v>
      </c>
      <c r="V364" s="29" t="s">
        <v>1107</v>
      </c>
      <c r="W364" s="35" t="s">
        <v>1628</v>
      </c>
      <c r="X364" s="35" t="s">
        <v>1850</v>
      </c>
      <c r="Y364" s="35" t="s">
        <v>3011</v>
      </c>
      <c r="Z364" s="35" t="s">
        <v>3005</v>
      </c>
      <c r="AA364" s="35" t="s">
        <v>2697</v>
      </c>
      <c r="AB364" s="29" t="s">
        <v>2653</v>
      </c>
      <c r="AC364" s="35" t="s">
        <v>1633</v>
      </c>
      <c r="AD364" s="35"/>
      <c r="AE364" s="35"/>
      <c r="AF364" s="35"/>
      <c r="AG364" s="35" t="s">
        <v>1728</v>
      </c>
      <c r="AI364" s="35"/>
      <c r="AJ364" s="35" t="s">
        <v>1637</v>
      </c>
      <c r="AK364" s="35" t="s">
        <v>1672</v>
      </c>
      <c r="AL364" s="29" t="s">
        <v>2954</v>
      </c>
      <c r="AM364" s="35"/>
      <c r="AN364" s="35"/>
      <c r="AO364" s="35"/>
      <c r="AP364" s="35"/>
      <c r="AQ364" s="35"/>
      <c r="AS364" s="35"/>
      <c r="AU364" s="35"/>
      <c r="AW364" s="35"/>
      <c r="AY364" s="35"/>
      <c r="AZ364" s="35"/>
      <c r="BA364" s="35"/>
      <c r="BB364" s="29" t="s">
        <v>3006</v>
      </c>
      <c r="BC364" s="29" t="s">
        <v>2347</v>
      </c>
      <c r="BD364" s="29" t="s">
        <v>2698</v>
      </c>
      <c r="BE364" s="29" t="s">
        <v>1805</v>
      </c>
      <c r="BF364" s="29" t="s">
        <v>1919</v>
      </c>
      <c r="BG364" s="29" t="s">
        <v>3012</v>
      </c>
      <c r="BI364" s="35"/>
      <c r="BJ364" s="35"/>
      <c r="BK364" s="29" t="str" cm="1">
        <f t="array" ref="BK364">_xlfn.UNIQUE(MID(BB364,16,14))</f>
        <v>U012UBB01UC001</v>
      </c>
    </row>
    <row r="365" spans="1:63" x14ac:dyDescent="0.3">
      <c r="A365" s="29" t="s">
        <v>3013</v>
      </c>
      <c r="B365" s="36" t="str">
        <f t="shared" si="25"/>
        <v>G01NHA01RA003-KF01</v>
      </c>
      <c r="C365" s="33" t="s">
        <v>3014</v>
      </c>
      <c r="D365" s="34" t="str">
        <f t="shared" si="26"/>
        <v>ELY1 RECT1 DISCH RES3 OUTP MOD CHECK CMD</v>
      </c>
      <c r="E365" s="31">
        <f t="shared" si="27"/>
        <v>40</v>
      </c>
      <c r="F365" s="32" t="str">
        <f t="shared" si="28"/>
        <v>ELECTROLYSIS SYSTEM ELECTROLYSIS ARRAY 1 RECTIFIER SYSTEMS RECTIFIER SYSTEM 1 RESISTORS DISCHARGE-RESISTOR 3 OUTPUT COUPLER RELAY COUPLER, 1 CHANGE-OVER CONTACT CHECK COMMAND</v>
      </c>
      <c r="G365" s="29" t="s">
        <v>1614</v>
      </c>
      <c r="H365" s="29" t="s">
        <v>1615</v>
      </c>
      <c r="I365" s="29" t="str">
        <f t="shared" si="29"/>
        <v>01</v>
      </c>
      <c r="J365" s="29" t="s">
        <v>1616</v>
      </c>
      <c r="K365" s="29" t="s">
        <v>1842</v>
      </c>
      <c r="L365" s="29" t="s">
        <v>1843</v>
      </c>
      <c r="M365" s="29" t="s">
        <v>1619</v>
      </c>
      <c r="N365" s="29" t="s">
        <v>1844</v>
      </c>
      <c r="O365" s="29" t="s">
        <v>2999</v>
      </c>
      <c r="P365" s="29" t="s">
        <v>3000</v>
      </c>
      <c r="Q365" s="29" t="s">
        <v>1830</v>
      </c>
      <c r="R365" s="29" t="s">
        <v>3015</v>
      </c>
      <c r="S365" s="29" t="s">
        <v>3002</v>
      </c>
      <c r="T365" s="29" t="s">
        <v>3003</v>
      </c>
      <c r="U365" s="29" t="s">
        <v>1105</v>
      </c>
      <c r="V365" s="29" t="s">
        <v>1107</v>
      </c>
      <c r="W365" s="35" t="s">
        <v>1628</v>
      </c>
      <c r="X365" s="35" t="s">
        <v>1850</v>
      </c>
      <c r="Y365" s="35" t="s">
        <v>3016</v>
      </c>
      <c r="Z365" s="35" t="s">
        <v>3005</v>
      </c>
      <c r="AA365" s="35" t="s">
        <v>2697</v>
      </c>
      <c r="AB365" s="29" t="s">
        <v>2653</v>
      </c>
      <c r="AC365" s="35" t="s">
        <v>1633</v>
      </c>
      <c r="AD365" s="35"/>
      <c r="AE365" s="35"/>
      <c r="AF365" s="35"/>
      <c r="AG365" s="35" t="s">
        <v>1728</v>
      </c>
      <c r="AI365" s="35"/>
      <c r="AJ365" s="35" t="s">
        <v>1637</v>
      </c>
      <c r="AK365" s="35" t="s">
        <v>1672</v>
      </c>
      <c r="AL365" s="29" t="s">
        <v>2954</v>
      </c>
      <c r="AM365" s="35"/>
      <c r="AN365" s="35"/>
      <c r="AO365" s="35"/>
      <c r="AP365" s="35"/>
      <c r="AQ365" s="35"/>
      <c r="AS365" s="35"/>
      <c r="AU365" s="35"/>
      <c r="AW365" s="35"/>
      <c r="AY365" s="35"/>
      <c r="AZ365" s="35"/>
      <c r="BA365" s="35"/>
      <c r="BB365" s="29" t="s">
        <v>2927</v>
      </c>
      <c r="BC365" s="29" t="s">
        <v>2347</v>
      </c>
      <c r="BD365" s="29" t="s">
        <v>2698</v>
      </c>
      <c r="BE365" s="29" t="s">
        <v>1805</v>
      </c>
      <c r="BF365" s="29" t="s">
        <v>1969</v>
      </c>
      <c r="BG365" s="29" t="s">
        <v>3017</v>
      </c>
      <c r="BI365" s="35"/>
      <c r="BJ365" s="35"/>
      <c r="BK365" s="29" t="str" cm="1">
        <f t="array" ref="BK365">_xlfn.UNIQUE(MID(BB365,16,14))</f>
        <v>U012UBB01UC002</v>
      </c>
    </row>
    <row r="366" spans="1:63" x14ac:dyDescent="0.3">
      <c r="A366" s="29" t="s">
        <v>3018</v>
      </c>
      <c r="B366" s="36" t="str">
        <f t="shared" si="25"/>
        <v>G01NHA01RA004-KF01</v>
      </c>
      <c r="C366" s="33" t="s">
        <v>3019</v>
      </c>
      <c r="D366" s="34" t="str">
        <f t="shared" si="26"/>
        <v>ELY1 RECT1 DISCH RES4 OUTP MOD CHECK CMD</v>
      </c>
      <c r="E366" s="31">
        <f t="shared" si="27"/>
        <v>40</v>
      </c>
      <c r="F366" s="32" t="str">
        <f t="shared" si="28"/>
        <v>ELECTROLYSIS SYSTEM ELECTROLYSIS ARRAY 1 RECTIFIER SYSTEMS RECTIFIER SYSTEM 1 RESISTORS DISCHARGE-RESISTOR 4 OUTPUT COUPLER RELAY COUPLER, 1 CHANGE-OVER CONTACT CHECK COMMAND</v>
      </c>
      <c r="G366" s="29" t="s">
        <v>1614</v>
      </c>
      <c r="H366" s="29" t="s">
        <v>1615</v>
      </c>
      <c r="I366" s="29" t="str">
        <f t="shared" si="29"/>
        <v>01</v>
      </c>
      <c r="J366" s="29" t="s">
        <v>1616</v>
      </c>
      <c r="K366" s="29" t="s">
        <v>1842</v>
      </c>
      <c r="L366" s="29" t="s">
        <v>1843</v>
      </c>
      <c r="M366" s="29" t="s">
        <v>1619</v>
      </c>
      <c r="N366" s="29" t="s">
        <v>1844</v>
      </c>
      <c r="O366" s="29" t="s">
        <v>2999</v>
      </c>
      <c r="P366" s="29" t="s">
        <v>3000</v>
      </c>
      <c r="Q366" s="29" t="s">
        <v>1838</v>
      </c>
      <c r="R366" s="29" t="s">
        <v>3020</v>
      </c>
      <c r="S366" s="29" t="s">
        <v>3002</v>
      </c>
      <c r="T366" s="29" t="s">
        <v>3003</v>
      </c>
      <c r="U366" s="29" t="s">
        <v>1105</v>
      </c>
      <c r="V366" s="29" t="s">
        <v>1107</v>
      </c>
      <c r="W366" s="35" t="s">
        <v>1628</v>
      </c>
      <c r="X366" s="35" t="s">
        <v>1850</v>
      </c>
      <c r="Y366" s="35" t="s">
        <v>3021</v>
      </c>
      <c r="Z366" s="35" t="s">
        <v>3005</v>
      </c>
      <c r="AA366" s="35" t="s">
        <v>2697</v>
      </c>
      <c r="AB366" s="29" t="s">
        <v>2653</v>
      </c>
      <c r="AC366" s="35" t="s">
        <v>1633</v>
      </c>
      <c r="AD366" s="35"/>
      <c r="AE366" s="35"/>
      <c r="AF366" s="35"/>
      <c r="AG366" s="35" t="s">
        <v>1728</v>
      </c>
      <c r="AI366" s="35"/>
      <c r="AJ366" s="35" t="s">
        <v>1637</v>
      </c>
      <c r="AK366" s="35" t="s">
        <v>1672</v>
      </c>
      <c r="AL366" s="29" t="s">
        <v>2954</v>
      </c>
      <c r="AM366" s="35"/>
      <c r="AN366" s="35"/>
      <c r="AO366" s="35"/>
      <c r="AP366" s="35"/>
      <c r="AQ366" s="35"/>
      <c r="AS366" s="35"/>
      <c r="AU366" s="35"/>
      <c r="AW366" s="35"/>
      <c r="AY366" s="35"/>
      <c r="AZ366" s="35"/>
      <c r="BA366" s="35"/>
      <c r="BB366" s="29" t="s">
        <v>2927</v>
      </c>
      <c r="BC366" s="29" t="s">
        <v>2347</v>
      </c>
      <c r="BD366" s="29" t="s">
        <v>2698</v>
      </c>
      <c r="BE366" s="29" t="s">
        <v>1805</v>
      </c>
      <c r="BF366" s="29" t="s">
        <v>1973</v>
      </c>
      <c r="BG366" s="29" t="s">
        <v>3022</v>
      </c>
      <c r="BI366" s="35"/>
      <c r="BJ366" s="35"/>
      <c r="BK366" s="29" t="str" cm="1">
        <f t="array" ref="BK366">_xlfn.UNIQUE(MID(BB366,16,14))</f>
        <v>U012UBB01UC002</v>
      </c>
    </row>
    <row r="367" spans="1:63" x14ac:dyDescent="0.3">
      <c r="A367" s="29" t="s">
        <v>1924</v>
      </c>
      <c r="B367" s="36" t="str">
        <f t="shared" si="25"/>
        <v>G01NHA01TA001-BF01</v>
      </c>
      <c r="C367" s="33" t="s">
        <v>3023</v>
      </c>
      <c r="D367" s="34" t="str">
        <f t="shared" si="26"/>
        <v>ELY1 RECT1 TRAFO1 FLOW1 AL1</v>
      </c>
      <c r="E367" s="31">
        <f t="shared" si="27"/>
        <v>27</v>
      </c>
      <c r="F367" s="32" t="str">
        <f t="shared" si="28"/>
        <v>ELECTROLYSIS SYSTEM ELECTROLYSIS ARRAY 1 RECTIFIER SYSTEMS RECTIFIER SYSTEM 1 TRANSFORMERS RECTIFIER TRANSFORMER FLOWMETER - OIL CIRCULATION ALARM - OIL FLOWMETER</v>
      </c>
      <c r="G367" s="29" t="s">
        <v>1614</v>
      </c>
      <c r="H367" s="29" t="s">
        <v>1615</v>
      </c>
      <c r="I367" s="29" t="str">
        <f t="shared" si="29"/>
        <v>01</v>
      </c>
      <c r="J367" s="29" t="s">
        <v>1616</v>
      </c>
      <c r="K367" s="29" t="s">
        <v>1842</v>
      </c>
      <c r="L367" s="29" t="s">
        <v>1843</v>
      </c>
      <c r="M367" s="29" t="s">
        <v>1619</v>
      </c>
      <c r="N367" s="29" t="s">
        <v>1844</v>
      </c>
      <c r="O367" s="29" t="s">
        <v>1926</v>
      </c>
      <c r="P367" s="29" t="s">
        <v>1927</v>
      </c>
      <c r="Q367" s="29" t="s">
        <v>1623</v>
      </c>
      <c r="R367" s="29" t="s">
        <v>1928</v>
      </c>
      <c r="S367" s="29" t="s">
        <v>1625</v>
      </c>
      <c r="T367" s="29" t="s">
        <v>3024</v>
      </c>
      <c r="U367" s="29" t="s">
        <v>148</v>
      </c>
      <c r="V367" s="29" t="s">
        <v>3025</v>
      </c>
      <c r="W367" s="35" t="s">
        <v>1628</v>
      </c>
      <c r="X367" s="35" t="s">
        <v>1850</v>
      </c>
      <c r="Y367" s="35" t="s">
        <v>1930</v>
      </c>
      <c r="Z367" s="35" t="s">
        <v>1631</v>
      </c>
      <c r="AA367" s="35" t="s">
        <v>2714</v>
      </c>
      <c r="AB367" s="29" t="s">
        <v>1667</v>
      </c>
      <c r="AC367" s="35" t="s">
        <v>1633</v>
      </c>
      <c r="AD367" s="35" t="s">
        <v>1634</v>
      </c>
      <c r="AE367" s="35" t="s">
        <v>1634</v>
      </c>
      <c r="AF367" s="35" t="s">
        <v>1635</v>
      </c>
      <c r="AG367" s="35" t="s">
        <v>1636</v>
      </c>
      <c r="AI367" s="35"/>
      <c r="AJ367" s="35" t="s">
        <v>1637</v>
      </c>
      <c r="AK367" s="35" t="s">
        <v>1672</v>
      </c>
      <c r="AL367" s="29" t="s">
        <v>2406</v>
      </c>
      <c r="AM367" s="35"/>
      <c r="AN367" s="35"/>
      <c r="AO367" s="35"/>
      <c r="AP367" s="35"/>
      <c r="AQ367" s="35"/>
      <c r="AS367" s="35"/>
      <c r="AU367" s="35"/>
      <c r="AW367" s="35"/>
      <c r="AY367" s="35"/>
      <c r="AZ367" s="35"/>
      <c r="BA367" s="35"/>
      <c r="BB367" s="29" t="s">
        <v>2825</v>
      </c>
      <c r="BC367" s="29" t="s">
        <v>2347</v>
      </c>
      <c r="BD367" s="29" t="s">
        <v>2716</v>
      </c>
      <c r="BE367" s="29" t="s">
        <v>1805</v>
      </c>
      <c r="BF367" s="29" t="s">
        <v>2048</v>
      </c>
      <c r="BG367" s="29" t="s">
        <v>3026</v>
      </c>
      <c r="BI367" s="35"/>
      <c r="BJ367" s="35"/>
      <c r="BK367" s="29" t="str" cm="1">
        <f t="array" ref="BK367">_xlfn.UNIQUE(MID(BB367,16,14))</f>
        <v>U012UBB01UC001</v>
      </c>
    </row>
    <row r="368" spans="1:63" x14ac:dyDescent="0.3">
      <c r="A368" s="29" t="s">
        <v>1924</v>
      </c>
      <c r="B368" s="36" t="str">
        <f t="shared" si="25"/>
        <v>G01NHA01TA001-BF02</v>
      </c>
      <c r="C368" s="33" t="s">
        <v>3027</v>
      </c>
      <c r="D368" s="34" t="str">
        <f t="shared" si="26"/>
        <v>ELY1 RECT1 TRAFO1 FLOW2 AL1</v>
      </c>
      <c r="E368" s="31">
        <f t="shared" si="27"/>
        <v>27</v>
      </c>
      <c r="F368" s="32" t="str">
        <f t="shared" si="28"/>
        <v>ELECTROLYSIS SYSTEM ELECTROLYSIS ARRAY 1 RECTIFIER SYSTEMS RECTIFIER SYSTEM 1 TRANSFORMERS RECTIFIER TRANSFORMER FLOWMETER - COOLING WATER ALARM - COOLING WATER - FLOWMETER</v>
      </c>
      <c r="G368" s="29" t="s">
        <v>1614</v>
      </c>
      <c r="H368" s="29" t="s">
        <v>1615</v>
      </c>
      <c r="I368" s="29" t="str">
        <f t="shared" si="29"/>
        <v>01</v>
      </c>
      <c r="J368" s="29" t="s">
        <v>1616</v>
      </c>
      <c r="K368" s="29" t="s">
        <v>1842</v>
      </c>
      <c r="L368" s="29" t="s">
        <v>1843</v>
      </c>
      <c r="M368" s="29" t="s">
        <v>1619</v>
      </c>
      <c r="N368" s="29" t="s">
        <v>1844</v>
      </c>
      <c r="O368" s="29" t="s">
        <v>1926</v>
      </c>
      <c r="P368" s="29" t="s">
        <v>1927</v>
      </c>
      <c r="Q368" s="29" t="s">
        <v>1623</v>
      </c>
      <c r="R368" s="29" t="s">
        <v>1928</v>
      </c>
      <c r="S368" s="29" t="s">
        <v>2350</v>
      </c>
      <c r="T368" s="29" t="s">
        <v>3028</v>
      </c>
      <c r="U368" s="29" t="s">
        <v>148</v>
      </c>
      <c r="V368" s="29" t="s">
        <v>3029</v>
      </c>
      <c r="W368" s="35" t="s">
        <v>1628</v>
      </c>
      <c r="X368" s="35" t="s">
        <v>1850</v>
      </c>
      <c r="Y368" s="35" t="s">
        <v>1930</v>
      </c>
      <c r="Z368" s="35" t="s">
        <v>2351</v>
      </c>
      <c r="AA368" s="35" t="s">
        <v>2714</v>
      </c>
      <c r="AB368" s="29" t="s">
        <v>1667</v>
      </c>
      <c r="AC368" s="35" t="s">
        <v>1633</v>
      </c>
      <c r="AD368" s="35" t="s">
        <v>1634</v>
      </c>
      <c r="AE368" s="35" t="s">
        <v>1634</v>
      </c>
      <c r="AF368" s="35" t="s">
        <v>1635</v>
      </c>
      <c r="AG368" s="35" t="s">
        <v>1636</v>
      </c>
      <c r="AI368" s="35"/>
      <c r="AJ368" s="35" t="s">
        <v>1637</v>
      </c>
      <c r="AK368" s="35" t="s">
        <v>1672</v>
      </c>
      <c r="AL368" s="29" t="s">
        <v>2406</v>
      </c>
      <c r="AM368" s="35"/>
      <c r="AN368" s="35"/>
      <c r="AO368" s="35"/>
      <c r="AP368" s="35"/>
      <c r="AQ368" s="35"/>
      <c r="AS368" s="35"/>
      <c r="AU368" s="35"/>
      <c r="AW368" s="35"/>
      <c r="AY368" s="35"/>
      <c r="AZ368" s="35"/>
      <c r="BA368" s="35"/>
      <c r="BB368" s="29" t="s">
        <v>2825</v>
      </c>
      <c r="BC368" s="29" t="s">
        <v>2347</v>
      </c>
      <c r="BD368" s="29" t="s">
        <v>2716</v>
      </c>
      <c r="BE368" s="29" t="s">
        <v>1805</v>
      </c>
      <c r="BF368" s="29" t="s">
        <v>2051</v>
      </c>
      <c r="BG368" s="29" t="s">
        <v>3030</v>
      </c>
      <c r="BI368" s="35"/>
      <c r="BJ368" s="35"/>
      <c r="BK368" s="29" t="str" cm="1">
        <f t="array" ref="BK368">_xlfn.UNIQUE(MID(BB368,16,14))</f>
        <v>U012UBB01UC001</v>
      </c>
    </row>
    <row r="369" spans="1:63" x14ac:dyDescent="0.3">
      <c r="A369" s="29" t="s">
        <v>1924</v>
      </c>
      <c r="B369" s="36" t="str">
        <f t="shared" si="25"/>
        <v>G01NHA01TA001-BL01</v>
      </c>
      <c r="C369" s="33" t="s">
        <v>3031</v>
      </c>
      <c r="D369" s="34" t="str">
        <f t="shared" si="26"/>
        <v>ELY1 RECT1 TRAFO1 LVL1 AL1</v>
      </c>
      <c r="E369" s="31">
        <f t="shared" si="27"/>
        <v>26</v>
      </c>
      <c r="F369" s="32" t="str">
        <f t="shared" si="28"/>
        <v>ELECTROLYSIS SYSTEM ELECTROLYSIS ARRAY 1 RECTIFIER SYSTEMS RECTIFIER SYSTEM 1 TRANSFORMERS RECTIFIER TRANSFORMER LEVEL LIMIT SWITCH - TRANSFORMER OIL LEVEL LEVEL MIN - TRANSFORMER OIL LEVEL</v>
      </c>
      <c r="G369" s="29" t="s">
        <v>1614</v>
      </c>
      <c r="H369" s="29" t="s">
        <v>1615</v>
      </c>
      <c r="I369" s="29" t="str">
        <f t="shared" si="29"/>
        <v>01</v>
      </c>
      <c r="J369" s="29" t="s">
        <v>1616</v>
      </c>
      <c r="K369" s="29" t="s">
        <v>1842</v>
      </c>
      <c r="L369" s="29" t="s">
        <v>1843</v>
      </c>
      <c r="M369" s="29" t="s">
        <v>1619</v>
      </c>
      <c r="N369" s="29" t="s">
        <v>1844</v>
      </c>
      <c r="O369" s="29" t="s">
        <v>1926</v>
      </c>
      <c r="P369" s="29" t="s">
        <v>1927</v>
      </c>
      <c r="Q369" s="29" t="s">
        <v>1623</v>
      </c>
      <c r="R369" s="29" t="s">
        <v>1928</v>
      </c>
      <c r="S369" s="29" t="s">
        <v>1660</v>
      </c>
      <c r="T369" s="29" t="s">
        <v>3032</v>
      </c>
      <c r="U369" s="29" t="s">
        <v>148</v>
      </c>
      <c r="V369" s="29" t="s">
        <v>3033</v>
      </c>
      <c r="W369" s="35" t="s">
        <v>1628</v>
      </c>
      <c r="X369" s="35" t="s">
        <v>1850</v>
      </c>
      <c r="Y369" s="35" t="s">
        <v>1930</v>
      </c>
      <c r="Z369" s="35" t="s">
        <v>1665</v>
      </c>
      <c r="AA369" s="35" t="s">
        <v>2714</v>
      </c>
      <c r="AB369" s="29" t="s">
        <v>1667</v>
      </c>
      <c r="AC369" s="35" t="s">
        <v>1633</v>
      </c>
      <c r="AD369" s="35" t="s">
        <v>1634</v>
      </c>
      <c r="AE369" s="35" t="s">
        <v>1634</v>
      </c>
      <c r="AF369" s="35" t="s">
        <v>1635</v>
      </c>
      <c r="AG369" s="35" t="s">
        <v>1636</v>
      </c>
      <c r="AI369" s="35"/>
      <c r="AJ369" s="35" t="s">
        <v>1637</v>
      </c>
      <c r="AK369" s="35" t="s">
        <v>1672</v>
      </c>
      <c r="AL369" s="29" t="s">
        <v>3034</v>
      </c>
      <c r="AM369" s="35"/>
      <c r="AN369" s="35"/>
      <c r="AO369" s="35"/>
      <c r="AP369" s="35"/>
      <c r="AQ369" s="35"/>
      <c r="AS369" s="35"/>
      <c r="AU369" s="35"/>
      <c r="AW369" s="35"/>
      <c r="AY369" s="35"/>
      <c r="AZ369" s="35"/>
      <c r="BA369" s="35"/>
      <c r="BB369" s="29" t="s">
        <v>2825</v>
      </c>
      <c r="BC369" s="29" t="s">
        <v>2347</v>
      </c>
      <c r="BD369" s="29" t="s">
        <v>2716</v>
      </c>
      <c r="BE369" s="29" t="s">
        <v>1805</v>
      </c>
      <c r="BF369" s="29" t="s">
        <v>2016</v>
      </c>
      <c r="BG369" s="29" t="s">
        <v>3035</v>
      </c>
      <c r="BI369" s="35"/>
      <c r="BJ369" s="35"/>
      <c r="BK369" s="29" t="str" cm="1">
        <f t="array" ref="BK369">_xlfn.UNIQUE(MID(BB369,16,14))</f>
        <v>U012UBB01UC001</v>
      </c>
    </row>
    <row r="370" spans="1:63" x14ac:dyDescent="0.3">
      <c r="A370" s="29" t="s">
        <v>1924</v>
      </c>
      <c r="B370" s="36" t="str">
        <f t="shared" si="25"/>
        <v>G01NHA01TA001-BL01</v>
      </c>
      <c r="C370" s="33" t="s">
        <v>3036</v>
      </c>
      <c r="D370" s="34" t="str">
        <f t="shared" si="26"/>
        <v>ELY1 RECT1 TRAFO1 LVL1 AL2</v>
      </c>
      <c r="E370" s="31">
        <f t="shared" si="27"/>
        <v>26</v>
      </c>
      <c r="F370" s="32" t="str">
        <f t="shared" si="28"/>
        <v>ELECTROLYSIS SYSTEM ELECTROLYSIS ARRAY 1 RECTIFIER SYSTEMS RECTIFIER SYSTEM 1 TRANSFORMERS RECTIFIER TRANSFORMER LEVEL LIMIT SWITCH - TRANSFORMER OIL LEVEL LEVEL MAX - TRANSFORMER OIL LEVEL</v>
      </c>
      <c r="G370" s="29" t="s">
        <v>1614</v>
      </c>
      <c r="H370" s="29" t="s">
        <v>1615</v>
      </c>
      <c r="I370" s="29" t="str">
        <f t="shared" si="29"/>
        <v>01</v>
      </c>
      <c r="J370" s="29" t="s">
        <v>1616</v>
      </c>
      <c r="K370" s="29" t="s">
        <v>1842</v>
      </c>
      <c r="L370" s="29" t="s">
        <v>1843</v>
      </c>
      <c r="M370" s="29" t="s">
        <v>1619</v>
      </c>
      <c r="N370" s="29" t="s">
        <v>1844</v>
      </c>
      <c r="O370" s="29" t="s">
        <v>1926</v>
      </c>
      <c r="P370" s="29" t="s">
        <v>1927</v>
      </c>
      <c r="Q370" s="29" t="s">
        <v>1623</v>
      </c>
      <c r="R370" s="29" t="s">
        <v>1928</v>
      </c>
      <c r="S370" s="29" t="s">
        <v>1660</v>
      </c>
      <c r="T370" s="29" t="s">
        <v>3032</v>
      </c>
      <c r="U370" s="29" t="s">
        <v>374</v>
      </c>
      <c r="V370" s="29" t="s">
        <v>3037</v>
      </c>
      <c r="W370" s="35" t="s">
        <v>1628</v>
      </c>
      <c r="X370" s="35" t="s">
        <v>1850</v>
      </c>
      <c r="Y370" s="35" t="s">
        <v>1930</v>
      </c>
      <c r="Z370" s="35" t="s">
        <v>1665</v>
      </c>
      <c r="AA370" s="35" t="s">
        <v>3038</v>
      </c>
      <c r="AB370" s="29" t="s">
        <v>1667</v>
      </c>
      <c r="AC370" s="35" t="s">
        <v>1633</v>
      </c>
      <c r="AD370" s="35" t="s">
        <v>1634</v>
      </c>
      <c r="AE370" s="35" t="s">
        <v>1634</v>
      </c>
      <c r="AF370" s="35" t="s">
        <v>1635</v>
      </c>
      <c r="AG370" s="35" t="s">
        <v>1636</v>
      </c>
      <c r="AI370" s="35"/>
      <c r="AJ370" s="35" t="s">
        <v>1637</v>
      </c>
      <c r="AK370" s="35" t="s">
        <v>1672</v>
      </c>
      <c r="AL370" s="29" t="s">
        <v>3034</v>
      </c>
      <c r="AM370" s="35"/>
      <c r="AN370" s="35"/>
      <c r="AO370" s="35"/>
      <c r="AP370" s="35"/>
      <c r="AQ370" s="35"/>
      <c r="AS370" s="35"/>
      <c r="AU370" s="35"/>
      <c r="AW370" s="35"/>
      <c r="AY370" s="35"/>
      <c r="AZ370" s="35"/>
      <c r="BA370" s="35"/>
      <c r="BB370" s="29" t="s">
        <v>2825</v>
      </c>
      <c r="BC370" s="29" t="s">
        <v>2347</v>
      </c>
      <c r="BD370" s="29" t="s">
        <v>3039</v>
      </c>
      <c r="BE370" s="29" t="s">
        <v>1805</v>
      </c>
      <c r="BF370" s="29" t="s">
        <v>2341</v>
      </c>
      <c r="BG370" s="29" t="s">
        <v>3035</v>
      </c>
      <c r="BI370" s="35"/>
      <c r="BJ370" s="35"/>
      <c r="BK370" s="29" t="str" cm="1">
        <f t="array" ref="BK370">_xlfn.UNIQUE(MID(BB370,16,14))</f>
        <v>U012UBB01UC001</v>
      </c>
    </row>
    <row r="371" spans="1:63" x14ac:dyDescent="0.3">
      <c r="A371" s="29" t="s">
        <v>1924</v>
      </c>
      <c r="B371" s="36" t="str">
        <f t="shared" si="25"/>
        <v>G01NHA01TA001-BL02</v>
      </c>
      <c r="C371" s="33" t="s">
        <v>3040</v>
      </c>
      <c r="D371" s="34" t="str">
        <f t="shared" si="26"/>
        <v>ELY1 RECT1 TRAFO1 LVL2 AL1</v>
      </c>
      <c r="E371" s="31">
        <f t="shared" si="27"/>
        <v>26</v>
      </c>
      <c r="F371" s="32" t="str">
        <f t="shared" si="28"/>
        <v>ELECTROLYSIS SYSTEM ELECTROLYSIS ARRAY 1 RECTIFIER SYSTEMS RECTIFIER SYSTEM 1 TRANSFORMERS RECTIFIER TRANSFORMER LEVEL LIMIT SWITCH - TRANSFORMER LEAKAGE ALARM - LEVEL LIMIT SWITCH - LEACKAGE TRANSFORMER</v>
      </c>
      <c r="G371" s="29" t="s">
        <v>1614</v>
      </c>
      <c r="H371" s="29" t="s">
        <v>1615</v>
      </c>
      <c r="I371" s="29" t="str">
        <f t="shared" si="29"/>
        <v>01</v>
      </c>
      <c r="J371" s="29" t="s">
        <v>1616</v>
      </c>
      <c r="K371" s="29" t="s">
        <v>1842</v>
      </c>
      <c r="L371" s="29" t="s">
        <v>1843</v>
      </c>
      <c r="M371" s="29" t="s">
        <v>1619</v>
      </c>
      <c r="N371" s="29" t="s">
        <v>1844</v>
      </c>
      <c r="O371" s="29" t="s">
        <v>1926</v>
      </c>
      <c r="P371" s="29" t="s">
        <v>1927</v>
      </c>
      <c r="Q371" s="29" t="s">
        <v>1623</v>
      </c>
      <c r="R371" s="29" t="s">
        <v>1928</v>
      </c>
      <c r="S371" s="29" t="s">
        <v>2337</v>
      </c>
      <c r="T371" s="29" t="s">
        <v>3041</v>
      </c>
      <c r="U371" s="29" t="s">
        <v>148</v>
      </c>
      <c r="V371" s="29" t="s">
        <v>3042</v>
      </c>
      <c r="W371" s="35" t="s">
        <v>1628</v>
      </c>
      <c r="X371" s="35" t="s">
        <v>1850</v>
      </c>
      <c r="Y371" s="35" t="s">
        <v>1930</v>
      </c>
      <c r="Z371" s="35" t="s">
        <v>2338</v>
      </c>
      <c r="AA371" s="35" t="s">
        <v>2714</v>
      </c>
      <c r="AB371" s="29" t="s">
        <v>1667</v>
      </c>
      <c r="AC371" s="35" t="s">
        <v>1633</v>
      </c>
      <c r="AD371" s="35" t="s">
        <v>1634</v>
      </c>
      <c r="AE371" s="35" t="s">
        <v>1634</v>
      </c>
      <c r="AF371" s="35" t="s">
        <v>1635</v>
      </c>
      <c r="AG371" s="35" t="s">
        <v>1636</v>
      </c>
      <c r="AI371" s="35"/>
      <c r="AJ371" s="35" t="s">
        <v>1637</v>
      </c>
      <c r="AK371" s="35" t="s">
        <v>1672</v>
      </c>
      <c r="AL371" s="29" t="s">
        <v>3034</v>
      </c>
      <c r="AM371" s="35"/>
      <c r="AN371" s="35"/>
      <c r="AO371" s="35"/>
      <c r="AP371" s="35"/>
      <c r="AQ371" s="35"/>
      <c r="AS371" s="35"/>
      <c r="AU371" s="35"/>
      <c r="AW371" s="35"/>
      <c r="AY371" s="35"/>
      <c r="AZ371" s="35"/>
      <c r="BA371" s="35"/>
      <c r="BB371" s="29" t="s">
        <v>2825</v>
      </c>
      <c r="BC371" s="29" t="s">
        <v>2347</v>
      </c>
      <c r="BD371" s="29" t="s">
        <v>2716</v>
      </c>
      <c r="BE371" s="29" t="s">
        <v>1805</v>
      </c>
      <c r="BF371" s="29" t="s">
        <v>2388</v>
      </c>
      <c r="BG371" s="29" t="s">
        <v>3043</v>
      </c>
      <c r="BI371" s="35"/>
      <c r="BJ371" s="35"/>
      <c r="BK371" s="29" t="str" cm="1">
        <f t="array" ref="BK371">_xlfn.UNIQUE(MID(BB371,16,14))</f>
        <v>U012UBB01UC001</v>
      </c>
    </row>
    <row r="372" spans="1:63" x14ac:dyDescent="0.3">
      <c r="A372" s="29" t="s">
        <v>1924</v>
      </c>
      <c r="B372" s="36" t="str">
        <f t="shared" si="25"/>
        <v>G01NHA01TA001-BL03</v>
      </c>
      <c r="C372" s="33" t="s">
        <v>3044</v>
      </c>
      <c r="D372" s="34" t="str">
        <f t="shared" si="26"/>
        <v>ELY1 RECT1 TRAFO1 LVL3 AL1</v>
      </c>
      <c r="E372" s="31">
        <f t="shared" si="27"/>
        <v>26</v>
      </c>
      <c r="F372" s="32" t="str">
        <f t="shared" si="28"/>
        <v>ELECTROLYSIS SYSTEM ELECTROLYSIS ARRAY 1 RECTIFIER SYSTEMS RECTIFIER SYSTEM 1 TRANSFORMERS RECTIFIER TRANSFORMER LEVEL LIMIT SWITCH - TAP CHANGER OIL LEVEL LEVEL MIN - TAP CHANGER OIL LEVEL</v>
      </c>
      <c r="G372" s="29" t="s">
        <v>1614</v>
      </c>
      <c r="H372" s="29" t="s">
        <v>1615</v>
      </c>
      <c r="I372" s="29" t="str">
        <f t="shared" si="29"/>
        <v>01</v>
      </c>
      <c r="J372" s="29" t="s">
        <v>1616</v>
      </c>
      <c r="K372" s="29" t="s">
        <v>1842</v>
      </c>
      <c r="L372" s="29" t="s">
        <v>1843</v>
      </c>
      <c r="M372" s="29" t="s">
        <v>1619</v>
      </c>
      <c r="N372" s="29" t="s">
        <v>1844</v>
      </c>
      <c r="O372" s="29" t="s">
        <v>1926</v>
      </c>
      <c r="P372" s="29" t="s">
        <v>1927</v>
      </c>
      <c r="Q372" s="29" t="s">
        <v>1623</v>
      </c>
      <c r="R372" s="29" t="s">
        <v>1928</v>
      </c>
      <c r="S372" s="29" t="s">
        <v>3045</v>
      </c>
      <c r="T372" s="29" t="s">
        <v>3046</v>
      </c>
      <c r="U372" s="29" t="s">
        <v>148</v>
      </c>
      <c r="V372" s="29" t="s">
        <v>3047</v>
      </c>
      <c r="W372" s="35" t="s">
        <v>1628</v>
      </c>
      <c r="X372" s="35" t="s">
        <v>1850</v>
      </c>
      <c r="Y372" s="35" t="s">
        <v>1930</v>
      </c>
      <c r="Z372" s="35" t="s">
        <v>3048</v>
      </c>
      <c r="AA372" s="35" t="s">
        <v>2714</v>
      </c>
      <c r="AB372" s="29" t="s">
        <v>1667</v>
      </c>
      <c r="AC372" s="35" t="s">
        <v>1633</v>
      </c>
      <c r="AD372" s="35" t="s">
        <v>1634</v>
      </c>
      <c r="AE372" s="35" t="s">
        <v>1634</v>
      </c>
      <c r="AF372" s="35" t="s">
        <v>1635</v>
      </c>
      <c r="AG372" s="35" t="s">
        <v>1636</v>
      </c>
      <c r="AI372" s="35"/>
      <c r="AJ372" s="35" t="s">
        <v>1637</v>
      </c>
      <c r="AK372" s="35" t="s">
        <v>1672</v>
      </c>
      <c r="AL372" s="29" t="s">
        <v>3034</v>
      </c>
      <c r="AM372" s="35"/>
      <c r="AN372" s="35"/>
      <c r="AO372" s="35"/>
      <c r="AP372" s="35"/>
      <c r="AQ372" s="35"/>
      <c r="AS372" s="35"/>
      <c r="AU372" s="35"/>
      <c r="AW372" s="35"/>
      <c r="AY372" s="35"/>
      <c r="AZ372" s="35"/>
      <c r="BA372" s="35"/>
      <c r="BB372" s="29" t="s">
        <v>3049</v>
      </c>
      <c r="BC372" s="29" t="s">
        <v>2347</v>
      </c>
      <c r="BD372" s="29" t="s">
        <v>2716</v>
      </c>
      <c r="BE372" s="29" t="s">
        <v>1805</v>
      </c>
      <c r="BF372" s="29" t="s">
        <v>1619</v>
      </c>
      <c r="BG372" s="29" t="s">
        <v>3050</v>
      </c>
      <c r="BI372" s="35"/>
      <c r="BJ372" s="35"/>
      <c r="BK372" s="29" t="str" cm="1">
        <f t="array" ref="BK372">_xlfn.UNIQUE(MID(BB372,16,14))</f>
        <v>U012UBB01UC001</v>
      </c>
    </row>
    <row r="373" spans="1:63" x14ac:dyDescent="0.3">
      <c r="A373" s="29" t="s">
        <v>1924</v>
      </c>
      <c r="B373" s="36" t="str">
        <f t="shared" si="25"/>
        <v>G01NHA01TA001-BL03</v>
      </c>
      <c r="C373" s="33" t="s">
        <v>3051</v>
      </c>
      <c r="D373" s="34" t="str">
        <f t="shared" si="26"/>
        <v>ELY1 RECT1 TRAFO1 LVL3 AL2</v>
      </c>
      <c r="E373" s="31">
        <f t="shared" si="27"/>
        <v>26</v>
      </c>
      <c r="F373" s="32" t="str">
        <f t="shared" si="28"/>
        <v>ELECTROLYSIS SYSTEM ELECTROLYSIS ARRAY 1 RECTIFIER SYSTEMS RECTIFIER SYSTEM 1 TRANSFORMERS RECTIFIER TRANSFORMER LEVEL LIMIT SWITCH - TAP CHANGER OIL LEVEL LEVEL MAX - TAP CHANGER OIL LEVEL</v>
      </c>
      <c r="G373" s="29" t="s">
        <v>1614</v>
      </c>
      <c r="H373" s="29" t="s">
        <v>1615</v>
      </c>
      <c r="I373" s="29" t="str">
        <f t="shared" si="29"/>
        <v>01</v>
      </c>
      <c r="J373" s="29" t="s">
        <v>1616</v>
      </c>
      <c r="K373" s="29" t="s">
        <v>1842</v>
      </c>
      <c r="L373" s="29" t="s">
        <v>1843</v>
      </c>
      <c r="M373" s="29" t="s">
        <v>1619</v>
      </c>
      <c r="N373" s="29" t="s">
        <v>1844</v>
      </c>
      <c r="O373" s="29" t="s">
        <v>1926</v>
      </c>
      <c r="P373" s="29" t="s">
        <v>1927</v>
      </c>
      <c r="Q373" s="29" t="s">
        <v>1623</v>
      </c>
      <c r="R373" s="29" t="s">
        <v>1928</v>
      </c>
      <c r="S373" s="29" t="s">
        <v>3045</v>
      </c>
      <c r="T373" s="29" t="s">
        <v>3046</v>
      </c>
      <c r="U373" s="29" t="s">
        <v>374</v>
      </c>
      <c r="V373" s="29" t="s">
        <v>3052</v>
      </c>
      <c r="W373" s="35" t="s">
        <v>1628</v>
      </c>
      <c r="X373" s="35" t="s">
        <v>1850</v>
      </c>
      <c r="Y373" s="35" t="s">
        <v>1930</v>
      </c>
      <c r="Z373" s="35" t="s">
        <v>3048</v>
      </c>
      <c r="AA373" s="35" t="s">
        <v>3038</v>
      </c>
      <c r="AB373" s="29" t="s">
        <v>1667</v>
      </c>
      <c r="AC373" s="35" t="s">
        <v>1633</v>
      </c>
      <c r="AD373" s="35" t="s">
        <v>1634</v>
      </c>
      <c r="AE373" s="35" t="s">
        <v>1634</v>
      </c>
      <c r="AF373" s="35" t="s">
        <v>1635</v>
      </c>
      <c r="AG373" s="35" t="s">
        <v>1636</v>
      </c>
      <c r="AI373" s="35"/>
      <c r="AJ373" s="35" t="s">
        <v>1637</v>
      </c>
      <c r="AK373" s="35" t="s">
        <v>1672</v>
      </c>
      <c r="AL373" s="29" t="s">
        <v>3034</v>
      </c>
      <c r="AM373" s="35"/>
      <c r="AN373" s="35"/>
      <c r="AO373" s="35"/>
      <c r="AP373" s="35"/>
      <c r="AQ373" s="35"/>
      <c r="AS373" s="35"/>
      <c r="AU373" s="35"/>
      <c r="AW373" s="35"/>
      <c r="AY373" s="35"/>
      <c r="AZ373" s="35"/>
      <c r="BA373" s="35"/>
      <c r="BB373" s="29" t="s">
        <v>3049</v>
      </c>
      <c r="BC373" s="29" t="s">
        <v>2347</v>
      </c>
      <c r="BD373" s="29" t="s">
        <v>3039</v>
      </c>
      <c r="BE373" s="29" t="s">
        <v>1805</v>
      </c>
      <c r="BF373" s="29" t="s">
        <v>1905</v>
      </c>
      <c r="BG373" s="29" t="s">
        <v>3050</v>
      </c>
      <c r="BI373" s="35"/>
      <c r="BJ373" s="35"/>
      <c r="BK373" s="29" t="str" cm="1">
        <f t="array" ref="BK373">_xlfn.UNIQUE(MID(BB373,16,14))</f>
        <v>U012UBB01UC001</v>
      </c>
    </row>
    <row r="374" spans="1:63" x14ac:dyDescent="0.3">
      <c r="A374" s="29" t="s">
        <v>1924</v>
      </c>
      <c r="B374" s="36" t="str">
        <f t="shared" si="25"/>
        <v>G01NHA01TA001-BP01</v>
      </c>
      <c r="C374" s="649" t="s">
        <v>3053</v>
      </c>
      <c r="D374" s="34" t="str">
        <f t="shared" si="26"/>
        <v>ELY1 RECT1 TRAFO1 PRES1 AL2</v>
      </c>
      <c r="E374" s="31">
        <f t="shared" si="27"/>
        <v>27</v>
      </c>
      <c r="F374" s="32" t="str">
        <f t="shared" si="28"/>
        <v>ELECTROLYSIS SYSTEM ELECTROLYSIS ARRAY 1 RECTIFIER SYSTEMS RECTIFIER SYSTEM 1 TRANSFORMERS RECTIFIER TRANSFORMER PRESSURE SWITCH - TRANSFORMER TRIPPING - PRESSURE SWITCH</v>
      </c>
      <c r="G374" s="29" t="s">
        <v>1614</v>
      </c>
      <c r="H374" s="29" t="s">
        <v>1615</v>
      </c>
      <c r="I374" s="29" t="str">
        <f t="shared" si="29"/>
        <v>01</v>
      </c>
      <c r="J374" s="29" t="s">
        <v>1616</v>
      </c>
      <c r="K374" s="29" t="s">
        <v>1842</v>
      </c>
      <c r="L374" s="29" t="s">
        <v>1843</v>
      </c>
      <c r="M374" s="29" t="s">
        <v>1619</v>
      </c>
      <c r="N374" s="29" t="s">
        <v>1844</v>
      </c>
      <c r="O374" s="29" t="s">
        <v>1926</v>
      </c>
      <c r="P374" s="29" t="s">
        <v>1927</v>
      </c>
      <c r="Q374" s="29" t="s">
        <v>1623</v>
      </c>
      <c r="R374" s="29" t="s">
        <v>1928</v>
      </c>
      <c r="S374" s="29" t="s">
        <v>1681</v>
      </c>
      <c r="T374" s="29" t="s">
        <v>3054</v>
      </c>
      <c r="U374" s="29" t="s">
        <v>374</v>
      </c>
      <c r="V374" s="29" t="s">
        <v>3055</v>
      </c>
      <c r="W374" s="35" t="s">
        <v>1628</v>
      </c>
      <c r="X374" s="35" t="s">
        <v>1850</v>
      </c>
      <c r="Y374" s="35" t="s">
        <v>1930</v>
      </c>
      <c r="Z374" s="35" t="s">
        <v>1684</v>
      </c>
      <c r="AA374" s="35" t="s">
        <v>3038</v>
      </c>
      <c r="AB374" s="29" t="s">
        <v>1667</v>
      </c>
      <c r="AC374" s="35" t="s">
        <v>1633</v>
      </c>
      <c r="AD374" s="35" t="s">
        <v>1634</v>
      </c>
      <c r="AE374" s="35" t="s">
        <v>1634</v>
      </c>
      <c r="AF374" s="35" t="s">
        <v>1635</v>
      </c>
      <c r="AG374" s="35" t="s">
        <v>1636</v>
      </c>
      <c r="AI374" s="35"/>
      <c r="AJ374" s="35" t="s">
        <v>1637</v>
      </c>
      <c r="AK374" s="35" t="s">
        <v>1638</v>
      </c>
      <c r="AL374" s="29" t="s">
        <v>3056</v>
      </c>
      <c r="AM374" s="35"/>
      <c r="AN374" s="35"/>
      <c r="AO374" s="35"/>
      <c r="AP374" s="35"/>
      <c r="AQ374" s="35"/>
      <c r="AS374" s="35"/>
      <c r="AU374" s="35"/>
      <c r="AW374" s="35"/>
      <c r="AY374" s="35"/>
      <c r="AZ374" s="35" t="s">
        <v>1642</v>
      </c>
      <c r="BA374" s="35"/>
      <c r="BG374" s="29" t="s">
        <v>3057</v>
      </c>
      <c r="BI374" s="35"/>
      <c r="BJ374" s="35"/>
      <c r="BK374" s="29" t="str" cm="1">
        <f t="array" ref="BK374">_xlfn.UNIQUE(MID(BB374,16,14))</f>
        <v/>
      </c>
    </row>
    <row r="375" spans="1:63" x14ac:dyDescent="0.3">
      <c r="A375" s="29" t="s">
        <v>1924</v>
      </c>
      <c r="B375" s="36" t="str">
        <f t="shared" si="25"/>
        <v>G01NHA01TA001-BP01</v>
      </c>
      <c r="C375" s="33" t="s">
        <v>3058</v>
      </c>
      <c r="D375" s="34" t="str">
        <f t="shared" si="26"/>
        <v>ELY1 RECT1 TRAFO1 PRES1 AL1</v>
      </c>
      <c r="E375" s="31">
        <f t="shared" si="27"/>
        <v>27</v>
      </c>
      <c r="F375" s="32" t="str">
        <f t="shared" si="28"/>
        <v>ELECTROLYSIS SYSTEM ELECTROLYSIS ARRAY 1 RECTIFIER SYSTEMS RECTIFIER SYSTEM 1 TRANSFORMERS RECTIFIER TRANSFORMER PRESSURE SWITCH - TRANSFORMER WARNING - PRESSURE SWITCH</v>
      </c>
      <c r="G375" s="29" t="s">
        <v>1614</v>
      </c>
      <c r="H375" s="29" t="s">
        <v>1615</v>
      </c>
      <c r="I375" s="29" t="str">
        <f t="shared" si="29"/>
        <v>01</v>
      </c>
      <c r="J375" s="29" t="s">
        <v>1616</v>
      </c>
      <c r="K375" s="29" t="s">
        <v>1842</v>
      </c>
      <c r="L375" s="29" t="s">
        <v>1843</v>
      </c>
      <c r="M375" s="29" t="s">
        <v>1619</v>
      </c>
      <c r="N375" s="29" t="s">
        <v>1844</v>
      </c>
      <c r="O375" s="29" t="s">
        <v>1926</v>
      </c>
      <c r="P375" s="29" t="s">
        <v>1927</v>
      </c>
      <c r="Q375" s="29" t="s">
        <v>1623</v>
      </c>
      <c r="R375" s="29" t="s">
        <v>1928</v>
      </c>
      <c r="S375" s="29" t="s">
        <v>1681</v>
      </c>
      <c r="T375" s="29" t="s">
        <v>3054</v>
      </c>
      <c r="U375" s="29" t="s">
        <v>148</v>
      </c>
      <c r="V375" s="29" t="s">
        <v>3059</v>
      </c>
      <c r="W375" s="35" t="s">
        <v>1628</v>
      </c>
      <c r="X375" s="35" t="s">
        <v>1850</v>
      </c>
      <c r="Y375" s="35" t="s">
        <v>1930</v>
      </c>
      <c r="Z375" s="35" t="s">
        <v>1684</v>
      </c>
      <c r="AA375" s="35" t="s">
        <v>2714</v>
      </c>
      <c r="AB375" s="29" t="s">
        <v>1667</v>
      </c>
      <c r="AC375" s="35" t="s">
        <v>1633</v>
      </c>
      <c r="AD375" s="35" t="s">
        <v>1634</v>
      </c>
      <c r="AE375" s="35" t="s">
        <v>1634</v>
      </c>
      <c r="AF375" s="35" t="s">
        <v>1635</v>
      </c>
      <c r="AG375" s="35" t="s">
        <v>1636</v>
      </c>
      <c r="AI375" s="35"/>
      <c r="AJ375" s="35" t="s">
        <v>1637</v>
      </c>
      <c r="AK375" s="35" t="s">
        <v>1672</v>
      </c>
      <c r="AL375" s="29" t="s">
        <v>3056</v>
      </c>
      <c r="AM375" s="35"/>
      <c r="AN375" s="35"/>
      <c r="AO375" s="35"/>
      <c r="AP375" s="35"/>
      <c r="AQ375" s="35"/>
      <c r="AS375" s="35"/>
      <c r="AU375" s="35"/>
      <c r="AW375" s="35"/>
      <c r="AY375" s="35"/>
      <c r="AZ375" s="35" t="s">
        <v>1642</v>
      </c>
      <c r="BA375" s="35"/>
      <c r="BD375" s="29" t="s">
        <v>2716</v>
      </c>
      <c r="BE375" s="29" t="s">
        <v>1805</v>
      </c>
      <c r="BG375" s="29" t="s">
        <v>3057</v>
      </c>
      <c r="BI375" s="35"/>
      <c r="BJ375" s="35"/>
      <c r="BK375" s="29" t="str" cm="1">
        <f t="array" ref="BK375">_xlfn.UNIQUE(MID(BB375,16,14))</f>
        <v/>
      </c>
    </row>
    <row r="376" spans="1:63" x14ac:dyDescent="0.3">
      <c r="A376" s="29" t="s">
        <v>1924</v>
      </c>
      <c r="B376" s="36" t="str">
        <f t="shared" si="25"/>
        <v>G01NHA01TA001-BT01</v>
      </c>
      <c r="C376" s="46" t="s">
        <v>3060</v>
      </c>
      <c r="D376" s="34" t="str">
        <f t="shared" si="26"/>
        <v>ELY1 RECT1 TRAFO1 TEMP1 AL2</v>
      </c>
      <c r="E376" s="31">
        <f t="shared" si="27"/>
        <v>27</v>
      </c>
      <c r="F376" s="32" t="str">
        <f t="shared" si="28"/>
        <v>ELECTROLYSIS SYSTEM ELECTROLYSIS ARRAY 1 RECTIFIER SYSTEMS RECTIFIER SYSTEM 1 TRANSFORMERS RECTIFIER TRANSFORMER TEMPERATURE SWITCH - OIL TEMPERATURE TRIPPING - OIL TEMPERATURE</v>
      </c>
      <c r="G376" s="29" t="s">
        <v>1614</v>
      </c>
      <c r="H376" s="29" t="s">
        <v>1615</v>
      </c>
      <c r="I376" s="29" t="str">
        <f t="shared" si="29"/>
        <v>01</v>
      </c>
      <c r="J376" s="29" t="s">
        <v>1616</v>
      </c>
      <c r="K376" s="29" t="s">
        <v>1842</v>
      </c>
      <c r="L376" s="29" t="s">
        <v>1843</v>
      </c>
      <c r="M376" s="29" t="s">
        <v>1619</v>
      </c>
      <c r="N376" s="29" t="s">
        <v>1844</v>
      </c>
      <c r="O376" s="29" t="s">
        <v>1926</v>
      </c>
      <c r="P376" s="29" t="s">
        <v>1927</v>
      </c>
      <c r="Q376" s="29" t="s">
        <v>1623</v>
      </c>
      <c r="R376" s="29" t="s">
        <v>1928</v>
      </c>
      <c r="S376" s="29" t="s">
        <v>1715</v>
      </c>
      <c r="T376" s="29" t="s">
        <v>1929</v>
      </c>
      <c r="U376" s="29" t="s">
        <v>374</v>
      </c>
      <c r="V376" s="29" t="s">
        <v>3061</v>
      </c>
      <c r="W376" s="35" t="s">
        <v>1628</v>
      </c>
      <c r="X376" s="35" t="s">
        <v>1850</v>
      </c>
      <c r="Y376" s="35" t="s">
        <v>1930</v>
      </c>
      <c r="Z376" s="35" t="s">
        <v>1719</v>
      </c>
      <c r="AA376" s="35" t="s">
        <v>3038</v>
      </c>
      <c r="AB376" s="29" t="s">
        <v>1667</v>
      </c>
      <c r="AC376" s="35" t="s">
        <v>1633</v>
      </c>
      <c r="AD376" s="35" t="s">
        <v>1634</v>
      </c>
      <c r="AE376" s="35" t="s">
        <v>1634</v>
      </c>
      <c r="AF376" s="35" t="s">
        <v>1635</v>
      </c>
      <c r="AG376" s="35" t="s">
        <v>1636</v>
      </c>
      <c r="AI376" s="35"/>
      <c r="AJ376" s="35" t="s">
        <v>1637</v>
      </c>
      <c r="AK376" s="35" t="s">
        <v>1638</v>
      </c>
      <c r="AL376" s="29" t="s">
        <v>1706</v>
      </c>
      <c r="AM376" s="35"/>
      <c r="AN376" s="35"/>
      <c r="AO376" s="35"/>
      <c r="AP376" s="35"/>
      <c r="AQ376" s="35"/>
      <c r="AS376" s="35"/>
      <c r="AU376" s="35"/>
      <c r="AW376" s="35"/>
      <c r="AY376" s="35"/>
      <c r="AZ376" s="35" t="s">
        <v>1642</v>
      </c>
      <c r="BA376" s="35"/>
      <c r="BB376" s="29" t="s">
        <v>2654</v>
      </c>
      <c r="BC376" s="29" t="s">
        <v>1644</v>
      </c>
      <c r="BD376" s="29" t="s">
        <v>3062</v>
      </c>
      <c r="BE376" s="29" t="s">
        <v>3063</v>
      </c>
      <c r="BF376" s="29" t="s">
        <v>1922</v>
      </c>
      <c r="BG376" s="29" t="s">
        <v>1932</v>
      </c>
      <c r="BI376" s="35"/>
      <c r="BJ376" s="35"/>
      <c r="BK376" s="29" t="str" cm="1">
        <f t="array" ref="BK376">_xlfn.UNIQUE(MID(BB376,16,14))</f>
        <v>U012UBB01UC001</v>
      </c>
    </row>
    <row r="377" spans="1:63" x14ac:dyDescent="0.3">
      <c r="A377" s="29" t="s">
        <v>1924</v>
      </c>
      <c r="B377" s="36" t="str">
        <f t="shared" si="25"/>
        <v>G01NHA01TA001-BT01</v>
      </c>
      <c r="C377" s="33" t="s">
        <v>3064</v>
      </c>
      <c r="D377" s="34" t="str">
        <f t="shared" si="26"/>
        <v>ELY1 RECT1 TRAFO1 TEMP1 AL1</v>
      </c>
      <c r="E377" s="31">
        <f t="shared" si="27"/>
        <v>27</v>
      </c>
      <c r="F377" s="32" t="str">
        <f t="shared" si="28"/>
        <v>ELECTROLYSIS SYSTEM ELECTROLYSIS ARRAY 1 RECTIFIER SYSTEMS RECTIFIER SYSTEM 1 TRANSFORMERS RECTIFIER TRANSFORMER TEMPERATURE SWITCH - OIL TEMPERATURE WARNING - OIL TEMPERATURE</v>
      </c>
      <c r="G377" s="29" t="s">
        <v>1614</v>
      </c>
      <c r="H377" s="29" t="s">
        <v>1615</v>
      </c>
      <c r="I377" s="29" t="str">
        <f t="shared" si="29"/>
        <v>01</v>
      </c>
      <c r="J377" s="29" t="s">
        <v>1616</v>
      </c>
      <c r="K377" s="29" t="s">
        <v>1842</v>
      </c>
      <c r="L377" s="29" t="s">
        <v>1843</v>
      </c>
      <c r="M377" s="29" t="s">
        <v>1619</v>
      </c>
      <c r="N377" s="29" t="s">
        <v>1844</v>
      </c>
      <c r="O377" s="29" t="s">
        <v>1926</v>
      </c>
      <c r="P377" s="29" t="s">
        <v>1927</v>
      </c>
      <c r="Q377" s="29" t="s">
        <v>1623</v>
      </c>
      <c r="R377" s="29" t="s">
        <v>1928</v>
      </c>
      <c r="S377" s="29" t="s">
        <v>1715</v>
      </c>
      <c r="T377" s="29" t="s">
        <v>1929</v>
      </c>
      <c r="U377" s="29" t="s">
        <v>148</v>
      </c>
      <c r="V377" s="29" t="s">
        <v>3065</v>
      </c>
      <c r="W377" s="35" t="s">
        <v>1628</v>
      </c>
      <c r="X377" s="35" t="s">
        <v>1850</v>
      </c>
      <c r="Y377" s="35" t="s">
        <v>1930</v>
      </c>
      <c r="Z377" s="35" t="s">
        <v>1719</v>
      </c>
      <c r="AA377" s="35" t="s">
        <v>2714</v>
      </c>
      <c r="AB377" s="29" t="s">
        <v>1667</v>
      </c>
      <c r="AC377" s="35" t="s">
        <v>1633</v>
      </c>
      <c r="AD377" s="35" t="s">
        <v>1634</v>
      </c>
      <c r="AE377" s="35" t="s">
        <v>1634</v>
      </c>
      <c r="AF377" s="35" t="s">
        <v>1635</v>
      </c>
      <c r="AG377" s="35" t="s">
        <v>1636</v>
      </c>
      <c r="AI377" s="35"/>
      <c r="AJ377" s="35" t="s">
        <v>1637</v>
      </c>
      <c r="AK377" s="35" t="s">
        <v>1672</v>
      </c>
      <c r="AL377" s="29" t="s">
        <v>1706</v>
      </c>
      <c r="AM377" s="35"/>
      <c r="AN377" s="35"/>
      <c r="AO377" s="35"/>
      <c r="AP377" s="35"/>
      <c r="AQ377" s="35"/>
      <c r="AS377" s="35"/>
      <c r="AU377" s="35"/>
      <c r="AW377" s="35"/>
      <c r="AY377" s="35"/>
      <c r="AZ377" s="35" t="s">
        <v>1642</v>
      </c>
      <c r="BA377" s="35"/>
      <c r="BB377" s="29" t="s">
        <v>3049</v>
      </c>
      <c r="BC377" s="29" t="s">
        <v>2347</v>
      </c>
      <c r="BD377" s="29" t="s">
        <v>2716</v>
      </c>
      <c r="BE377" s="29" t="s">
        <v>1805</v>
      </c>
      <c r="BF377" s="29" t="s">
        <v>1909</v>
      </c>
      <c r="BG377" s="29" t="s">
        <v>1932</v>
      </c>
      <c r="BI377" s="35"/>
      <c r="BJ377" s="35"/>
      <c r="BK377" s="29" t="str" cm="1">
        <f t="array" ref="BK377">_xlfn.UNIQUE(MID(BB377,16,14))</f>
        <v>U012UBB01UC001</v>
      </c>
    </row>
    <row r="378" spans="1:63" x14ac:dyDescent="0.3">
      <c r="A378" s="29" t="s">
        <v>1924</v>
      </c>
      <c r="B378" s="36" t="str">
        <f t="shared" si="25"/>
        <v>G01NHA01TA001-BT02</v>
      </c>
      <c r="C378" s="46" t="s">
        <v>3066</v>
      </c>
      <c r="D378" s="34" t="str">
        <f t="shared" si="26"/>
        <v>ELY1 RECT1 TRAFO1 TEMP2 AL2</v>
      </c>
      <c r="E378" s="31">
        <f t="shared" si="27"/>
        <v>27</v>
      </c>
      <c r="F378" s="32" t="str">
        <f t="shared" si="28"/>
        <v>ELECTROLYSIS SYSTEM ELECTROLYSIS ARRAY 1 RECTIFIER SYSTEMS RECTIFIER SYSTEM 1 TRANSFORMERS RECTIFIER TRANSFORMER TEMPERATURE SWITCH - WINDING TEMPERATURE TRIPPING - WINDING TEMPERATURE</v>
      </c>
      <c r="G378" s="29" t="s">
        <v>1614</v>
      </c>
      <c r="H378" s="29" t="s">
        <v>1615</v>
      </c>
      <c r="I378" s="29" t="str">
        <f t="shared" si="29"/>
        <v>01</v>
      </c>
      <c r="J378" s="29" t="s">
        <v>1616</v>
      </c>
      <c r="K378" s="29" t="s">
        <v>1842</v>
      </c>
      <c r="L378" s="29" t="s">
        <v>1843</v>
      </c>
      <c r="M378" s="29" t="s">
        <v>1619</v>
      </c>
      <c r="N378" s="29" t="s">
        <v>1844</v>
      </c>
      <c r="O378" s="29" t="s">
        <v>1926</v>
      </c>
      <c r="P378" s="29" t="s">
        <v>1927</v>
      </c>
      <c r="Q378" s="29" t="s">
        <v>1623</v>
      </c>
      <c r="R378" s="29" t="s">
        <v>1928</v>
      </c>
      <c r="S378" s="29" t="s">
        <v>1791</v>
      </c>
      <c r="T378" s="29" t="s">
        <v>1934</v>
      </c>
      <c r="U378" s="29" t="s">
        <v>374</v>
      </c>
      <c r="V378" s="29" t="s">
        <v>3067</v>
      </c>
      <c r="W378" s="35" t="s">
        <v>1628</v>
      </c>
      <c r="X378" s="35" t="s">
        <v>1850</v>
      </c>
      <c r="Y378" s="35" t="s">
        <v>1930</v>
      </c>
      <c r="Z378" s="35" t="s">
        <v>1793</v>
      </c>
      <c r="AA378" s="35" t="s">
        <v>3038</v>
      </c>
      <c r="AB378" s="29" t="s">
        <v>1667</v>
      </c>
      <c r="AC378" s="35" t="s">
        <v>1633</v>
      </c>
      <c r="AD378" s="35" t="s">
        <v>1634</v>
      </c>
      <c r="AE378" s="35" t="s">
        <v>1634</v>
      </c>
      <c r="AF378" s="35" t="s">
        <v>1635</v>
      </c>
      <c r="AG378" s="35" t="s">
        <v>1636</v>
      </c>
      <c r="AI378" s="35"/>
      <c r="AJ378" s="35" t="s">
        <v>1637</v>
      </c>
      <c r="AK378" s="35" t="s">
        <v>1638</v>
      </c>
      <c r="AL378" s="29" t="s">
        <v>1935</v>
      </c>
      <c r="AM378" s="35"/>
      <c r="AN378" s="35"/>
      <c r="AO378" s="35"/>
      <c r="AP378" s="35"/>
      <c r="AQ378" s="35"/>
      <c r="AS378" s="35"/>
      <c r="AU378" s="35"/>
      <c r="AW378" s="35"/>
      <c r="AY378" s="35"/>
      <c r="AZ378" s="35" t="s">
        <v>1642</v>
      </c>
      <c r="BA378" s="35"/>
      <c r="BB378" s="29" t="s">
        <v>2654</v>
      </c>
      <c r="BC378" s="29" t="s">
        <v>1644</v>
      </c>
      <c r="BD378" s="29" t="s">
        <v>3068</v>
      </c>
      <c r="BE378" s="29" t="s">
        <v>3069</v>
      </c>
      <c r="BF378" s="29" t="s">
        <v>1931</v>
      </c>
      <c r="BG378" s="29" t="s">
        <v>1937</v>
      </c>
      <c r="BI378" s="35"/>
      <c r="BJ378" s="35"/>
      <c r="BK378" s="29" t="str" cm="1">
        <f t="array" ref="BK378">_xlfn.UNIQUE(MID(BB378,16,14))</f>
        <v>U012UBB01UC001</v>
      </c>
    </row>
    <row r="379" spans="1:63" x14ac:dyDescent="0.3">
      <c r="A379" s="29" t="s">
        <v>1924</v>
      </c>
      <c r="B379" s="36" t="str">
        <f t="shared" si="25"/>
        <v>G01NHA01TA001-BT02</v>
      </c>
      <c r="C379" s="33" t="s">
        <v>3070</v>
      </c>
      <c r="D379" s="34" t="str">
        <f t="shared" si="26"/>
        <v>ELY1 RECT1 TRAFO1 TEMP2 AL1</v>
      </c>
      <c r="E379" s="31">
        <f t="shared" si="27"/>
        <v>27</v>
      </c>
      <c r="F379" s="32" t="str">
        <f t="shared" si="28"/>
        <v>ELECTROLYSIS SYSTEM ELECTROLYSIS ARRAY 1 RECTIFIER SYSTEMS RECTIFIER SYSTEM 1 TRANSFORMERS RECTIFIER TRANSFORMER TEMPERATURE SWITCH - WINDING TEMPERATURE WARNING - WINDING TEMPERATURE</v>
      </c>
      <c r="G379" s="29" t="s">
        <v>1614</v>
      </c>
      <c r="H379" s="29" t="s">
        <v>1615</v>
      </c>
      <c r="I379" s="29" t="str">
        <f t="shared" si="29"/>
        <v>01</v>
      </c>
      <c r="J379" s="29" t="s">
        <v>1616</v>
      </c>
      <c r="K379" s="29" t="s">
        <v>1842</v>
      </c>
      <c r="L379" s="29" t="s">
        <v>1843</v>
      </c>
      <c r="M379" s="29" t="s">
        <v>1619</v>
      </c>
      <c r="N379" s="29" t="s">
        <v>1844</v>
      </c>
      <c r="O379" s="29" t="s">
        <v>1926</v>
      </c>
      <c r="P379" s="29" t="s">
        <v>1927</v>
      </c>
      <c r="Q379" s="29" t="s">
        <v>1623</v>
      </c>
      <c r="R379" s="29" t="s">
        <v>1928</v>
      </c>
      <c r="S379" s="29" t="s">
        <v>1791</v>
      </c>
      <c r="T379" s="29" t="s">
        <v>1934</v>
      </c>
      <c r="U379" s="29" t="s">
        <v>148</v>
      </c>
      <c r="V379" s="29" t="s">
        <v>3071</v>
      </c>
      <c r="W379" s="35" t="s">
        <v>1628</v>
      </c>
      <c r="X379" s="35" t="s">
        <v>1850</v>
      </c>
      <c r="Y379" s="35" t="s">
        <v>1930</v>
      </c>
      <c r="Z379" s="35" t="s">
        <v>1793</v>
      </c>
      <c r="AA379" s="35" t="s">
        <v>2714</v>
      </c>
      <c r="AB379" s="29" t="s">
        <v>1667</v>
      </c>
      <c r="AC379" s="35" t="s">
        <v>1633</v>
      </c>
      <c r="AD379" s="35" t="s">
        <v>1634</v>
      </c>
      <c r="AE379" s="35" t="s">
        <v>1634</v>
      </c>
      <c r="AF379" s="35" t="s">
        <v>1635</v>
      </c>
      <c r="AG379" s="35" t="s">
        <v>1636</v>
      </c>
      <c r="AI379" s="35"/>
      <c r="AJ379" s="35" t="s">
        <v>1637</v>
      </c>
      <c r="AK379" s="35" t="s">
        <v>1672</v>
      </c>
      <c r="AL379" s="29" t="s">
        <v>1935</v>
      </c>
      <c r="AM379" s="35"/>
      <c r="AN379" s="35"/>
      <c r="AO379" s="35"/>
      <c r="AP379" s="35"/>
      <c r="AQ379" s="35"/>
      <c r="AS379" s="35"/>
      <c r="AU379" s="35"/>
      <c r="AW379" s="35"/>
      <c r="AY379" s="35"/>
      <c r="AZ379" s="35" t="s">
        <v>1642</v>
      </c>
      <c r="BA379" s="35"/>
      <c r="BB379" s="29" t="s">
        <v>3049</v>
      </c>
      <c r="BC379" s="29" t="s">
        <v>2347</v>
      </c>
      <c r="BD379" s="29" t="s">
        <v>2716</v>
      </c>
      <c r="BE379" s="29" t="s">
        <v>1805</v>
      </c>
      <c r="BF379" s="29" t="s">
        <v>1915</v>
      </c>
      <c r="BG379" s="29" t="s">
        <v>1937</v>
      </c>
      <c r="BI379" s="35"/>
      <c r="BJ379" s="35"/>
      <c r="BK379" s="29" t="str" cm="1">
        <f t="array" ref="BK379">_xlfn.UNIQUE(MID(BB379,16,14))</f>
        <v>U012UBB01UC001</v>
      </c>
    </row>
    <row r="380" spans="1:63" x14ac:dyDescent="0.3">
      <c r="A380" s="29" t="s">
        <v>1924</v>
      </c>
      <c r="B380" s="36" t="str">
        <f t="shared" si="25"/>
        <v>G01NHA01TA001-BU01</v>
      </c>
      <c r="C380" s="46" t="s">
        <v>3072</v>
      </c>
      <c r="D380" s="34" t="str">
        <f t="shared" si="26"/>
        <v>ELY1 RECT1 TRAFO1 BUCHH PROT AL2</v>
      </c>
      <c r="E380" s="31">
        <f t="shared" si="27"/>
        <v>32</v>
      </c>
      <c r="F380" s="32" t="str">
        <f t="shared" si="28"/>
        <v>ELECTROLYSIS SYSTEM ELECTROLYSIS ARRAY 1 RECTIFIER SYSTEMS RECTIFIER SYSTEM 1 TRANSFORMERS RECTIFIER TRANSFORMER BUCHHOLZ PROTECTIVE DEVICE - TRANSFORMER TRIPPING - BUCHHOLZ RELAY</v>
      </c>
      <c r="G380" s="29" t="s">
        <v>1614</v>
      </c>
      <c r="H380" s="29" t="s">
        <v>1615</v>
      </c>
      <c r="I380" s="29" t="str">
        <f t="shared" si="29"/>
        <v>01</v>
      </c>
      <c r="J380" s="29" t="s">
        <v>1616</v>
      </c>
      <c r="K380" s="29" t="s">
        <v>1842</v>
      </c>
      <c r="L380" s="29" t="s">
        <v>1843</v>
      </c>
      <c r="M380" s="29" t="s">
        <v>1619</v>
      </c>
      <c r="N380" s="29" t="s">
        <v>1844</v>
      </c>
      <c r="O380" s="29" t="s">
        <v>1926</v>
      </c>
      <c r="P380" s="29" t="s">
        <v>1927</v>
      </c>
      <c r="Q380" s="29" t="s">
        <v>1623</v>
      </c>
      <c r="R380" s="29" t="s">
        <v>1928</v>
      </c>
      <c r="S380" s="29" t="s">
        <v>3073</v>
      </c>
      <c r="T380" s="29" t="s">
        <v>3074</v>
      </c>
      <c r="U380" s="29" t="s">
        <v>374</v>
      </c>
      <c r="V380" s="29" t="s">
        <v>3075</v>
      </c>
      <c r="W380" s="35" t="s">
        <v>1628</v>
      </c>
      <c r="X380" s="35" t="s">
        <v>1850</v>
      </c>
      <c r="Y380" s="35" t="s">
        <v>1930</v>
      </c>
      <c r="Z380" s="35" t="s">
        <v>3076</v>
      </c>
      <c r="AA380" s="35" t="s">
        <v>3038</v>
      </c>
      <c r="AB380" s="29" t="s">
        <v>1667</v>
      </c>
      <c r="AC380" s="35" t="s">
        <v>1633</v>
      </c>
      <c r="AD380" s="35" t="s">
        <v>1634</v>
      </c>
      <c r="AE380" s="35" t="s">
        <v>1634</v>
      </c>
      <c r="AF380" s="35" t="s">
        <v>1635</v>
      </c>
      <c r="AG380" s="35" t="s">
        <v>1636</v>
      </c>
      <c r="AI380" s="35"/>
      <c r="AJ380" s="35" t="s">
        <v>1637</v>
      </c>
      <c r="AK380" s="35" t="s">
        <v>1638</v>
      </c>
      <c r="AL380" s="29" t="s">
        <v>3056</v>
      </c>
      <c r="AM380" s="35"/>
      <c r="AN380" s="35"/>
      <c r="AO380" s="35"/>
      <c r="AP380" s="35"/>
      <c r="AQ380" s="35"/>
      <c r="AS380" s="35"/>
      <c r="AU380" s="35"/>
      <c r="AW380" s="35"/>
      <c r="AY380" s="35"/>
      <c r="AZ380" s="35" t="s">
        <v>1642</v>
      </c>
      <c r="BA380" s="35"/>
      <c r="BB380" s="29" t="s">
        <v>2654</v>
      </c>
      <c r="BC380" s="29" t="s">
        <v>1644</v>
      </c>
      <c r="BD380" s="29" t="s">
        <v>3077</v>
      </c>
      <c r="BE380" s="29" t="s">
        <v>3078</v>
      </c>
      <c r="BF380" s="29" t="s">
        <v>1936</v>
      </c>
      <c r="BG380" s="29" t="s">
        <v>3079</v>
      </c>
      <c r="BI380" s="35"/>
      <c r="BJ380" s="35"/>
      <c r="BK380" s="29" t="str" cm="1">
        <f t="array" ref="BK380">_xlfn.UNIQUE(MID(BB380,16,14))</f>
        <v>U012UBB01UC001</v>
      </c>
    </row>
    <row r="381" spans="1:63" x14ac:dyDescent="0.3">
      <c r="A381" s="29" t="s">
        <v>1924</v>
      </c>
      <c r="B381" s="36" t="str">
        <f t="shared" si="25"/>
        <v>G01NHA01TA001-BU01</v>
      </c>
      <c r="C381" s="33" t="s">
        <v>3080</v>
      </c>
      <c r="D381" s="34" t="str">
        <f t="shared" si="26"/>
        <v>ELY1 RECT1 TRAFO1 BUCHH PROT AL1</v>
      </c>
      <c r="E381" s="31">
        <f t="shared" si="27"/>
        <v>32</v>
      </c>
      <c r="F381" s="32" t="str">
        <f t="shared" si="28"/>
        <v>ELECTROLYSIS SYSTEM ELECTROLYSIS ARRAY 1 RECTIFIER SYSTEMS RECTIFIER SYSTEM 1 TRANSFORMERS RECTIFIER TRANSFORMER BUCHHOLZ PROTECTIVE DEVICE - TRANSFORMER WARNING - BUCHHOLZ RELAY</v>
      </c>
      <c r="G381" s="29" t="s">
        <v>1614</v>
      </c>
      <c r="H381" s="29" t="s">
        <v>1615</v>
      </c>
      <c r="I381" s="29" t="str">
        <f t="shared" si="29"/>
        <v>01</v>
      </c>
      <c r="J381" s="29" t="s">
        <v>1616</v>
      </c>
      <c r="K381" s="29" t="s">
        <v>1842</v>
      </c>
      <c r="L381" s="29" t="s">
        <v>1843</v>
      </c>
      <c r="M381" s="29" t="s">
        <v>1619</v>
      </c>
      <c r="N381" s="29" t="s">
        <v>1844</v>
      </c>
      <c r="O381" s="29" t="s">
        <v>1926</v>
      </c>
      <c r="P381" s="29" t="s">
        <v>1927</v>
      </c>
      <c r="Q381" s="29" t="s">
        <v>1623</v>
      </c>
      <c r="R381" s="29" t="s">
        <v>1928</v>
      </c>
      <c r="S381" s="29" t="s">
        <v>3073</v>
      </c>
      <c r="T381" s="29" t="s">
        <v>3074</v>
      </c>
      <c r="U381" s="29" t="s">
        <v>148</v>
      </c>
      <c r="V381" s="29" t="s">
        <v>3081</v>
      </c>
      <c r="W381" s="35" t="s">
        <v>1628</v>
      </c>
      <c r="X381" s="35" t="s">
        <v>1850</v>
      </c>
      <c r="Y381" s="35" t="s">
        <v>1930</v>
      </c>
      <c r="Z381" s="35" t="s">
        <v>3076</v>
      </c>
      <c r="AA381" s="35" t="s">
        <v>2714</v>
      </c>
      <c r="AB381" s="29" t="s">
        <v>1667</v>
      </c>
      <c r="AC381" s="35" t="s">
        <v>1633</v>
      </c>
      <c r="AD381" s="35" t="s">
        <v>1634</v>
      </c>
      <c r="AE381" s="35" t="s">
        <v>1634</v>
      </c>
      <c r="AF381" s="35" t="s">
        <v>1635</v>
      </c>
      <c r="AG381" s="35" t="s">
        <v>1636</v>
      </c>
      <c r="AI381" s="35"/>
      <c r="AJ381" s="35" t="s">
        <v>1637</v>
      </c>
      <c r="AK381" s="35" t="s">
        <v>1672</v>
      </c>
      <c r="AL381" s="29" t="s">
        <v>3056</v>
      </c>
      <c r="AM381" s="35"/>
      <c r="AN381" s="35"/>
      <c r="AO381" s="35"/>
      <c r="AP381" s="35"/>
      <c r="AQ381" s="35"/>
      <c r="AS381" s="35"/>
      <c r="AU381" s="35"/>
      <c r="AW381" s="35"/>
      <c r="AY381" s="35"/>
      <c r="AZ381" s="35" t="s">
        <v>1642</v>
      </c>
      <c r="BA381" s="35"/>
      <c r="BB381" s="29" t="s">
        <v>3049</v>
      </c>
      <c r="BC381" s="29" t="s">
        <v>2347</v>
      </c>
      <c r="BD381" s="29" t="s">
        <v>2716</v>
      </c>
      <c r="BE381" s="29" t="s">
        <v>1805</v>
      </c>
      <c r="BF381" s="29" t="s">
        <v>1919</v>
      </c>
      <c r="BG381" s="29" t="s">
        <v>3079</v>
      </c>
      <c r="BI381" s="35"/>
      <c r="BJ381" s="35"/>
      <c r="BK381" s="29" t="str" cm="1">
        <f t="array" ref="BK381">_xlfn.UNIQUE(MID(BB381,16,14))</f>
        <v>U012UBB01UC001</v>
      </c>
    </row>
    <row r="382" spans="1:63" x14ac:dyDescent="0.3">
      <c r="A382" s="29" t="s">
        <v>1924</v>
      </c>
      <c r="B382" s="36" t="str">
        <f t="shared" si="25"/>
        <v>G01NHA01TA001-BU02</v>
      </c>
      <c r="C382" s="46" t="s">
        <v>3082</v>
      </c>
      <c r="D382" s="34" t="str">
        <f t="shared" si="26"/>
        <v>ELY1 RECT1 TRAFO1 TAP CHG AL1</v>
      </c>
      <c r="E382" s="31">
        <f t="shared" si="27"/>
        <v>29</v>
      </c>
      <c r="F382" s="32" t="str">
        <f t="shared" si="28"/>
        <v>ELECTROLYSIS SYSTEM ELECTROLYSIS ARRAY 1 RECTIFIER SYSTEMS RECTIFIER SYSTEM 1 TRANSFORMERS RECTIFIER TRANSFORMER PROTECTION RELAY - TAP CHANGER TRIPPING - PROTECTION RELAY - TAP CHANGER</v>
      </c>
      <c r="G382" s="29" t="s">
        <v>1614</v>
      </c>
      <c r="H382" s="29" t="s">
        <v>1615</v>
      </c>
      <c r="I382" s="29" t="str">
        <f t="shared" si="29"/>
        <v>01</v>
      </c>
      <c r="J382" s="29" t="s">
        <v>1616</v>
      </c>
      <c r="K382" s="29" t="s">
        <v>1842</v>
      </c>
      <c r="L382" s="29" t="s">
        <v>1843</v>
      </c>
      <c r="M382" s="29" t="s">
        <v>1619</v>
      </c>
      <c r="N382" s="29" t="s">
        <v>1844</v>
      </c>
      <c r="O382" s="29" t="s">
        <v>1926</v>
      </c>
      <c r="P382" s="29" t="s">
        <v>1927</v>
      </c>
      <c r="Q382" s="29" t="s">
        <v>1623</v>
      </c>
      <c r="R382" s="29" t="s">
        <v>1928</v>
      </c>
      <c r="S382" s="29" t="s">
        <v>3083</v>
      </c>
      <c r="T382" s="29" t="s">
        <v>3084</v>
      </c>
      <c r="U382" s="29" t="s">
        <v>148</v>
      </c>
      <c r="V382" s="29" t="s">
        <v>3085</v>
      </c>
      <c r="W382" s="35" t="s">
        <v>1628</v>
      </c>
      <c r="X382" s="35" t="s">
        <v>1850</v>
      </c>
      <c r="Y382" s="35" t="s">
        <v>1930</v>
      </c>
      <c r="Z382" s="35" t="s">
        <v>3086</v>
      </c>
      <c r="AA382" s="35" t="s">
        <v>2714</v>
      </c>
      <c r="AB382" s="29" t="s">
        <v>1667</v>
      </c>
      <c r="AC382" s="35" t="s">
        <v>1633</v>
      </c>
      <c r="AD382" s="35" t="s">
        <v>1634</v>
      </c>
      <c r="AE382" s="35" t="s">
        <v>1634</v>
      </c>
      <c r="AF382" s="35" t="s">
        <v>1635</v>
      </c>
      <c r="AG382" s="35" t="s">
        <v>1636</v>
      </c>
      <c r="AI382" s="35"/>
      <c r="AJ382" s="35" t="s">
        <v>1637</v>
      </c>
      <c r="AK382" s="35" t="s">
        <v>1638</v>
      </c>
      <c r="AL382" s="29" t="s">
        <v>3087</v>
      </c>
      <c r="AM382" s="35"/>
      <c r="AN382" s="35"/>
      <c r="AO382" s="35"/>
      <c r="AP382" s="35"/>
      <c r="AQ382" s="35"/>
      <c r="AS382" s="35"/>
      <c r="AU382" s="35"/>
      <c r="AW382" s="35"/>
      <c r="AY382" s="35"/>
      <c r="AZ382" s="35" t="s">
        <v>1642</v>
      </c>
      <c r="BA382" s="35"/>
      <c r="BB382" s="29" t="s">
        <v>2654</v>
      </c>
      <c r="BC382" s="29" t="s">
        <v>1644</v>
      </c>
      <c r="BD382" s="29" t="s">
        <v>3088</v>
      </c>
      <c r="BE382" s="29" t="s">
        <v>2353</v>
      </c>
      <c r="BF382" s="29" t="s">
        <v>2035</v>
      </c>
      <c r="BG382" s="29" t="s">
        <v>3089</v>
      </c>
      <c r="BI382" s="35"/>
      <c r="BJ382" s="35"/>
      <c r="BK382" s="29" t="str" cm="1">
        <f t="array" ref="BK382">_xlfn.UNIQUE(MID(BB382,16,14))</f>
        <v>U012UBB01UC001</v>
      </c>
    </row>
    <row r="383" spans="1:63" x14ac:dyDescent="0.3">
      <c r="A383" s="29" t="s">
        <v>1924</v>
      </c>
      <c r="B383" s="36" t="str">
        <f t="shared" si="25"/>
        <v>G01NHA01TA001-GP01</v>
      </c>
      <c r="C383" s="33" t="s">
        <v>3090</v>
      </c>
      <c r="D383" s="34" t="str">
        <f t="shared" si="26"/>
        <v>ELY1 RECT1 TRAFO1 PMP1 CHECK CMD</v>
      </c>
      <c r="E383" s="31">
        <f t="shared" si="27"/>
        <v>32</v>
      </c>
      <c r="F383" s="32" t="str">
        <f t="shared" si="28"/>
        <v>ELECTROLYSIS SYSTEM ELECTROLYSIS ARRAY 1 RECTIFIER SYSTEMS RECTIFIER SYSTEM 1 TRANSFORMERS RECTIFIER TRANSFORMER OIL PUMP - TRANSFORMER CHECK COMMAND</v>
      </c>
      <c r="G383" s="29" t="s">
        <v>1614</v>
      </c>
      <c r="H383" s="29" t="s">
        <v>1615</v>
      </c>
      <c r="I383" s="29" t="str">
        <f t="shared" si="29"/>
        <v>01</v>
      </c>
      <c r="J383" s="29" t="s">
        <v>1616</v>
      </c>
      <c r="K383" s="29" t="s">
        <v>1842</v>
      </c>
      <c r="L383" s="29" t="s">
        <v>1843</v>
      </c>
      <c r="M383" s="29" t="s">
        <v>1619</v>
      </c>
      <c r="N383" s="29" t="s">
        <v>1844</v>
      </c>
      <c r="O383" s="29" t="s">
        <v>1926</v>
      </c>
      <c r="P383" s="29" t="s">
        <v>1927</v>
      </c>
      <c r="Q383" s="29" t="s">
        <v>1623</v>
      </c>
      <c r="R383" s="29" t="s">
        <v>1928</v>
      </c>
      <c r="S383" s="29" t="s">
        <v>2695</v>
      </c>
      <c r="T383" s="29" t="s">
        <v>3091</v>
      </c>
      <c r="U383" s="29" t="s">
        <v>1105</v>
      </c>
      <c r="V383" s="29" t="s">
        <v>1107</v>
      </c>
      <c r="W383" s="35" t="s">
        <v>1628</v>
      </c>
      <c r="X383" s="35" t="s">
        <v>1850</v>
      </c>
      <c r="Y383" s="35" t="s">
        <v>1930</v>
      </c>
      <c r="Z383" s="35" t="s">
        <v>1683</v>
      </c>
      <c r="AA383" s="35" t="s">
        <v>2697</v>
      </c>
      <c r="AB383" s="29" t="s">
        <v>1638</v>
      </c>
      <c r="AC383" s="35" t="s">
        <v>1633</v>
      </c>
      <c r="AD383" s="35" t="s">
        <v>1634</v>
      </c>
      <c r="AE383" s="35" t="s">
        <v>1634</v>
      </c>
      <c r="AF383" s="35" t="s">
        <v>1635</v>
      </c>
      <c r="AG383" s="35" t="s">
        <v>1636</v>
      </c>
      <c r="AI383" s="35"/>
      <c r="AJ383" s="35" t="s">
        <v>1637</v>
      </c>
      <c r="AK383" s="35" t="s">
        <v>1672</v>
      </c>
      <c r="AL383" s="29" t="s">
        <v>2954</v>
      </c>
      <c r="AM383" s="35"/>
      <c r="AN383" s="35"/>
      <c r="AO383" s="35"/>
      <c r="AP383" s="35"/>
      <c r="AQ383" s="35"/>
      <c r="AS383" s="35"/>
      <c r="AU383" s="35"/>
      <c r="AW383" s="35"/>
      <c r="AY383" s="35"/>
      <c r="AZ383" s="35"/>
      <c r="BA383" s="35"/>
      <c r="BB383" s="29" t="s">
        <v>3049</v>
      </c>
      <c r="BC383" s="29" t="s">
        <v>2347</v>
      </c>
      <c r="BD383" s="29" t="s">
        <v>2698</v>
      </c>
      <c r="BE383" s="29" t="s">
        <v>1805</v>
      </c>
      <c r="BF383" s="29" t="s">
        <v>1922</v>
      </c>
      <c r="BG383" s="29" t="s">
        <v>3092</v>
      </c>
      <c r="BI383" s="35"/>
      <c r="BJ383" s="35"/>
      <c r="BK383" s="29" t="str" cm="1">
        <f t="array" ref="BK383">_xlfn.UNIQUE(MID(BB383,16,14))</f>
        <v>U012UBB01UC001</v>
      </c>
    </row>
    <row r="384" spans="1:63" x14ac:dyDescent="0.3">
      <c r="A384" s="29" t="s">
        <v>1924</v>
      </c>
      <c r="B384" s="36" t="str">
        <f t="shared" si="25"/>
        <v>G01NHA01TA001-QA01</v>
      </c>
      <c r="C384" s="33" t="s">
        <v>3093</v>
      </c>
      <c r="D384" s="34" t="str">
        <f t="shared" si="26"/>
        <v>ELY1 RECT1 TRAFO1 SW1 FB BCD1</v>
      </c>
      <c r="E384" s="31">
        <f t="shared" si="27"/>
        <v>29</v>
      </c>
      <c r="F384" s="32" t="str">
        <f t="shared" si="28"/>
        <v>ELECTROLYSIS SYSTEM ELECTROLYSIS ARRAY 1 RECTIFIER SYSTEMS RECTIFIER SYSTEM 1 TRANSFORMERS RECTIFIER TRANSFORMER TAP CHANGER STEP CONTROL FEEDBACK - BCD 1</v>
      </c>
      <c r="G384" s="29" t="s">
        <v>1614</v>
      </c>
      <c r="H384" s="29" t="s">
        <v>1615</v>
      </c>
      <c r="I384" s="29" t="str">
        <f t="shared" si="29"/>
        <v>01</v>
      </c>
      <c r="J384" s="29" t="s">
        <v>1616</v>
      </c>
      <c r="K384" s="29" t="s">
        <v>1842</v>
      </c>
      <c r="L384" s="29" t="s">
        <v>1843</v>
      </c>
      <c r="M384" s="29" t="s">
        <v>1619</v>
      </c>
      <c r="N384" s="29" t="s">
        <v>1844</v>
      </c>
      <c r="O384" s="29" t="s">
        <v>1926</v>
      </c>
      <c r="P384" s="29" t="s">
        <v>1927</v>
      </c>
      <c r="Q384" s="29" t="s">
        <v>1623</v>
      </c>
      <c r="R384" s="29" t="s">
        <v>1928</v>
      </c>
      <c r="S384" s="29" t="s">
        <v>2709</v>
      </c>
      <c r="T384" s="29" t="s">
        <v>3094</v>
      </c>
      <c r="U384" s="29" t="s">
        <v>3095</v>
      </c>
      <c r="V384" s="29" t="s">
        <v>3096</v>
      </c>
      <c r="W384" s="35" t="s">
        <v>1628</v>
      </c>
      <c r="X384" s="35" t="s">
        <v>1850</v>
      </c>
      <c r="Y384" s="35" t="s">
        <v>1930</v>
      </c>
      <c r="Z384" s="35" t="s">
        <v>2713</v>
      </c>
      <c r="AA384" s="35" t="s">
        <v>3097</v>
      </c>
      <c r="AB384" s="29" t="s">
        <v>2653</v>
      </c>
      <c r="AC384" s="35" t="s">
        <v>1633</v>
      </c>
      <c r="AD384" s="35" t="s">
        <v>1634</v>
      </c>
      <c r="AE384" s="35" t="s">
        <v>1634</v>
      </c>
      <c r="AF384" s="35" t="s">
        <v>1635</v>
      </c>
      <c r="AG384" s="35" t="s">
        <v>1636</v>
      </c>
      <c r="AI384" s="35"/>
      <c r="AJ384" s="35" t="s">
        <v>1637</v>
      </c>
      <c r="AK384" s="35" t="s">
        <v>1672</v>
      </c>
      <c r="AL384" s="29" t="s">
        <v>2954</v>
      </c>
      <c r="AM384" s="35"/>
      <c r="AN384" s="35"/>
      <c r="AO384" s="35"/>
      <c r="AP384" s="35"/>
      <c r="AQ384" s="35"/>
      <c r="AS384" s="35"/>
      <c r="AU384" s="35"/>
      <c r="AW384" s="35"/>
      <c r="AY384" s="35"/>
      <c r="AZ384" s="35"/>
      <c r="BA384" s="35"/>
      <c r="BB384" s="29" t="s">
        <v>3049</v>
      </c>
      <c r="BC384" s="29" t="s">
        <v>2347</v>
      </c>
      <c r="BD384" s="29" t="s">
        <v>3098</v>
      </c>
      <c r="BE384" s="29" t="s">
        <v>1805</v>
      </c>
      <c r="BF384" s="29" t="s">
        <v>1973</v>
      </c>
      <c r="BG384" s="29" t="s">
        <v>3099</v>
      </c>
      <c r="BI384" s="35"/>
      <c r="BJ384" s="35"/>
      <c r="BK384" s="29" t="str" cm="1">
        <f t="array" ref="BK384">_xlfn.UNIQUE(MID(BB384,16,14))</f>
        <v>U012UBB01UC001</v>
      </c>
    </row>
    <row r="385" spans="1:63" x14ac:dyDescent="0.3">
      <c r="A385" s="29" t="s">
        <v>1924</v>
      </c>
      <c r="B385" s="36" t="str">
        <f t="shared" si="25"/>
        <v>G01NHA01TA001-QA01</v>
      </c>
      <c r="C385" s="33" t="s">
        <v>3100</v>
      </c>
      <c r="D385" s="34" t="str">
        <f t="shared" si="26"/>
        <v>ELY1 RECT1 TRAFO1 SW1 FB BCD2</v>
      </c>
      <c r="E385" s="31">
        <f t="shared" si="27"/>
        <v>29</v>
      </c>
      <c r="F385" s="32" t="str">
        <f t="shared" si="28"/>
        <v>ELECTROLYSIS SYSTEM ELECTROLYSIS ARRAY 1 RECTIFIER SYSTEMS RECTIFIER SYSTEM 1 TRANSFORMERS RECTIFIER TRANSFORMER TAP CHANGER STEP CONTROL FEEDBACK - BCD 2</v>
      </c>
      <c r="G385" s="29" t="s">
        <v>1614</v>
      </c>
      <c r="H385" s="29" t="s">
        <v>1615</v>
      </c>
      <c r="I385" s="29" t="str">
        <f t="shared" si="29"/>
        <v>01</v>
      </c>
      <c r="J385" s="29" t="s">
        <v>1616</v>
      </c>
      <c r="K385" s="29" t="s">
        <v>1842</v>
      </c>
      <c r="L385" s="29" t="s">
        <v>1843</v>
      </c>
      <c r="M385" s="29" t="s">
        <v>1619</v>
      </c>
      <c r="N385" s="29" t="s">
        <v>1844</v>
      </c>
      <c r="O385" s="29" t="s">
        <v>1926</v>
      </c>
      <c r="P385" s="29" t="s">
        <v>1927</v>
      </c>
      <c r="Q385" s="29" t="s">
        <v>1623</v>
      </c>
      <c r="R385" s="29" t="s">
        <v>1928</v>
      </c>
      <c r="S385" s="29" t="s">
        <v>2709</v>
      </c>
      <c r="T385" s="29" t="s">
        <v>3094</v>
      </c>
      <c r="U385" s="29" t="s">
        <v>3101</v>
      </c>
      <c r="V385" s="29" t="s">
        <v>3102</v>
      </c>
      <c r="W385" s="35" t="s">
        <v>1628</v>
      </c>
      <c r="X385" s="35" t="s">
        <v>1850</v>
      </c>
      <c r="Y385" s="35" t="s">
        <v>1930</v>
      </c>
      <c r="Z385" s="35" t="s">
        <v>2713</v>
      </c>
      <c r="AA385" s="35" t="s">
        <v>3103</v>
      </c>
      <c r="AB385" s="29" t="s">
        <v>2653</v>
      </c>
      <c r="AC385" s="35" t="s">
        <v>1633</v>
      </c>
      <c r="AD385" s="35" t="s">
        <v>1634</v>
      </c>
      <c r="AE385" s="35" t="s">
        <v>1634</v>
      </c>
      <c r="AF385" s="35" t="s">
        <v>1635</v>
      </c>
      <c r="AG385" s="35" t="s">
        <v>1636</v>
      </c>
      <c r="AI385" s="35"/>
      <c r="AJ385" s="35" t="s">
        <v>1637</v>
      </c>
      <c r="AK385" s="35" t="s">
        <v>1672</v>
      </c>
      <c r="AL385" s="29" t="s">
        <v>2954</v>
      </c>
      <c r="AM385" s="35"/>
      <c r="AN385" s="35"/>
      <c r="AO385" s="35"/>
      <c r="AP385" s="35"/>
      <c r="AQ385" s="35"/>
      <c r="AS385" s="35"/>
      <c r="AU385" s="35"/>
      <c r="AW385" s="35"/>
      <c r="AY385" s="35"/>
      <c r="AZ385" s="35"/>
      <c r="BA385" s="35"/>
      <c r="BB385" s="29" t="s">
        <v>3049</v>
      </c>
      <c r="BC385" s="29" t="s">
        <v>2347</v>
      </c>
      <c r="BD385" s="29" t="s">
        <v>3104</v>
      </c>
      <c r="BE385" s="29" t="s">
        <v>1805</v>
      </c>
      <c r="BF385" s="29" t="s">
        <v>2048</v>
      </c>
      <c r="BG385" s="29" t="s">
        <v>3099</v>
      </c>
      <c r="BI385" s="35"/>
      <c r="BJ385" s="35"/>
      <c r="BK385" s="29" t="str" cm="1">
        <f t="array" ref="BK385">_xlfn.UNIQUE(MID(BB385,16,14))</f>
        <v>U012UBB01UC001</v>
      </c>
    </row>
    <row r="386" spans="1:63" x14ac:dyDescent="0.3">
      <c r="A386" s="29" t="s">
        <v>1924</v>
      </c>
      <c r="B386" s="36" t="str">
        <f t="shared" ref="B386:B449" si="30">RIGHT(A386,LEN(A386)-1)&amp;S386</f>
        <v>G01NHA01TA001-QA01</v>
      </c>
      <c r="C386" s="33" t="s">
        <v>3105</v>
      </c>
      <c r="D386" s="34" t="str">
        <f t="shared" ref="D386:D449" si="31">UPPER(W386&amp;" "&amp;X386&amp;" "&amp;Y386&amp;" "&amp;Z386&amp;" "&amp;AA386)</f>
        <v>ELY1 RECT1 TRAFO1 SW1 FB BCD3</v>
      </c>
      <c r="E386" s="31">
        <f t="shared" ref="E386:E449" si="32">LEN(D386)</f>
        <v>29</v>
      </c>
      <c r="F386" s="32" t="str">
        <f t="shared" ref="F386:F449" si="33">UPPER(H386&amp;" "&amp;J386&amp;" "&amp;L386&amp;" "&amp;N386&amp;" "&amp;P386&amp;" "&amp;R386&amp;" "&amp;T386&amp;" "&amp;V386)</f>
        <v>ELECTROLYSIS SYSTEM ELECTROLYSIS ARRAY 1 RECTIFIER SYSTEMS RECTIFIER SYSTEM 1 TRANSFORMERS RECTIFIER TRANSFORMER TAP CHANGER STEP CONTROL FEEDBACK - BCD 4</v>
      </c>
      <c r="G386" s="29" t="s">
        <v>1614</v>
      </c>
      <c r="H386" s="29" t="s">
        <v>1615</v>
      </c>
      <c r="I386" s="29" t="str">
        <f t="shared" ref="I386:I449" si="34">RIGHT(LEFT(A386,4),2)</f>
        <v>01</v>
      </c>
      <c r="J386" s="29" t="s">
        <v>1616</v>
      </c>
      <c r="K386" s="29" t="s">
        <v>1842</v>
      </c>
      <c r="L386" s="29" t="s">
        <v>1843</v>
      </c>
      <c r="M386" s="29" t="s">
        <v>1619</v>
      </c>
      <c r="N386" s="29" t="s">
        <v>1844</v>
      </c>
      <c r="O386" s="29" t="s">
        <v>1926</v>
      </c>
      <c r="P386" s="29" t="s">
        <v>1927</v>
      </c>
      <c r="Q386" s="29" t="s">
        <v>1623</v>
      </c>
      <c r="R386" s="29" t="s">
        <v>1928</v>
      </c>
      <c r="S386" s="29" t="s">
        <v>2709</v>
      </c>
      <c r="T386" s="29" t="s">
        <v>3094</v>
      </c>
      <c r="U386" s="29" t="s">
        <v>3106</v>
      </c>
      <c r="V386" s="29" t="s">
        <v>3107</v>
      </c>
      <c r="W386" s="35" t="s">
        <v>1628</v>
      </c>
      <c r="X386" s="35" t="s">
        <v>1850</v>
      </c>
      <c r="Y386" s="35" t="s">
        <v>1930</v>
      </c>
      <c r="Z386" s="35" t="s">
        <v>2713</v>
      </c>
      <c r="AA386" s="35" t="s">
        <v>3108</v>
      </c>
      <c r="AB386" s="29" t="s">
        <v>2653</v>
      </c>
      <c r="AC386" s="35" t="s">
        <v>1633</v>
      </c>
      <c r="AD386" s="35" t="s">
        <v>1634</v>
      </c>
      <c r="AE386" s="35" t="s">
        <v>1634</v>
      </c>
      <c r="AF386" s="35" t="s">
        <v>1635</v>
      </c>
      <c r="AG386" s="35" t="s">
        <v>1636</v>
      </c>
      <c r="AI386" s="35"/>
      <c r="AJ386" s="35" t="s">
        <v>1637</v>
      </c>
      <c r="AK386" s="35" t="s">
        <v>1672</v>
      </c>
      <c r="AL386" s="29" t="s">
        <v>2954</v>
      </c>
      <c r="AM386" s="35"/>
      <c r="AN386" s="35"/>
      <c r="AO386" s="35"/>
      <c r="AP386" s="35"/>
      <c r="AQ386" s="35"/>
      <c r="AS386" s="35"/>
      <c r="AU386" s="35"/>
      <c r="AW386" s="35"/>
      <c r="AY386" s="35"/>
      <c r="AZ386" s="35"/>
      <c r="BA386" s="35"/>
      <c r="BB386" s="29" t="s">
        <v>3049</v>
      </c>
      <c r="BC386" s="29" t="s">
        <v>2347</v>
      </c>
      <c r="BD386" s="29" t="s">
        <v>3109</v>
      </c>
      <c r="BE386" s="29" t="s">
        <v>1805</v>
      </c>
      <c r="BF386" s="29" t="s">
        <v>2051</v>
      </c>
      <c r="BG386" s="29" t="s">
        <v>3099</v>
      </c>
      <c r="BI386" s="35"/>
      <c r="BJ386" s="35"/>
      <c r="BK386" s="29" t="str" cm="1">
        <f t="array" ref="BK386">_xlfn.UNIQUE(MID(BB386,16,14))</f>
        <v>U012UBB01UC001</v>
      </c>
    </row>
    <row r="387" spans="1:63" x14ac:dyDescent="0.3">
      <c r="A387" s="29" t="s">
        <v>1924</v>
      </c>
      <c r="B387" s="36" t="str">
        <f t="shared" si="30"/>
        <v>G01NHA01TA001-QA01</v>
      </c>
      <c r="C387" s="33" t="s">
        <v>3110</v>
      </c>
      <c r="D387" s="34" t="str">
        <f t="shared" si="31"/>
        <v>ELY1 RECT1 TRAFO1 SW1 FB BCD4</v>
      </c>
      <c r="E387" s="31">
        <f t="shared" si="32"/>
        <v>29</v>
      </c>
      <c r="F387" s="32" t="str">
        <f t="shared" si="33"/>
        <v>ELECTROLYSIS SYSTEM ELECTROLYSIS ARRAY 1 RECTIFIER SYSTEMS RECTIFIER SYSTEM 1 TRANSFORMERS RECTIFIER TRANSFORMER TAP CHANGER STEP CONTROL FEEDBACK - BCD 8</v>
      </c>
      <c r="G387" s="29" t="s">
        <v>1614</v>
      </c>
      <c r="H387" s="29" t="s">
        <v>1615</v>
      </c>
      <c r="I387" s="29" t="str">
        <f t="shared" si="34"/>
        <v>01</v>
      </c>
      <c r="J387" s="29" t="s">
        <v>1616</v>
      </c>
      <c r="K387" s="29" t="s">
        <v>1842</v>
      </c>
      <c r="L387" s="29" t="s">
        <v>1843</v>
      </c>
      <c r="M387" s="29" t="s">
        <v>1619</v>
      </c>
      <c r="N387" s="29" t="s">
        <v>1844</v>
      </c>
      <c r="O387" s="29" t="s">
        <v>1926</v>
      </c>
      <c r="P387" s="29" t="s">
        <v>1927</v>
      </c>
      <c r="Q387" s="29" t="s">
        <v>1623</v>
      </c>
      <c r="R387" s="29" t="s">
        <v>1928</v>
      </c>
      <c r="S387" s="29" t="s">
        <v>2709</v>
      </c>
      <c r="T387" s="29" t="s">
        <v>3094</v>
      </c>
      <c r="U387" s="29" t="s">
        <v>3111</v>
      </c>
      <c r="V387" s="29" t="s">
        <v>3112</v>
      </c>
      <c r="W387" s="35" t="s">
        <v>1628</v>
      </c>
      <c r="X387" s="35" t="s">
        <v>1850</v>
      </c>
      <c r="Y387" s="35" t="s">
        <v>1930</v>
      </c>
      <c r="Z387" s="35" t="s">
        <v>2713</v>
      </c>
      <c r="AA387" s="35" t="s">
        <v>3113</v>
      </c>
      <c r="AB387" s="29" t="s">
        <v>2653</v>
      </c>
      <c r="AC387" s="35" t="s">
        <v>1633</v>
      </c>
      <c r="AD387" s="35" t="s">
        <v>1634</v>
      </c>
      <c r="AE387" s="35" t="s">
        <v>1634</v>
      </c>
      <c r="AF387" s="35" t="s">
        <v>1635</v>
      </c>
      <c r="AG387" s="35" t="s">
        <v>1636</v>
      </c>
      <c r="AI387" s="35"/>
      <c r="AJ387" s="35" t="s">
        <v>1637</v>
      </c>
      <c r="AK387" s="35" t="s">
        <v>1672</v>
      </c>
      <c r="AL387" s="29" t="s">
        <v>2954</v>
      </c>
      <c r="AM387" s="35"/>
      <c r="AN387" s="35"/>
      <c r="AO387" s="35"/>
      <c r="AP387" s="35"/>
      <c r="AQ387" s="35"/>
      <c r="AS387" s="35"/>
      <c r="AU387" s="35"/>
      <c r="AW387" s="35"/>
      <c r="AY387" s="35"/>
      <c r="AZ387" s="35"/>
      <c r="BA387" s="35"/>
      <c r="BB387" s="29" t="s">
        <v>3049</v>
      </c>
      <c r="BC387" s="29" t="s">
        <v>2347</v>
      </c>
      <c r="BD387" s="29" t="s">
        <v>3114</v>
      </c>
      <c r="BE387" s="29" t="s">
        <v>1805</v>
      </c>
      <c r="BF387" s="29" t="s">
        <v>2016</v>
      </c>
      <c r="BG387" s="29" t="s">
        <v>3099</v>
      </c>
      <c r="BI387" s="35"/>
      <c r="BJ387" s="35"/>
      <c r="BK387" s="29" t="str" cm="1">
        <f t="array" ref="BK387">_xlfn.UNIQUE(MID(BB387,16,14))</f>
        <v>U012UBB01UC001</v>
      </c>
    </row>
    <row r="388" spans="1:63" x14ac:dyDescent="0.3">
      <c r="A388" s="29" t="s">
        <v>1924</v>
      </c>
      <c r="B388" s="36" t="str">
        <f t="shared" si="30"/>
        <v>G01NHA01TA001-QA01</v>
      </c>
      <c r="C388" s="33" t="s">
        <v>3115</v>
      </c>
      <c r="D388" s="34" t="str">
        <f t="shared" si="31"/>
        <v>ELY1 RECT1 TRAFO1 SW1 CHECK CMD</v>
      </c>
      <c r="E388" s="31">
        <f t="shared" si="32"/>
        <v>31</v>
      </c>
      <c r="F388" s="32" t="str">
        <f t="shared" si="33"/>
        <v>ELECTROLYSIS SYSTEM ELECTROLYSIS ARRAY 1 RECTIFIER SYSTEMS RECTIFIER SYSTEM 1 TRANSFORMERS RECTIFIER TRANSFORMER TAP CHANGER CHECK COMMAND</v>
      </c>
      <c r="G388" s="29" t="s">
        <v>1614</v>
      </c>
      <c r="H388" s="29" t="s">
        <v>1615</v>
      </c>
      <c r="I388" s="29" t="str">
        <f t="shared" si="34"/>
        <v>01</v>
      </c>
      <c r="J388" s="29" t="s">
        <v>1616</v>
      </c>
      <c r="K388" s="29" t="s">
        <v>1842</v>
      </c>
      <c r="L388" s="29" t="s">
        <v>1843</v>
      </c>
      <c r="M388" s="29" t="s">
        <v>1619</v>
      </c>
      <c r="N388" s="29" t="s">
        <v>1844</v>
      </c>
      <c r="O388" s="29" t="s">
        <v>1926</v>
      </c>
      <c r="P388" s="29" t="s">
        <v>1927</v>
      </c>
      <c r="Q388" s="29" t="s">
        <v>1623</v>
      </c>
      <c r="R388" s="29" t="s">
        <v>1928</v>
      </c>
      <c r="S388" s="29" t="s">
        <v>2709</v>
      </c>
      <c r="T388" s="29" t="s">
        <v>3094</v>
      </c>
      <c r="U388" s="29" t="s">
        <v>1105</v>
      </c>
      <c r="V388" s="29" t="s">
        <v>1107</v>
      </c>
      <c r="W388" s="35" t="s">
        <v>1628</v>
      </c>
      <c r="X388" s="35" t="s">
        <v>1850</v>
      </c>
      <c r="Y388" s="35" t="s">
        <v>1930</v>
      </c>
      <c r="Z388" s="35" t="s">
        <v>2713</v>
      </c>
      <c r="AA388" s="35" t="s">
        <v>2697</v>
      </c>
      <c r="AB388" s="29" t="s">
        <v>1638</v>
      </c>
      <c r="AC388" s="35" t="s">
        <v>1633</v>
      </c>
      <c r="AD388" s="35" t="s">
        <v>1634</v>
      </c>
      <c r="AE388" s="35" t="s">
        <v>1634</v>
      </c>
      <c r="AF388" s="35" t="s">
        <v>1635</v>
      </c>
      <c r="AG388" s="35" t="s">
        <v>1636</v>
      </c>
      <c r="AI388" s="35"/>
      <c r="AJ388" s="35" t="s">
        <v>1637</v>
      </c>
      <c r="AK388" s="35" t="s">
        <v>1672</v>
      </c>
      <c r="AL388" s="29" t="s">
        <v>2954</v>
      </c>
      <c r="AM388" s="35"/>
      <c r="AN388" s="35"/>
      <c r="AO388" s="35"/>
      <c r="AP388" s="35"/>
      <c r="AQ388" s="35"/>
      <c r="AS388" s="35"/>
      <c r="AU388" s="35"/>
      <c r="AW388" s="35"/>
      <c r="AY388" s="35"/>
      <c r="AZ388" s="35"/>
      <c r="BA388" s="35"/>
      <c r="BB388" s="29" t="s">
        <v>3049</v>
      </c>
      <c r="BC388" s="29" t="s">
        <v>2347</v>
      </c>
      <c r="BD388" s="29" t="s">
        <v>2698</v>
      </c>
      <c r="BE388" s="29" t="s">
        <v>1805</v>
      </c>
      <c r="BF388" s="29" t="s">
        <v>1931</v>
      </c>
      <c r="BG388" s="29" t="s">
        <v>3116</v>
      </c>
      <c r="BI388" s="35"/>
      <c r="BJ388" s="35"/>
      <c r="BK388" s="29" t="str" cm="1">
        <f t="array" ref="BK388">_xlfn.UNIQUE(MID(BB388,16,14))</f>
        <v>U012UBB01UC001</v>
      </c>
    </row>
    <row r="389" spans="1:63" x14ac:dyDescent="0.3">
      <c r="A389" s="29" t="s">
        <v>1924</v>
      </c>
      <c r="B389" s="36" t="str">
        <f t="shared" si="30"/>
        <v>G01NHA01TA001-QA01</v>
      </c>
      <c r="C389" s="33" t="s">
        <v>3117</v>
      </c>
      <c r="D389" s="34" t="str">
        <f t="shared" si="31"/>
        <v>ELY1 RECT1 TRAFO1 SW1 CHECK CMD</v>
      </c>
      <c r="E389" s="31">
        <f t="shared" si="32"/>
        <v>31</v>
      </c>
      <c r="F389" s="32" t="str">
        <f t="shared" si="33"/>
        <v>ELECTROLYSIS SYSTEM ELECTROLYSIS ARRAY 1 RECTIFIER SYSTEMS RECTIFIER SYSTEM 1 TRANSFORMERS RECTIFIER TRANSFORMER TAP CHANGER CHECK COMMAND</v>
      </c>
      <c r="G389" s="29" t="s">
        <v>1614</v>
      </c>
      <c r="H389" s="29" t="s">
        <v>1615</v>
      </c>
      <c r="I389" s="29" t="str">
        <f t="shared" si="34"/>
        <v>01</v>
      </c>
      <c r="J389" s="29" t="s">
        <v>1616</v>
      </c>
      <c r="K389" s="29" t="s">
        <v>1842</v>
      </c>
      <c r="L389" s="29" t="s">
        <v>1843</v>
      </c>
      <c r="M389" s="29" t="s">
        <v>1619</v>
      </c>
      <c r="N389" s="29" t="s">
        <v>1844</v>
      </c>
      <c r="O389" s="29" t="s">
        <v>1926</v>
      </c>
      <c r="P389" s="29" t="s">
        <v>1927</v>
      </c>
      <c r="Q389" s="29" t="s">
        <v>1623</v>
      </c>
      <c r="R389" s="29" t="s">
        <v>1928</v>
      </c>
      <c r="S389" s="29" t="s">
        <v>2709</v>
      </c>
      <c r="T389" s="29" t="s">
        <v>3094</v>
      </c>
      <c r="U389" s="29" t="s">
        <v>3118</v>
      </c>
      <c r="V389" s="29" t="s">
        <v>1107</v>
      </c>
      <c r="W389" s="35" t="s">
        <v>1628</v>
      </c>
      <c r="X389" s="35" t="s">
        <v>1850</v>
      </c>
      <c r="Y389" s="35" t="s">
        <v>1930</v>
      </c>
      <c r="Z389" s="35" t="s">
        <v>2713</v>
      </c>
      <c r="AA389" s="35" t="s">
        <v>2697</v>
      </c>
      <c r="AB389" s="29" t="s">
        <v>1638</v>
      </c>
      <c r="AC389" s="35" t="s">
        <v>1633</v>
      </c>
      <c r="AD389" s="35" t="s">
        <v>1634</v>
      </c>
      <c r="AE389" s="35" t="s">
        <v>1634</v>
      </c>
      <c r="AF389" s="35" t="s">
        <v>1635</v>
      </c>
      <c r="AG389" s="35" t="s">
        <v>1636</v>
      </c>
      <c r="AI389" s="35"/>
      <c r="AJ389" s="35" t="s">
        <v>1637</v>
      </c>
      <c r="AK389" s="35" t="s">
        <v>1672</v>
      </c>
      <c r="AL389" s="29" t="s">
        <v>2954</v>
      </c>
      <c r="AM389" s="35"/>
      <c r="AN389" s="35"/>
      <c r="AO389" s="35"/>
      <c r="AP389" s="35"/>
      <c r="AQ389" s="35"/>
      <c r="AS389" s="35"/>
      <c r="AU389" s="35"/>
      <c r="AW389" s="35"/>
      <c r="AY389" s="35"/>
      <c r="AZ389" s="35"/>
      <c r="BA389" s="35"/>
      <c r="BB389" s="29" t="s">
        <v>3049</v>
      </c>
      <c r="BC389" s="29" t="s">
        <v>2347</v>
      </c>
      <c r="BD389" s="29" t="s">
        <v>3119</v>
      </c>
      <c r="BE389" s="29" t="s">
        <v>1805</v>
      </c>
      <c r="BF389" s="29" t="s">
        <v>1936</v>
      </c>
      <c r="BG389" s="29" t="s">
        <v>3116</v>
      </c>
      <c r="BI389" s="35"/>
      <c r="BJ389" s="35"/>
      <c r="BK389" s="29" t="str" cm="1">
        <f t="array" ref="BK389">_xlfn.UNIQUE(MID(BB389,16,14))</f>
        <v>U012UBB01UC001</v>
      </c>
    </row>
    <row r="390" spans="1:63" x14ac:dyDescent="0.3">
      <c r="A390" s="29" t="s">
        <v>1924</v>
      </c>
      <c r="B390" s="36" t="str">
        <f t="shared" si="30"/>
        <v>G01NHA01TA001-QA01</v>
      </c>
      <c r="C390" s="33" t="s">
        <v>3120</v>
      </c>
      <c r="D390" s="34" t="str">
        <f t="shared" si="31"/>
        <v>ELY1 RECT1 TRAFO1 SW1 TAP CHG FB H</v>
      </c>
      <c r="E390" s="31">
        <f t="shared" si="32"/>
        <v>34</v>
      </c>
      <c r="F390" s="32" t="str">
        <f t="shared" si="33"/>
        <v>ELECTROLYSIS SYSTEM ELECTROLYSIS ARRAY 1 RECTIFIER SYSTEMS RECTIFIER SYSTEM 1 TRANSFORMERS RECTIFIER TRANSFORMER TAP CHANGER MAIN CONTROL</v>
      </c>
      <c r="G390" s="29" t="s">
        <v>1614</v>
      </c>
      <c r="H390" s="29" t="s">
        <v>1615</v>
      </c>
      <c r="I390" s="29" t="str">
        <f t="shared" si="34"/>
        <v>01</v>
      </c>
      <c r="J390" s="29" t="s">
        <v>1616</v>
      </c>
      <c r="K390" s="29" t="s">
        <v>1842</v>
      </c>
      <c r="L390" s="29" t="s">
        <v>1843</v>
      </c>
      <c r="M390" s="29" t="s">
        <v>1619</v>
      </c>
      <c r="N390" s="29" t="s">
        <v>1844</v>
      </c>
      <c r="O390" s="29" t="s">
        <v>1926</v>
      </c>
      <c r="P390" s="29" t="s">
        <v>1927</v>
      </c>
      <c r="Q390" s="29" t="s">
        <v>1623</v>
      </c>
      <c r="R390" s="29" t="s">
        <v>1928</v>
      </c>
      <c r="S390" s="29" t="s">
        <v>2709</v>
      </c>
      <c r="T390" s="29" t="s">
        <v>3094</v>
      </c>
      <c r="U390" s="29" t="s">
        <v>1461</v>
      </c>
      <c r="V390" s="29" t="s">
        <v>3121</v>
      </c>
      <c r="W390" s="35" t="s">
        <v>1628</v>
      </c>
      <c r="X390" s="35" t="s">
        <v>1850</v>
      </c>
      <c r="Y390" s="35" t="s">
        <v>1930</v>
      </c>
      <c r="Z390" s="35" t="s">
        <v>2713</v>
      </c>
      <c r="AA390" s="35" t="s">
        <v>3122</v>
      </c>
      <c r="AB390" s="29" t="s">
        <v>2653</v>
      </c>
      <c r="AC390" s="35" t="s">
        <v>1633</v>
      </c>
      <c r="AD390" s="35" t="s">
        <v>1634</v>
      </c>
      <c r="AE390" s="35" t="s">
        <v>1634</v>
      </c>
      <c r="AF390" s="35" t="s">
        <v>1635</v>
      </c>
      <c r="AG390" s="35" t="s">
        <v>1636</v>
      </c>
      <c r="AI390" s="35"/>
      <c r="AJ390" s="35" t="s">
        <v>1637</v>
      </c>
      <c r="AK390" s="35" t="s">
        <v>1672</v>
      </c>
      <c r="AL390" s="29" t="s">
        <v>2954</v>
      </c>
      <c r="AM390" s="35"/>
      <c r="AN390" s="35"/>
      <c r="AO390" s="35"/>
      <c r="AP390" s="35"/>
      <c r="AQ390" s="35"/>
      <c r="AS390" s="35"/>
      <c r="AU390" s="35"/>
      <c r="AW390" s="35"/>
      <c r="AY390" s="35"/>
      <c r="AZ390" s="35"/>
      <c r="BA390" s="35"/>
      <c r="BB390" s="29" t="s">
        <v>3049</v>
      </c>
      <c r="BC390" s="29" t="s">
        <v>2347</v>
      </c>
      <c r="BD390" s="29" t="s">
        <v>3123</v>
      </c>
      <c r="BE390" s="29" t="s">
        <v>1805</v>
      </c>
      <c r="BF390" s="29" t="s">
        <v>2035</v>
      </c>
      <c r="BG390" s="29" t="s">
        <v>3124</v>
      </c>
      <c r="BI390" s="35"/>
      <c r="BJ390" s="35"/>
      <c r="BK390" s="29" t="str" cm="1">
        <f t="array" ref="BK390">_xlfn.UNIQUE(MID(BB390,16,14))</f>
        <v>U012UBB01UC001</v>
      </c>
    </row>
    <row r="391" spans="1:63" x14ac:dyDescent="0.3">
      <c r="A391" s="29" t="s">
        <v>1924</v>
      </c>
      <c r="B391" s="36" t="str">
        <f t="shared" si="30"/>
        <v>G01NHA01TA001-QA01</v>
      </c>
      <c r="C391" s="33" t="s">
        <v>3125</v>
      </c>
      <c r="D391" s="34" t="str">
        <f t="shared" si="31"/>
        <v>ELY1 RECT1 TRAFO1 SW1 TAP CHG FB L</v>
      </c>
      <c r="E391" s="31">
        <f t="shared" si="32"/>
        <v>34</v>
      </c>
      <c r="F391" s="32" t="str">
        <f t="shared" si="33"/>
        <v>ELECTROLYSIS SYSTEM ELECTROLYSIS ARRAY 1 RECTIFIER SYSTEMS RECTIFIER SYSTEM 1 TRANSFORMERS RECTIFIER TRANSFORMER TAP CHANGER MAIN CONTROL</v>
      </c>
      <c r="G391" s="29" t="s">
        <v>1614</v>
      </c>
      <c r="H391" s="29" t="s">
        <v>1615</v>
      </c>
      <c r="I391" s="29" t="str">
        <f t="shared" si="34"/>
        <v>01</v>
      </c>
      <c r="J391" s="29" t="s">
        <v>1616</v>
      </c>
      <c r="K391" s="29" t="s">
        <v>1842</v>
      </c>
      <c r="L391" s="29" t="s">
        <v>1843</v>
      </c>
      <c r="M391" s="29" t="s">
        <v>1619</v>
      </c>
      <c r="N391" s="29" t="s">
        <v>1844</v>
      </c>
      <c r="O391" s="29" t="s">
        <v>1926</v>
      </c>
      <c r="P391" s="29" t="s">
        <v>1927</v>
      </c>
      <c r="Q391" s="29" t="s">
        <v>1623</v>
      </c>
      <c r="R391" s="29" t="s">
        <v>1928</v>
      </c>
      <c r="S391" s="29" t="s">
        <v>2709</v>
      </c>
      <c r="T391" s="29" t="s">
        <v>3094</v>
      </c>
      <c r="U391" s="29" t="s">
        <v>3126</v>
      </c>
      <c r="V391" s="29" t="s">
        <v>3121</v>
      </c>
      <c r="W391" s="35" t="s">
        <v>1628</v>
      </c>
      <c r="X391" s="35" t="s">
        <v>1850</v>
      </c>
      <c r="Y391" s="35" t="s">
        <v>1930</v>
      </c>
      <c r="Z391" s="35" t="s">
        <v>2713</v>
      </c>
      <c r="AA391" s="35" t="s">
        <v>3127</v>
      </c>
      <c r="AB391" s="29" t="s">
        <v>2653</v>
      </c>
      <c r="AC391" s="35" t="s">
        <v>1633</v>
      </c>
      <c r="AD391" s="35" t="s">
        <v>1634</v>
      </c>
      <c r="AE391" s="35" t="s">
        <v>1634</v>
      </c>
      <c r="AF391" s="35" t="s">
        <v>1635</v>
      </c>
      <c r="AG391" s="35" t="s">
        <v>1636</v>
      </c>
      <c r="AI391" s="35"/>
      <c r="AJ391" s="35" t="s">
        <v>1637</v>
      </c>
      <c r="AK391" s="35" t="s">
        <v>1672</v>
      </c>
      <c r="AL391" s="29" t="s">
        <v>2954</v>
      </c>
      <c r="AM391" s="35"/>
      <c r="AN391" s="35"/>
      <c r="AO391" s="35"/>
      <c r="AP391" s="35"/>
      <c r="AQ391" s="35"/>
      <c r="AS391" s="35"/>
      <c r="AU391" s="35"/>
      <c r="AW391" s="35"/>
      <c r="AY391" s="35"/>
      <c r="AZ391" s="35"/>
      <c r="BA391" s="35"/>
      <c r="BB391" s="29" t="s">
        <v>3049</v>
      </c>
      <c r="BC391" s="29" t="s">
        <v>2347</v>
      </c>
      <c r="BD391" s="29" t="s">
        <v>3128</v>
      </c>
      <c r="BE391" s="29" t="s">
        <v>1805</v>
      </c>
      <c r="BF391" s="29" t="s">
        <v>1969</v>
      </c>
      <c r="BG391" s="29" t="s">
        <v>3124</v>
      </c>
      <c r="BI391" s="35"/>
      <c r="BJ391" s="35"/>
      <c r="BK391" s="29" t="str" cm="1">
        <f t="array" ref="BK391">_xlfn.UNIQUE(MID(BB391,16,14))</f>
        <v>U012UBB01UC001</v>
      </c>
    </row>
    <row r="392" spans="1:63" x14ac:dyDescent="0.3">
      <c r="A392" s="29" t="s">
        <v>3129</v>
      </c>
      <c r="B392" s="36" t="str">
        <f t="shared" si="30"/>
        <v>G01NHA01TB001-GQ01</v>
      </c>
      <c r="C392" s="33" t="s">
        <v>3130</v>
      </c>
      <c r="D392" s="34" t="str">
        <f t="shared" si="31"/>
        <v>ELY1 RECT1 RECT1 RAD BLOW CHECK CMD</v>
      </c>
      <c r="E392" s="31">
        <f t="shared" si="32"/>
        <v>35</v>
      </c>
      <c r="F392" s="32" t="str">
        <f t="shared" si="33"/>
        <v>ELECTROLYSIS SYSTEM ELECTROLYSIS ARRAY 1 RECTIFIER SYSTEMS RECTIFIER SYSTEM 1 RECTIFIERS RECTIFIER 1 RADIAL BLOWER CHECK COMMAND</v>
      </c>
      <c r="G392" s="29" t="s">
        <v>1614</v>
      </c>
      <c r="H392" s="29" t="s">
        <v>1615</v>
      </c>
      <c r="I392" s="29" t="str">
        <f t="shared" si="34"/>
        <v>01</v>
      </c>
      <c r="J392" s="29" t="s">
        <v>1616</v>
      </c>
      <c r="K392" s="29" t="s">
        <v>1842</v>
      </c>
      <c r="L392" s="29" t="s">
        <v>1843</v>
      </c>
      <c r="M392" s="29" t="s">
        <v>1619</v>
      </c>
      <c r="N392" s="29" t="s">
        <v>1844</v>
      </c>
      <c r="O392" s="29" t="s">
        <v>3131</v>
      </c>
      <c r="P392" s="29" t="s">
        <v>3132</v>
      </c>
      <c r="Q392" s="29" t="s">
        <v>1623</v>
      </c>
      <c r="R392" s="29" t="s">
        <v>3133</v>
      </c>
      <c r="S392" s="29" t="s">
        <v>3134</v>
      </c>
      <c r="T392" s="29" t="s">
        <v>3135</v>
      </c>
      <c r="U392" s="29" t="s">
        <v>1105</v>
      </c>
      <c r="V392" s="29" t="s">
        <v>1107</v>
      </c>
      <c r="W392" s="35" t="s">
        <v>1628</v>
      </c>
      <c r="X392" s="35" t="s">
        <v>1850</v>
      </c>
      <c r="Y392" s="35" t="s">
        <v>1850</v>
      </c>
      <c r="Z392" s="35" t="s">
        <v>3136</v>
      </c>
      <c r="AA392" s="35" t="s">
        <v>2697</v>
      </c>
      <c r="AC392" s="35" t="s">
        <v>1633</v>
      </c>
      <c r="AD392" s="35" t="s">
        <v>1634</v>
      </c>
      <c r="AE392" s="35" t="s">
        <v>1634</v>
      </c>
      <c r="AF392" s="35" t="s">
        <v>1635</v>
      </c>
      <c r="AG392" s="35" t="s">
        <v>1636</v>
      </c>
      <c r="AI392" s="35"/>
      <c r="AJ392" s="35" t="s">
        <v>1637</v>
      </c>
      <c r="AK392" s="35" t="s">
        <v>1672</v>
      </c>
      <c r="AL392" s="29" t="s">
        <v>2954</v>
      </c>
      <c r="AM392" s="35"/>
      <c r="AN392" s="35"/>
      <c r="AO392" s="35"/>
      <c r="AP392" s="35"/>
      <c r="AQ392" s="35"/>
      <c r="AS392" s="35"/>
      <c r="AU392" s="35"/>
      <c r="AW392" s="35"/>
      <c r="AY392" s="35"/>
      <c r="AZ392" s="35"/>
      <c r="BA392" s="35"/>
      <c r="BB392" s="29" t="s">
        <v>3006</v>
      </c>
      <c r="BC392" s="29" t="s">
        <v>2347</v>
      </c>
      <c r="BD392" s="29" t="s">
        <v>2698</v>
      </c>
      <c r="BE392" s="29" t="s">
        <v>1805</v>
      </c>
      <c r="BF392" s="29" t="s">
        <v>1922</v>
      </c>
      <c r="BI392" s="35"/>
      <c r="BJ392" s="35"/>
      <c r="BK392" s="29" t="str" cm="1">
        <f t="array" ref="BK392">_xlfn.UNIQUE(MID(BB392,16,14))</f>
        <v>U012UBB01UC001</v>
      </c>
    </row>
    <row r="393" spans="1:63" x14ac:dyDescent="0.3">
      <c r="A393" s="29" t="s">
        <v>3129</v>
      </c>
      <c r="B393" s="36" t="str">
        <f t="shared" si="30"/>
        <v>G01NHA01TB001-KF01</v>
      </c>
      <c r="C393" s="33" t="s">
        <v>3137</v>
      </c>
      <c r="D393" s="34" t="str">
        <f t="shared" si="31"/>
        <v>ELY1 RECT1 RECT1 OUTP MOD CB OFF/CLD</v>
      </c>
      <c r="E393" s="31">
        <f t="shared" si="32"/>
        <v>36</v>
      </c>
      <c r="F393" s="32" t="str">
        <f t="shared" si="33"/>
        <v>ELECTROLYSIS SYSTEM ELECTROLYSIS ARRAY 1 RECTIFIER SYSTEMS RECTIFIER SYSTEM 1 RECTIFIERS RECTIFIER 1 SINAMICS DCM CONTROL MODULE WITHOUT POWER SECTION CHECK BACK OFF/CLOSED</v>
      </c>
      <c r="G393" s="29" t="s">
        <v>1614</v>
      </c>
      <c r="H393" s="29" t="s">
        <v>1615</v>
      </c>
      <c r="I393" s="29" t="str">
        <f t="shared" si="34"/>
        <v>01</v>
      </c>
      <c r="J393" s="29" t="s">
        <v>1616</v>
      </c>
      <c r="K393" s="29" t="s">
        <v>1842</v>
      </c>
      <c r="L393" s="29" t="s">
        <v>1843</v>
      </c>
      <c r="M393" s="29" t="s">
        <v>1619</v>
      </c>
      <c r="N393" s="29" t="s">
        <v>1844</v>
      </c>
      <c r="O393" s="29" t="s">
        <v>3131</v>
      </c>
      <c r="P393" s="29" t="s">
        <v>3132</v>
      </c>
      <c r="Q393" s="29" t="s">
        <v>1623</v>
      </c>
      <c r="R393" s="29" t="s">
        <v>3133</v>
      </c>
      <c r="S393" s="29" t="s">
        <v>3002</v>
      </c>
      <c r="T393" s="29" t="s">
        <v>3138</v>
      </c>
      <c r="U393" s="29" t="s">
        <v>363</v>
      </c>
      <c r="V393" s="29" t="s">
        <v>2645</v>
      </c>
      <c r="W393" s="35" t="s">
        <v>1628</v>
      </c>
      <c r="X393" s="35" t="s">
        <v>1850</v>
      </c>
      <c r="Y393" s="35" t="s">
        <v>1850</v>
      </c>
      <c r="Z393" s="35" t="s">
        <v>3005</v>
      </c>
      <c r="AA393" s="35" t="s">
        <v>2646</v>
      </c>
      <c r="AB393" s="29" t="s">
        <v>2653</v>
      </c>
      <c r="AC393" s="35" t="s">
        <v>1633</v>
      </c>
      <c r="AD393" s="35" t="s">
        <v>1634</v>
      </c>
      <c r="AE393" s="35" t="s">
        <v>1634</v>
      </c>
      <c r="AF393" s="35" t="s">
        <v>1635</v>
      </c>
      <c r="AG393" s="35" t="s">
        <v>2634</v>
      </c>
      <c r="AI393" s="35"/>
      <c r="AJ393" s="35" t="s">
        <v>1637</v>
      </c>
      <c r="AK393" s="35" t="s">
        <v>1638</v>
      </c>
      <c r="AL393" s="29" t="s">
        <v>2954</v>
      </c>
      <c r="AM393" s="35"/>
      <c r="AN393" s="35"/>
      <c r="AO393" s="35"/>
      <c r="AP393" s="35"/>
      <c r="AQ393" s="35"/>
      <c r="AS393" s="35"/>
      <c r="AU393" s="35"/>
      <c r="AW393" s="35"/>
      <c r="AY393" s="35"/>
      <c r="AZ393" s="35" t="s">
        <v>1642</v>
      </c>
      <c r="BA393" s="35" t="s">
        <v>3139</v>
      </c>
      <c r="BB393" s="29" t="s">
        <v>2654</v>
      </c>
      <c r="BC393" s="29" t="s">
        <v>1644</v>
      </c>
      <c r="BF393" s="29" t="s">
        <v>3140</v>
      </c>
      <c r="BG393" s="29" t="s">
        <v>3141</v>
      </c>
      <c r="BI393" s="35"/>
      <c r="BJ393" s="35"/>
      <c r="BK393" s="29" t="str" cm="1">
        <f t="array" ref="BK393">_xlfn.UNIQUE(MID(BB393,16,14))</f>
        <v>U012UBB01UC001</v>
      </c>
    </row>
    <row r="394" spans="1:63" x14ac:dyDescent="0.3">
      <c r="A394" s="29" t="s">
        <v>3142</v>
      </c>
      <c r="B394" s="36" t="str">
        <f t="shared" si="30"/>
        <v>G01NHA01TB002-GQ01</v>
      </c>
      <c r="C394" s="33" t="s">
        <v>3143</v>
      </c>
      <c r="D394" s="34" t="str">
        <f t="shared" si="31"/>
        <v>ELY1 RECT1 RECT2 RAD BLOW CHECK CMD</v>
      </c>
      <c r="E394" s="31">
        <f t="shared" si="32"/>
        <v>35</v>
      </c>
      <c r="F394" s="32" t="str">
        <f t="shared" si="33"/>
        <v>ELECTROLYSIS SYSTEM ELECTROLYSIS ARRAY 1 RECTIFIER SYSTEMS RECTIFIER SYSTEM 1 RECTIFIERS RECTIFIER 2 RADIAL BLOWER CHECK COMMAND</v>
      </c>
      <c r="G394" s="29" t="s">
        <v>1614</v>
      </c>
      <c r="H394" s="29" t="s">
        <v>1615</v>
      </c>
      <c r="I394" s="29" t="str">
        <f t="shared" si="34"/>
        <v>01</v>
      </c>
      <c r="J394" s="29" t="s">
        <v>1616</v>
      </c>
      <c r="K394" s="29" t="s">
        <v>1842</v>
      </c>
      <c r="L394" s="29" t="s">
        <v>1843</v>
      </c>
      <c r="M394" s="29" t="s">
        <v>1619</v>
      </c>
      <c r="N394" s="29" t="s">
        <v>1844</v>
      </c>
      <c r="O394" s="29" t="s">
        <v>3131</v>
      </c>
      <c r="P394" s="29" t="s">
        <v>3132</v>
      </c>
      <c r="Q394" s="29" t="s">
        <v>1872</v>
      </c>
      <c r="R394" s="29" t="s">
        <v>3144</v>
      </c>
      <c r="S394" s="29" t="s">
        <v>3134</v>
      </c>
      <c r="T394" s="29" t="s">
        <v>3135</v>
      </c>
      <c r="U394" s="29" t="s">
        <v>1105</v>
      </c>
      <c r="V394" s="29" t="s">
        <v>1107</v>
      </c>
      <c r="W394" s="35" t="s">
        <v>1628</v>
      </c>
      <c r="X394" s="35" t="s">
        <v>1850</v>
      </c>
      <c r="Y394" s="35" t="s">
        <v>3145</v>
      </c>
      <c r="Z394" s="35" t="s">
        <v>3136</v>
      </c>
      <c r="AA394" s="35" t="s">
        <v>2697</v>
      </c>
      <c r="AC394" s="35" t="s">
        <v>1633</v>
      </c>
      <c r="AD394" s="35" t="s">
        <v>1634</v>
      </c>
      <c r="AE394" s="35" t="s">
        <v>1634</v>
      </c>
      <c r="AF394" s="35" t="s">
        <v>1635</v>
      </c>
      <c r="AG394" s="35" t="s">
        <v>1636</v>
      </c>
      <c r="AI394" s="35"/>
      <c r="AJ394" s="35" t="s">
        <v>1637</v>
      </c>
      <c r="AK394" s="35" t="s">
        <v>1672</v>
      </c>
      <c r="AL394" s="29" t="s">
        <v>2954</v>
      </c>
      <c r="AM394" s="35"/>
      <c r="AN394" s="35"/>
      <c r="AO394" s="35"/>
      <c r="AP394" s="35"/>
      <c r="AQ394" s="35"/>
      <c r="AS394" s="35"/>
      <c r="AU394" s="35"/>
      <c r="AW394" s="35"/>
      <c r="AY394" s="35"/>
      <c r="AZ394" s="35"/>
      <c r="BA394" s="35"/>
      <c r="BB394" s="29" t="s">
        <v>3006</v>
      </c>
      <c r="BC394" s="29" t="s">
        <v>2347</v>
      </c>
      <c r="BD394" s="29" t="s">
        <v>2698</v>
      </c>
      <c r="BE394" s="29" t="s">
        <v>1805</v>
      </c>
      <c r="BF394" s="29" t="s">
        <v>1931</v>
      </c>
      <c r="BI394" s="35"/>
      <c r="BJ394" s="35"/>
      <c r="BK394" s="29" t="str" cm="1">
        <f t="array" ref="BK394">_xlfn.UNIQUE(MID(BB394,16,14))</f>
        <v>U012UBB01UC001</v>
      </c>
    </row>
    <row r="395" spans="1:63" x14ac:dyDescent="0.3">
      <c r="A395" s="29" t="s">
        <v>3142</v>
      </c>
      <c r="B395" s="36" t="str">
        <f t="shared" si="30"/>
        <v>G01NHA01TB002-KF01</v>
      </c>
      <c r="C395" s="33" t="s">
        <v>3146</v>
      </c>
      <c r="D395" s="34" t="str">
        <f t="shared" si="31"/>
        <v>ELY1 RECT1 RECT2 OUTP MOD CB OFF/CLD</v>
      </c>
      <c r="E395" s="31">
        <f t="shared" si="32"/>
        <v>36</v>
      </c>
      <c r="F395" s="32" t="str">
        <f t="shared" si="33"/>
        <v>ELECTROLYSIS SYSTEM ELECTROLYSIS ARRAY 1 RECTIFIER SYSTEMS RECTIFIER SYSTEM 1 RECTIFIERS RECTIFIER 2 SINAMICS DCM CONTROL MODULE WITHOUT POWER SECTION CHECK BACK OFF/CLOSED</v>
      </c>
      <c r="G395" s="29" t="s">
        <v>1614</v>
      </c>
      <c r="H395" s="29" t="s">
        <v>1615</v>
      </c>
      <c r="I395" s="29" t="str">
        <f t="shared" si="34"/>
        <v>01</v>
      </c>
      <c r="J395" s="29" t="s">
        <v>1616</v>
      </c>
      <c r="K395" s="29" t="s">
        <v>1842</v>
      </c>
      <c r="L395" s="29" t="s">
        <v>1843</v>
      </c>
      <c r="M395" s="29" t="s">
        <v>1619</v>
      </c>
      <c r="N395" s="29" t="s">
        <v>1844</v>
      </c>
      <c r="O395" s="29" t="s">
        <v>3131</v>
      </c>
      <c r="P395" s="29" t="s">
        <v>3132</v>
      </c>
      <c r="Q395" s="29" t="s">
        <v>1872</v>
      </c>
      <c r="R395" s="29" t="s">
        <v>3144</v>
      </c>
      <c r="S395" s="29" t="s">
        <v>3002</v>
      </c>
      <c r="T395" s="29" t="s">
        <v>3138</v>
      </c>
      <c r="U395" s="29" t="s">
        <v>363</v>
      </c>
      <c r="V395" s="29" t="s">
        <v>2645</v>
      </c>
      <c r="W395" s="35" t="s">
        <v>1628</v>
      </c>
      <c r="X395" s="35" t="s">
        <v>1850</v>
      </c>
      <c r="Y395" s="35" t="s">
        <v>3145</v>
      </c>
      <c r="Z395" s="35" t="s">
        <v>3005</v>
      </c>
      <c r="AA395" s="35" t="s">
        <v>2646</v>
      </c>
      <c r="AB395" s="29" t="s">
        <v>2653</v>
      </c>
      <c r="AC395" s="35" t="s">
        <v>1633</v>
      </c>
      <c r="AD395" s="35" t="s">
        <v>1634</v>
      </c>
      <c r="AE395" s="35" t="s">
        <v>1634</v>
      </c>
      <c r="AF395" s="35" t="s">
        <v>1635</v>
      </c>
      <c r="AG395" s="35" t="s">
        <v>2634</v>
      </c>
      <c r="AI395" s="35"/>
      <c r="AJ395" s="35" t="s">
        <v>1637</v>
      </c>
      <c r="AK395" s="35" t="s">
        <v>1638</v>
      </c>
      <c r="AL395" s="29" t="s">
        <v>2954</v>
      </c>
      <c r="AM395" s="35"/>
      <c r="AN395" s="35"/>
      <c r="AO395" s="35"/>
      <c r="AP395" s="35"/>
      <c r="AQ395" s="35"/>
      <c r="AS395" s="35"/>
      <c r="AU395" s="35"/>
      <c r="AW395" s="35"/>
      <c r="AY395" s="35"/>
      <c r="AZ395" s="35" t="s">
        <v>1642</v>
      </c>
      <c r="BA395" s="35" t="s">
        <v>3139</v>
      </c>
      <c r="BB395" s="29" t="s">
        <v>2654</v>
      </c>
      <c r="BC395" s="29" t="s">
        <v>1644</v>
      </c>
      <c r="BF395" s="29" t="s">
        <v>2554</v>
      </c>
      <c r="BG395" s="29" t="s">
        <v>3147</v>
      </c>
      <c r="BI395" s="35"/>
      <c r="BJ395" s="35"/>
      <c r="BK395" s="29" t="str" cm="1">
        <f t="array" ref="BK395">_xlfn.UNIQUE(MID(BB395,16,14))</f>
        <v>U012UBB01UC001</v>
      </c>
    </row>
    <row r="396" spans="1:63" x14ac:dyDescent="0.3">
      <c r="A396" s="29" t="s">
        <v>3148</v>
      </c>
      <c r="B396" s="36" t="str">
        <f t="shared" si="30"/>
        <v>G01NHA01TB003-GQ01</v>
      </c>
      <c r="C396" s="33" t="s">
        <v>3149</v>
      </c>
      <c r="D396" s="34" t="str">
        <f t="shared" si="31"/>
        <v>ELY1 RECT1 RECT3 RAD BLOW CHECK CMD</v>
      </c>
      <c r="E396" s="31">
        <f t="shared" si="32"/>
        <v>35</v>
      </c>
      <c r="F396" s="32" t="str">
        <f t="shared" si="33"/>
        <v>ELECTROLYSIS SYSTEM ELECTROLYSIS ARRAY 1 RECTIFIER SYSTEMS RECTIFIER SYSTEM 1 RECTIFIERS RECTIFIER 3 RADIAL BLOWER CHECK COMMAND</v>
      </c>
      <c r="G396" s="29" t="s">
        <v>1614</v>
      </c>
      <c r="H396" s="29" t="s">
        <v>1615</v>
      </c>
      <c r="I396" s="29" t="str">
        <f t="shared" si="34"/>
        <v>01</v>
      </c>
      <c r="J396" s="29" t="s">
        <v>1616</v>
      </c>
      <c r="K396" s="29" t="s">
        <v>1842</v>
      </c>
      <c r="L396" s="29" t="s">
        <v>1843</v>
      </c>
      <c r="M396" s="29" t="s">
        <v>1619</v>
      </c>
      <c r="N396" s="29" t="s">
        <v>1844</v>
      </c>
      <c r="O396" s="29" t="s">
        <v>3131</v>
      </c>
      <c r="P396" s="29" t="s">
        <v>3132</v>
      </c>
      <c r="Q396" s="29" t="s">
        <v>1830</v>
      </c>
      <c r="R396" s="29" t="s">
        <v>3150</v>
      </c>
      <c r="S396" s="29" t="s">
        <v>3134</v>
      </c>
      <c r="T396" s="29" t="s">
        <v>3135</v>
      </c>
      <c r="U396" s="29" t="s">
        <v>1105</v>
      </c>
      <c r="V396" s="29" t="s">
        <v>1107</v>
      </c>
      <c r="W396" s="35" t="s">
        <v>1628</v>
      </c>
      <c r="X396" s="35" t="s">
        <v>1850</v>
      </c>
      <c r="Y396" s="35" t="s">
        <v>3151</v>
      </c>
      <c r="Z396" s="35" t="s">
        <v>3136</v>
      </c>
      <c r="AA396" s="35" t="s">
        <v>2697</v>
      </c>
      <c r="AC396" s="35" t="s">
        <v>1633</v>
      </c>
      <c r="AD396" s="35" t="s">
        <v>1634</v>
      </c>
      <c r="AE396" s="35" t="s">
        <v>1634</v>
      </c>
      <c r="AF396" s="35" t="s">
        <v>1635</v>
      </c>
      <c r="AG396" s="35" t="s">
        <v>1636</v>
      </c>
      <c r="AI396" s="35"/>
      <c r="AJ396" s="35" t="s">
        <v>1637</v>
      </c>
      <c r="AK396" s="35" t="s">
        <v>1672</v>
      </c>
      <c r="AL396" s="29" t="s">
        <v>2954</v>
      </c>
      <c r="AM396" s="35"/>
      <c r="AN396" s="35"/>
      <c r="AO396" s="35"/>
      <c r="AP396" s="35"/>
      <c r="AQ396" s="35"/>
      <c r="AS396" s="35"/>
      <c r="AU396" s="35"/>
      <c r="AW396" s="35"/>
      <c r="AY396" s="35"/>
      <c r="AZ396" s="35"/>
      <c r="BA396" s="35"/>
      <c r="BB396" s="29" t="s">
        <v>3152</v>
      </c>
      <c r="BC396" s="29" t="s">
        <v>2347</v>
      </c>
      <c r="BD396" s="29" t="s">
        <v>2698</v>
      </c>
      <c r="BE396" s="29" t="s">
        <v>1805</v>
      </c>
      <c r="BF396" s="29" t="s">
        <v>1619</v>
      </c>
      <c r="BI396" s="35"/>
      <c r="BJ396" s="35"/>
      <c r="BK396" s="29" t="str" cm="1">
        <f t="array" ref="BK396">_xlfn.UNIQUE(MID(BB396,16,14))</f>
        <v>U012UBB01UC002</v>
      </c>
    </row>
    <row r="397" spans="1:63" x14ac:dyDescent="0.3">
      <c r="A397" s="29" t="s">
        <v>3148</v>
      </c>
      <c r="B397" s="36" t="str">
        <f t="shared" si="30"/>
        <v>G01NHA01TB003-KF01</v>
      </c>
      <c r="C397" s="33" t="s">
        <v>3153</v>
      </c>
      <c r="D397" s="34" t="str">
        <f t="shared" si="31"/>
        <v>ELY1 RECT1 RECT3 OUTP MOD CB OFF/CLD</v>
      </c>
      <c r="E397" s="31">
        <f t="shared" si="32"/>
        <v>36</v>
      </c>
      <c r="F397" s="32" t="str">
        <f t="shared" si="33"/>
        <v>ELECTROLYSIS SYSTEM ELECTROLYSIS ARRAY 1 RECTIFIER SYSTEMS RECTIFIER SYSTEM 1 RECTIFIERS RECTIFIER 3 SINAMICS DCM CONTROL MODULE WITHOUT POWER SECTION CHECK BACK OFF/CLOSED</v>
      </c>
      <c r="G397" s="29" t="s">
        <v>1614</v>
      </c>
      <c r="H397" s="29" t="s">
        <v>1615</v>
      </c>
      <c r="I397" s="29" t="str">
        <f t="shared" si="34"/>
        <v>01</v>
      </c>
      <c r="J397" s="29" t="s">
        <v>1616</v>
      </c>
      <c r="K397" s="29" t="s">
        <v>1842</v>
      </c>
      <c r="L397" s="29" t="s">
        <v>1843</v>
      </c>
      <c r="M397" s="29" t="s">
        <v>1619</v>
      </c>
      <c r="N397" s="29" t="s">
        <v>1844</v>
      </c>
      <c r="O397" s="29" t="s">
        <v>3131</v>
      </c>
      <c r="P397" s="29" t="s">
        <v>3132</v>
      </c>
      <c r="Q397" s="29" t="s">
        <v>1830</v>
      </c>
      <c r="R397" s="29" t="s">
        <v>3150</v>
      </c>
      <c r="S397" s="29" t="s">
        <v>3002</v>
      </c>
      <c r="T397" s="29" t="s">
        <v>3138</v>
      </c>
      <c r="U397" s="29" t="s">
        <v>363</v>
      </c>
      <c r="V397" s="29" t="s">
        <v>2645</v>
      </c>
      <c r="W397" s="35" t="s">
        <v>1628</v>
      </c>
      <c r="X397" s="35" t="s">
        <v>1850</v>
      </c>
      <c r="Y397" s="35" t="s">
        <v>3151</v>
      </c>
      <c r="Z397" s="35" t="s">
        <v>3005</v>
      </c>
      <c r="AA397" s="35" t="s">
        <v>2646</v>
      </c>
      <c r="AB397" s="29" t="s">
        <v>2653</v>
      </c>
      <c r="AC397" s="35" t="s">
        <v>1633</v>
      </c>
      <c r="AD397" s="35" t="s">
        <v>1634</v>
      </c>
      <c r="AE397" s="35" t="s">
        <v>1634</v>
      </c>
      <c r="AF397" s="35" t="s">
        <v>1635</v>
      </c>
      <c r="AG397" s="35" t="s">
        <v>2634</v>
      </c>
      <c r="AI397" s="35"/>
      <c r="AJ397" s="35" t="s">
        <v>1637</v>
      </c>
      <c r="AK397" s="35" t="s">
        <v>1638</v>
      </c>
      <c r="AL397" s="29" t="s">
        <v>2954</v>
      </c>
      <c r="AM397" s="35"/>
      <c r="AN397" s="35"/>
      <c r="AO397" s="35"/>
      <c r="AP397" s="35"/>
      <c r="AQ397" s="35"/>
      <c r="AS397" s="35"/>
      <c r="AU397" s="35"/>
      <c r="AW397" s="35"/>
      <c r="AY397" s="35"/>
      <c r="AZ397" s="35" t="s">
        <v>1642</v>
      </c>
      <c r="BA397" s="35" t="s">
        <v>3139</v>
      </c>
      <c r="BB397" s="29" t="s">
        <v>2680</v>
      </c>
      <c r="BC397" s="29" t="s">
        <v>1644</v>
      </c>
      <c r="BD397" s="29" t="s">
        <v>3154</v>
      </c>
      <c r="BE397" s="29" t="s">
        <v>3155</v>
      </c>
      <c r="BF397" s="29" t="s">
        <v>1919</v>
      </c>
      <c r="BG397" s="29" t="s">
        <v>3156</v>
      </c>
      <c r="BI397" s="35"/>
      <c r="BJ397" s="35"/>
      <c r="BK397" s="29" t="str" cm="1">
        <f t="array" ref="BK397">_xlfn.UNIQUE(MID(BB397,16,14))</f>
        <v>U012UBB01UC002</v>
      </c>
    </row>
    <row r="398" spans="1:63" x14ac:dyDescent="0.3">
      <c r="A398" s="29" t="s">
        <v>3157</v>
      </c>
      <c r="B398" s="36" t="str">
        <f t="shared" si="30"/>
        <v>G01NHA01TB004-GQ01</v>
      </c>
      <c r="C398" s="33" t="s">
        <v>3158</v>
      </c>
      <c r="D398" s="34" t="str">
        <f t="shared" si="31"/>
        <v>ELY1 RECT1 RECT4 RAD BLOW CHECK CMD</v>
      </c>
      <c r="E398" s="31">
        <f t="shared" si="32"/>
        <v>35</v>
      </c>
      <c r="F398" s="32" t="str">
        <f t="shared" si="33"/>
        <v>ELECTROLYSIS SYSTEM ELECTROLYSIS ARRAY 1 RECTIFIER SYSTEMS RECTIFIER SYSTEM 1 RECTIFIERS RECTIFIER 4 RADIAL BLOWER CHECK COMMAND</v>
      </c>
      <c r="G398" s="29" t="s">
        <v>1614</v>
      </c>
      <c r="H398" s="29" t="s">
        <v>1615</v>
      </c>
      <c r="I398" s="29" t="str">
        <f t="shared" si="34"/>
        <v>01</v>
      </c>
      <c r="J398" s="29" t="s">
        <v>1616</v>
      </c>
      <c r="K398" s="29" t="s">
        <v>1842</v>
      </c>
      <c r="L398" s="29" t="s">
        <v>1843</v>
      </c>
      <c r="M398" s="29" t="s">
        <v>1619</v>
      </c>
      <c r="N398" s="29" t="s">
        <v>1844</v>
      </c>
      <c r="O398" s="29" t="s">
        <v>3131</v>
      </c>
      <c r="P398" s="29" t="s">
        <v>3132</v>
      </c>
      <c r="Q398" s="29" t="s">
        <v>1838</v>
      </c>
      <c r="R398" s="29" t="s">
        <v>3159</v>
      </c>
      <c r="S398" s="29" t="s">
        <v>3134</v>
      </c>
      <c r="T398" s="29" t="s">
        <v>3135</v>
      </c>
      <c r="U398" s="29" t="s">
        <v>1105</v>
      </c>
      <c r="V398" s="29" t="s">
        <v>1107</v>
      </c>
      <c r="W398" s="35" t="s">
        <v>1628</v>
      </c>
      <c r="X398" s="35" t="s">
        <v>1850</v>
      </c>
      <c r="Y398" s="35" t="s">
        <v>3160</v>
      </c>
      <c r="Z398" s="35" t="s">
        <v>3136</v>
      </c>
      <c r="AA398" s="35" t="s">
        <v>2697</v>
      </c>
      <c r="AC398" s="35" t="s">
        <v>1633</v>
      </c>
      <c r="AD398" s="35" t="s">
        <v>1634</v>
      </c>
      <c r="AE398" s="35" t="s">
        <v>1634</v>
      </c>
      <c r="AF398" s="35" t="s">
        <v>1635</v>
      </c>
      <c r="AG398" s="35" t="s">
        <v>1636</v>
      </c>
      <c r="AI398" s="35"/>
      <c r="AJ398" s="35" t="s">
        <v>1637</v>
      </c>
      <c r="AK398" s="35" t="s">
        <v>1672</v>
      </c>
      <c r="AL398" s="29" t="s">
        <v>2954</v>
      </c>
      <c r="AM398" s="35"/>
      <c r="AN398" s="35"/>
      <c r="AO398" s="35"/>
      <c r="AP398" s="35"/>
      <c r="AQ398" s="35"/>
      <c r="AS398" s="35"/>
      <c r="AU398" s="35"/>
      <c r="AW398" s="35"/>
      <c r="AY398" s="35"/>
      <c r="AZ398" s="35"/>
      <c r="BA398" s="35"/>
      <c r="BB398" s="29" t="s">
        <v>3152</v>
      </c>
      <c r="BC398" s="29" t="s">
        <v>2347</v>
      </c>
      <c r="BD398" s="29" t="s">
        <v>2698</v>
      </c>
      <c r="BE398" s="29" t="s">
        <v>1805</v>
      </c>
      <c r="BF398" s="29" t="s">
        <v>1905</v>
      </c>
      <c r="BI398" s="35"/>
      <c r="BJ398" s="35"/>
      <c r="BK398" s="29" t="str" cm="1">
        <f t="array" ref="BK398">_xlfn.UNIQUE(MID(BB398,16,14))</f>
        <v>U012UBB01UC002</v>
      </c>
    </row>
    <row r="399" spans="1:63" x14ac:dyDescent="0.3">
      <c r="A399" s="29" t="s">
        <v>3157</v>
      </c>
      <c r="B399" s="36" t="str">
        <f t="shared" si="30"/>
        <v>G01NHA01TB004-KF01</v>
      </c>
      <c r="C399" s="33" t="s">
        <v>3161</v>
      </c>
      <c r="D399" s="34" t="str">
        <f t="shared" si="31"/>
        <v>ELY1 RECT1 RECT4 OUTP MOD CB OFF/CLD</v>
      </c>
      <c r="E399" s="31">
        <f t="shared" si="32"/>
        <v>36</v>
      </c>
      <c r="F399" s="32" t="str">
        <f t="shared" si="33"/>
        <v>ELECTROLYSIS SYSTEM ELECTROLYSIS ARRAY 1 RECTIFIER SYSTEMS RECTIFIER SYSTEM 1 RECTIFIERS RECTIFIER 4 SINAMICS DCM CONTROL MODULE WITHOUT POWER SECTION CHECK BACK OFF/CLOSED</v>
      </c>
      <c r="G399" s="29" t="s">
        <v>1614</v>
      </c>
      <c r="H399" s="29" t="s">
        <v>1615</v>
      </c>
      <c r="I399" s="29" t="str">
        <f t="shared" si="34"/>
        <v>01</v>
      </c>
      <c r="J399" s="29" t="s">
        <v>1616</v>
      </c>
      <c r="K399" s="29" t="s">
        <v>1842</v>
      </c>
      <c r="L399" s="29" t="s">
        <v>1843</v>
      </c>
      <c r="M399" s="29" t="s">
        <v>1619</v>
      </c>
      <c r="N399" s="29" t="s">
        <v>1844</v>
      </c>
      <c r="O399" s="29" t="s">
        <v>3131</v>
      </c>
      <c r="P399" s="29" t="s">
        <v>3132</v>
      </c>
      <c r="Q399" s="29" t="s">
        <v>1838</v>
      </c>
      <c r="R399" s="29" t="s">
        <v>3159</v>
      </c>
      <c r="S399" s="29" t="s">
        <v>3002</v>
      </c>
      <c r="T399" s="29" t="s">
        <v>3138</v>
      </c>
      <c r="U399" s="29" t="s">
        <v>363</v>
      </c>
      <c r="V399" s="29" t="s">
        <v>2645</v>
      </c>
      <c r="W399" s="35" t="s">
        <v>1628</v>
      </c>
      <c r="X399" s="35" t="s">
        <v>1850</v>
      </c>
      <c r="Y399" s="35" t="s">
        <v>3160</v>
      </c>
      <c r="Z399" s="35" t="s">
        <v>3005</v>
      </c>
      <c r="AA399" s="35" t="s">
        <v>2646</v>
      </c>
      <c r="AB399" s="29" t="s">
        <v>2653</v>
      </c>
      <c r="AC399" s="35" t="s">
        <v>1633</v>
      </c>
      <c r="AD399" s="35" t="s">
        <v>1634</v>
      </c>
      <c r="AE399" s="35" t="s">
        <v>1634</v>
      </c>
      <c r="AF399" s="35" t="s">
        <v>1635</v>
      </c>
      <c r="AG399" s="35" t="s">
        <v>2634</v>
      </c>
      <c r="AI399" s="35"/>
      <c r="AJ399" s="35" t="s">
        <v>1637</v>
      </c>
      <c r="AK399" s="35" t="s">
        <v>1638</v>
      </c>
      <c r="AL399" s="29" t="s">
        <v>2954</v>
      </c>
      <c r="AM399" s="35"/>
      <c r="AN399" s="35"/>
      <c r="AO399" s="35"/>
      <c r="AP399" s="35"/>
      <c r="AQ399" s="35"/>
      <c r="AS399" s="35"/>
      <c r="AU399" s="35"/>
      <c r="AW399" s="35"/>
      <c r="AY399" s="35"/>
      <c r="AZ399" s="35" t="s">
        <v>1642</v>
      </c>
      <c r="BA399" s="35" t="s">
        <v>3139</v>
      </c>
      <c r="BB399" s="29" t="s">
        <v>2680</v>
      </c>
      <c r="BC399" s="29" t="s">
        <v>1644</v>
      </c>
      <c r="BD399" s="29" t="s">
        <v>3154</v>
      </c>
      <c r="BE399" s="29" t="s">
        <v>3155</v>
      </c>
      <c r="BF399" s="29" t="s">
        <v>2978</v>
      </c>
      <c r="BG399" s="29" t="s">
        <v>3162</v>
      </c>
      <c r="BI399" s="35"/>
      <c r="BJ399" s="35"/>
      <c r="BK399" s="29" t="str" cm="1">
        <f t="array" ref="BK399">_xlfn.UNIQUE(MID(BB399,16,14))</f>
        <v>U012UBB01UC002</v>
      </c>
    </row>
    <row r="400" spans="1:63" x14ac:dyDescent="0.3">
      <c r="A400" s="29" t="s">
        <v>3163</v>
      </c>
      <c r="B400" s="36" t="str">
        <f t="shared" si="30"/>
        <v>G01NHA01TB011-BA11</v>
      </c>
      <c r="C400" s="33" t="s">
        <v>3164</v>
      </c>
      <c r="D400" s="34" t="str">
        <f t="shared" si="31"/>
        <v>ELY1 RECT1 POLR1 400VAC MON GRP FLT</v>
      </c>
      <c r="E400" s="31">
        <f t="shared" si="32"/>
        <v>35</v>
      </c>
      <c r="F400" s="32" t="str">
        <f t="shared" si="33"/>
        <v>ELECTROLYSIS SYSTEM ELECTROLYSIS ARRAY 1 RECTIFIER SYSTEMS RECTIFIER SYSTEM 1 RECTIFIERS POLARISATION RECTIFIER SYSTEM 1&amp;2 GROUP FAULT ALARM 400VAC GROUP FAULT ALARM</v>
      </c>
      <c r="G400" s="29" t="s">
        <v>1614</v>
      </c>
      <c r="H400" s="29" t="s">
        <v>1615</v>
      </c>
      <c r="I400" s="29" t="str">
        <f t="shared" si="34"/>
        <v>01</v>
      </c>
      <c r="J400" s="29" t="s">
        <v>1616</v>
      </c>
      <c r="K400" s="29" t="s">
        <v>1842</v>
      </c>
      <c r="L400" s="29" t="s">
        <v>1843</v>
      </c>
      <c r="M400" s="29" t="s">
        <v>1619</v>
      </c>
      <c r="N400" s="29" t="s">
        <v>1844</v>
      </c>
      <c r="O400" s="29" t="s">
        <v>3131</v>
      </c>
      <c r="P400" s="29" t="s">
        <v>3132</v>
      </c>
      <c r="Q400" s="29" t="s">
        <v>3165</v>
      </c>
      <c r="R400" s="29" t="s">
        <v>3166</v>
      </c>
      <c r="S400" s="29" t="s">
        <v>2736</v>
      </c>
      <c r="T400" s="29" t="s">
        <v>3167</v>
      </c>
      <c r="U400" s="29" t="s">
        <v>1033</v>
      </c>
      <c r="V400" s="29" t="s">
        <v>1288</v>
      </c>
      <c r="W400" s="35" t="s">
        <v>1628</v>
      </c>
      <c r="X400" s="35" t="s">
        <v>1850</v>
      </c>
      <c r="Y400" s="35" t="s">
        <v>3168</v>
      </c>
      <c r="Z400" s="35" t="s">
        <v>2738</v>
      </c>
      <c r="AA400" s="35" t="s">
        <v>2633</v>
      </c>
      <c r="AB400" s="29" t="s">
        <v>3169</v>
      </c>
      <c r="AC400" s="35" t="s">
        <v>1633</v>
      </c>
      <c r="AD400" s="35" t="s">
        <v>1634</v>
      </c>
      <c r="AE400" s="35" t="s">
        <v>1634</v>
      </c>
      <c r="AF400" s="35" t="s">
        <v>1635</v>
      </c>
      <c r="AG400" s="35" t="s">
        <v>2634</v>
      </c>
      <c r="AI400" s="35"/>
      <c r="AJ400" s="35" t="s">
        <v>1637</v>
      </c>
      <c r="AK400" s="35" t="s">
        <v>1672</v>
      </c>
      <c r="AL400" s="29" t="s">
        <v>3170</v>
      </c>
      <c r="AM400" s="35"/>
      <c r="AN400" s="35"/>
      <c r="AO400" s="35"/>
      <c r="AP400" s="35"/>
      <c r="AQ400" s="35"/>
      <c r="AS400" s="35"/>
      <c r="AU400" s="35"/>
      <c r="AW400" s="35"/>
      <c r="AY400" s="35"/>
      <c r="AZ400" s="35"/>
      <c r="BA400" s="35"/>
      <c r="BB400" s="29" t="s">
        <v>3049</v>
      </c>
      <c r="BC400" s="29" t="s">
        <v>2347</v>
      </c>
      <c r="BD400" s="29" t="s">
        <v>2635</v>
      </c>
      <c r="BE400" s="29" t="s">
        <v>3171</v>
      </c>
      <c r="BF400" s="29" t="s">
        <v>2388</v>
      </c>
      <c r="BG400" s="29" t="s">
        <v>3172</v>
      </c>
      <c r="BI400" s="35"/>
      <c r="BJ400" s="35"/>
      <c r="BK400" s="29" t="str" cm="1">
        <f t="array" ref="BK400">_xlfn.UNIQUE(MID(BB400,16,14))</f>
        <v>U012UBB01UC001</v>
      </c>
    </row>
    <row r="401" spans="1:63" x14ac:dyDescent="0.3">
      <c r="A401" s="29" t="s">
        <v>3163</v>
      </c>
      <c r="B401" s="36" t="str">
        <f t="shared" si="30"/>
        <v>G01NHA01TB011-BA22</v>
      </c>
      <c r="C401" s="33" t="s">
        <v>3173</v>
      </c>
      <c r="D401" s="34" t="str">
        <f t="shared" si="31"/>
        <v>ELY1 RECT1 POLR1 230VAC GRP FLT GRP FLT</v>
      </c>
      <c r="E401" s="31">
        <f t="shared" si="32"/>
        <v>39</v>
      </c>
      <c r="F401" s="32" t="str">
        <f t="shared" si="33"/>
        <v>ELECTROLYSIS SYSTEM ELECTROLYSIS ARRAY 1 RECTIFIER SYSTEMS RECTIFIER SYSTEM 1 RECTIFIERS POLARISATION RECTIFIER SYSTEM 1&amp;2 GROUP FAULT ALARM 230V GROUP FAULT ALARM</v>
      </c>
      <c r="G401" s="29" t="s">
        <v>1614</v>
      </c>
      <c r="H401" s="29" t="s">
        <v>1615</v>
      </c>
      <c r="I401" s="29" t="str">
        <f t="shared" si="34"/>
        <v>01</v>
      </c>
      <c r="J401" s="29" t="s">
        <v>1616</v>
      </c>
      <c r="K401" s="29" t="s">
        <v>1842</v>
      </c>
      <c r="L401" s="29" t="s">
        <v>1843</v>
      </c>
      <c r="M401" s="29" t="s">
        <v>1619</v>
      </c>
      <c r="N401" s="29" t="s">
        <v>1844</v>
      </c>
      <c r="O401" s="29" t="s">
        <v>3131</v>
      </c>
      <c r="P401" s="29" t="s">
        <v>3132</v>
      </c>
      <c r="Q401" s="29" t="s">
        <v>3165</v>
      </c>
      <c r="R401" s="29" t="s">
        <v>3166</v>
      </c>
      <c r="S401" s="29" t="s">
        <v>3174</v>
      </c>
      <c r="T401" s="29" t="s">
        <v>3175</v>
      </c>
      <c r="U401" s="29" t="s">
        <v>1033</v>
      </c>
      <c r="V401" s="29" t="s">
        <v>1288</v>
      </c>
      <c r="W401" s="35" t="s">
        <v>1628</v>
      </c>
      <c r="X401" s="35" t="s">
        <v>1850</v>
      </c>
      <c r="Y401" s="35" t="s">
        <v>3168</v>
      </c>
      <c r="Z401" s="35" t="s">
        <v>3176</v>
      </c>
      <c r="AA401" s="35" t="s">
        <v>2633</v>
      </c>
      <c r="AB401" s="29" t="s">
        <v>3169</v>
      </c>
      <c r="AC401" s="35" t="s">
        <v>1633</v>
      </c>
      <c r="AD401" s="35" t="s">
        <v>1634</v>
      </c>
      <c r="AE401" s="35" t="s">
        <v>1634</v>
      </c>
      <c r="AF401" s="35" t="s">
        <v>1635</v>
      </c>
      <c r="AG401" s="35" t="s">
        <v>2634</v>
      </c>
      <c r="AI401" s="35"/>
      <c r="AJ401" s="35" t="s">
        <v>1637</v>
      </c>
      <c r="AK401" s="35" t="s">
        <v>1672</v>
      </c>
      <c r="AL401" s="29" t="s">
        <v>3170</v>
      </c>
      <c r="AM401" s="35"/>
      <c r="AN401" s="35"/>
      <c r="AO401" s="35"/>
      <c r="AP401" s="35"/>
      <c r="AQ401" s="35"/>
      <c r="AS401" s="35"/>
      <c r="AU401" s="35"/>
      <c r="AW401" s="35"/>
      <c r="AY401" s="35"/>
      <c r="AZ401" s="35"/>
      <c r="BA401" s="35"/>
      <c r="BB401" s="29" t="s">
        <v>3006</v>
      </c>
      <c r="BC401" s="29" t="s">
        <v>2347</v>
      </c>
      <c r="BF401" s="29" t="s">
        <v>1619</v>
      </c>
      <c r="BG401" s="29" t="s">
        <v>3177</v>
      </c>
      <c r="BI401" s="35"/>
      <c r="BJ401" s="35"/>
      <c r="BK401" s="29" t="str" cm="1">
        <f t="array" ref="BK401">_xlfn.UNIQUE(MID(BB401,16,14))</f>
        <v>U012UBB01UC001</v>
      </c>
    </row>
    <row r="402" spans="1:63" x14ac:dyDescent="0.3">
      <c r="A402" s="29" t="s">
        <v>3163</v>
      </c>
      <c r="B402" s="36" t="str">
        <f t="shared" si="30"/>
        <v>G01NHA01TB011-BA41</v>
      </c>
      <c r="C402" s="33" t="s">
        <v>3178</v>
      </c>
      <c r="D402" s="34" t="str">
        <f t="shared" si="31"/>
        <v>ELY1 RECT1 POLR1 UPS MON GRP FLT</v>
      </c>
      <c r="E402" s="31">
        <f t="shared" si="32"/>
        <v>32</v>
      </c>
      <c r="F402" s="32" t="str">
        <f t="shared" si="33"/>
        <v>ELECTROLYSIS SYSTEM ELECTROLYSIS ARRAY 1 RECTIFIER SYSTEMS RECTIFIER SYSTEM 1 RECTIFIERS POLARISATION RECTIFIER SYSTEM 1&amp;2 GROUP FAULT ALARM 230V UPS GROUP FAULT ALARM</v>
      </c>
      <c r="G402" s="29" t="s">
        <v>1614</v>
      </c>
      <c r="H402" s="29" t="s">
        <v>1615</v>
      </c>
      <c r="I402" s="29" t="str">
        <f t="shared" si="34"/>
        <v>01</v>
      </c>
      <c r="J402" s="29" t="s">
        <v>1616</v>
      </c>
      <c r="K402" s="29" t="s">
        <v>1842</v>
      </c>
      <c r="L402" s="29" t="s">
        <v>1843</v>
      </c>
      <c r="M402" s="29" t="s">
        <v>1619</v>
      </c>
      <c r="N402" s="29" t="s">
        <v>1844</v>
      </c>
      <c r="O402" s="29" t="s">
        <v>3131</v>
      </c>
      <c r="P402" s="29" t="s">
        <v>3132</v>
      </c>
      <c r="Q402" s="29" t="s">
        <v>3165</v>
      </c>
      <c r="R402" s="29" t="s">
        <v>3166</v>
      </c>
      <c r="S402" s="29" t="s">
        <v>2747</v>
      </c>
      <c r="T402" s="29" t="s">
        <v>3179</v>
      </c>
      <c r="U402" s="29" t="s">
        <v>1033</v>
      </c>
      <c r="V402" s="29" t="s">
        <v>1288</v>
      </c>
      <c r="W402" s="35" t="s">
        <v>1628</v>
      </c>
      <c r="X402" s="35" t="s">
        <v>1850</v>
      </c>
      <c r="Y402" s="35" t="s">
        <v>3168</v>
      </c>
      <c r="Z402" s="35" t="s">
        <v>2749</v>
      </c>
      <c r="AA402" s="35" t="s">
        <v>2633</v>
      </c>
      <c r="AB402" s="29" t="s">
        <v>3169</v>
      </c>
      <c r="AC402" s="35" t="s">
        <v>1633</v>
      </c>
      <c r="AD402" s="35" t="s">
        <v>1634</v>
      </c>
      <c r="AE402" s="35" t="s">
        <v>1634</v>
      </c>
      <c r="AF402" s="35" t="s">
        <v>1635</v>
      </c>
      <c r="AG402" s="35" t="s">
        <v>2634</v>
      </c>
      <c r="AI402" s="35"/>
      <c r="AJ402" s="35" t="s">
        <v>1637</v>
      </c>
      <c r="AK402" s="35" t="s">
        <v>1672</v>
      </c>
      <c r="AL402" s="29" t="s">
        <v>3170</v>
      </c>
      <c r="AM402" s="35"/>
      <c r="AN402" s="35"/>
      <c r="AO402" s="35"/>
      <c r="AP402" s="35"/>
      <c r="AQ402" s="35"/>
      <c r="AS402" s="35"/>
      <c r="AU402" s="35"/>
      <c r="AW402" s="35"/>
      <c r="AY402" s="35"/>
      <c r="AZ402" s="35"/>
      <c r="BA402" s="35"/>
      <c r="BB402" s="29" t="s">
        <v>3006</v>
      </c>
      <c r="BC402" s="29" t="s">
        <v>2347</v>
      </c>
      <c r="BF402" s="29" t="s">
        <v>1905</v>
      </c>
      <c r="BG402" s="29" t="s">
        <v>3180</v>
      </c>
      <c r="BI402" s="35"/>
      <c r="BJ402" s="35"/>
      <c r="BK402" s="29" t="str" cm="1">
        <f t="array" ref="BK402">_xlfn.UNIQUE(MID(BB402,16,14))</f>
        <v>U012UBB01UC001</v>
      </c>
    </row>
    <row r="403" spans="1:63" x14ac:dyDescent="0.3">
      <c r="A403" s="29" t="s">
        <v>3163</v>
      </c>
      <c r="B403" s="36" t="str">
        <f t="shared" si="30"/>
        <v>G01NHA01TB011-FC01</v>
      </c>
      <c r="C403" s="33" t="s">
        <v>3181</v>
      </c>
      <c r="D403" s="34" t="str">
        <f t="shared" si="31"/>
        <v>ELY1 RECT1 POLR1 24V MON1 GRP FLT</v>
      </c>
      <c r="E403" s="31">
        <f t="shared" si="32"/>
        <v>33</v>
      </c>
      <c r="F403" s="32" t="str">
        <f t="shared" si="33"/>
        <v>ELECTROLYSIS SYSTEM ELECTROLYSIS ARRAY 1 RECTIFIER SYSTEMS RECTIFIER SYSTEM 1 RECTIFIERS POLARISATION RECTIFIER SYSTEM 1&amp;2 GROUP FAULT ALARM 24VDC UPS DISTRIBUTION GROUP FAULT ALARM</v>
      </c>
      <c r="G403" s="29" t="s">
        <v>1614</v>
      </c>
      <c r="H403" s="29" t="s">
        <v>1615</v>
      </c>
      <c r="I403" s="29" t="str">
        <f t="shared" si="34"/>
        <v>01</v>
      </c>
      <c r="J403" s="29" t="s">
        <v>1616</v>
      </c>
      <c r="K403" s="29" t="s">
        <v>1842</v>
      </c>
      <c r="L403" s="29" t="s">
        <v>1843</v>
      </c>
      <c r="M403" s="29" t="s">
        <v>1619</v>
      </c>
      <c r="N403" s="29" t="s">
        <v>1844</v>
      </c>
      <c r="O403" s="29" t="s">
        <v>3131</v>
      </c>
      <c r="P403" s="29" t="s">
        <v>3132</v>
      </c>
      <c r="Q403" s="29" t="s">
        <v>3165</v>
      </c>
      <c r="R403" s="29" t="s">
        <v>3166</v>
      </c>
      <c r="S403" s="29" t="s">
        <v>2657</v>
      </c>
      <c r="T403" s="29" t="s">
        <v>3182</v>
      </c>
      <c r="U403" s="29" t="s">
        <v>1033</v>
      </c>
      <c r="V403" s="29" t="s">
        <v>1288</v>
      </c>
      <c r="W403" s="35" t="s">
        <v>1628</v>
      </c>
      <c r="X403" s="35" t="s">
        <v>1850</v>
      </c>
      <c r="Y403" s="35" t="s">
        <v>3168</v>
      </c>
      <c r="Z403" s="35" t="s">
        <v>2659</v>
      </c>
      <c r="AA403" s="35" t="s">
        <v>2633</v>
      </c>
      <c r="AB403" s="29" t="s">
        <v>3169</v>
      </c>
      <c r="AC403" s="35" t="s">
        <v>1633</v>
      </c>
      <c r="AD403" s="35" t="s">
        <v>1634</v>
      </c>
      <c r="AE403" s="35" t="s">
        <v>1634</v>
      </c>
      <c r="AF403" s="35" t="s">
        <v>1635</v>
      </c>
      <c r="AG403" s="35" t="s">
        <v>2660</v>
      </c>
      <c r="AI403" s="35"/>
      <c r="AJ403" s="35" t="s">
        <v>1637</v>
      </c>
      <c r="AK403" s="35" t="s">
        <v>1672</v>
      </c>
      <c r="AL403" s="29" t="s">
        <v>2715</v>
      </c>
      <c r="AM403" s="35"/>
      <c r="AN403" s="35"/>
      <c r="AO403" s="35"/>
      <c r="AP403" s="35"/>
      <c r="AQ403" s="35"/>
      <c r="AS403" s="35"/>
      <c r="AU403" s="35"/>
      <c r="AW403" s="35"/>
      <c r="AY403" s="35"/>
      <c r="AZ403" s="35"/>
      <c r="BA403" s="35"/>
      <c r="BB403" s="29" t="s">
        <v>3006</v>
      </c>
      <c r="BC403" s="29" t="s">
        <v>2347</v>
      </c>
      <c r="BF403" s="29" t="s">
        <v>1909</v>
      </c>
      <c r="BG403" s="29" t="s">
        <v>3183</v>
      </c>
      <c r="BI403" s="35"/>
      <c r="BJ403" s="35"/>
      <c r="BK403" s="29" t="str" cm="1">
        <f t="array" ref="BK403">_xlfn.UNIQUE(MID(BB403,16,14))</f>
        <v>U012UBB01UC001</v>
      </c>
    </row>
    <row r="404" spans="1:63" x14ac:dyDescent="0.3">
      <c r="A404" s="29" t="s">
        <v>3163</v>
      </c>
      <c r="B404" s="36" t="str">
        <f t="shared" si="30"/>
        <v>G01NHA01TB011-KF11</v>
      </c>
      <c r="C404" s="33" t="s">
        <v>3184</v>
      </c>
      <c r="D404" s="34" t="str">
        <f t="shared" si="31"/>
        <v>ELY1 RECT1 POLR1 DCM1 CB OFF/CLD</v>
      </c>
      <c r="E404" s="31">
        <f t="shared" si="32"/>
        <v>32</v>
      </c>
      <c r="F404" s="32" t="str">
        <f t="shared" si="33"/>
        <v>ELECTROLYSIS SYSTEM ELECTROLYSIS ARRAY 1 RECTIFIER SYSTEMS RECTIFIER SYSTEM 1 RECTIFIERS POLARISATION RECTIFIER SYSTEM 1&amp;2 SINAMICS DCM - STO CHECK BACK OFF/CLOSED</v>
      </c>
      <c r="G404" s="29" t="s">
        <v>1614</v>
      </c>
      <c r="H404" s="29" t="s">
        <v>1615</v>
      </c>
      <c r="I404" s="29" t="str">
        <f t="shared" si="34"/>
        <v>01</v>
      </c>
      <c r="J404" s="29" t="s">
        <v>1616</v>
      </c>
      <c r="K404" s="29" t="s">
        <v>1842</v>
      </c>
      <c r="L404" s="29" t="s">
        <v>1843</v>
      </c>
      <c r="M404" s="29" t="s">
        <v>1619</v>
      </c>
      <c r="N404" s="29" t="s">
        <v>1844</v>
      </c>
      <c r="O404" s="29" t="s">
        <v>3131</v>
      </c>
      <c r="P404" s="29" t="s">
        <v>3132</v>
      </c>
      <c r="Q404" s="29" t="s">
        <v>3165</v>
      </c>
      <c r="R404" s="29" t="s">
        <v>3166</v>
      </c>
      <c r="S404" s="29" t="s">
        <v>3185</v>
      </c>
      <c r="T404" s="29" t="s">
        <v>3186</v>
      </c>
      <c r="U404" s="29" t="s">
        <v>363</v>
      </c>
      <c r="V404" s="29" t="s">
        <v>2645</v>
      </c>
      <c r="W404" s="35" t="s">
        <v>1628</v>
      </c>
      <c r="X404" s="35" t="s">
        <v>1850</v>
      </c>
      <c r="Y404" s="35" t="s">
        <v>3168</v>
      </c>
      <c r="Z404" s="35" t="s">
        <v>3187</v>
      </c>
      <c r="AA404" s="35" t="s">
        <v>2646</v>
      </c>
      <c r="AB404" s="29" t="s">
        <v>2653</v>
      </c>
      <c r="AC404" s="35" t="s">
        <v>1633</v>
      </c>
      <c r="AD404" s="35" t="s">
        <v>1634</v>
      </c>
      <c r="AE404" s="35" t="s">
        <v>1634</v>
      </c>
      <c r="AF404" s="35" t="s">
        <v>1635</v>
      </c>
      <c r="AG404" s="35" t="s">
        <v>2634</v>
      </c>
      <c r="AI404" s="35"/>
      <c r="AJ404" s="35" t="s">
        <v>1637</v>
      </c>
      <c r="AK404" s="35" t="s">
        <v>1638</v>
      </c>
      <c r="AL404" s="29" t="s">
        <v>2954</v>
      </c>
      <c r="AM404" s="35"/>
      <c r="AN404" s="35"/>
      <c r="AO404" s="35"/>
      <c r="AP404" s="35"/>
      <c r="AQ404" s="35"/>
      <c r="AS404" s="35"/>
      <c r="AU404" s="35"/>
      <c r="AW404" s="35"/>
      <c r="AY404" s="35"/>
      <c r="AZ404" s="35" t="s">
        <v>1642</v>
      </c>
      <c r="BA404" s="35" t="s">
        <v>3139</v>
      </c>
      <c r="BB404" s="29" t="s">
        <v>2654</v>
      </c>
      <c r="BC404" s="29" t="s">
        <v>1644</v>
      </c>
      <c r="BD404" s="29" t="s">
        <v>3188</v>
      </c>
      <c r="BE404" s="29" t="s">
        <v>3189</v>
      </c>
      <c r="BF404" s="29" t="s">
        <v>1969</v>
      </c>
      <c r="BG404" s="29" t="s">
        <v>3190</v>
      </c>
      <c r="BI404" s="35"/>
      <c r="BJ404" s="35"/>
      <c r="BK404" s="29" t="str" cm="1">
        <f t="array" ref="BK404">_xlfn.UNIQUE(MID(BB404,16,14))</f>
        <v>U012UBB01UC001</v>
      </c>
    </row>
    <row r="405" spans="1:63" x14ac:dyDescent="0.3">
      <c r="A405" s="29" t="s">
        <v>3163</v>
      </c>
      <c r="B405" s="36" t="str">
        <f t="shared" si="30"/>
        <v>G01NHA01TB011-KF12</v>
      </c>
      <c r="C405" s="33" t="s">
        <v>3191</v>
      </c>
      <c r="D405" s="34" t="str">
        <f t="shared" si="31"/>
        <v>ELY1 RECT1 POLR1 DCM2 CB OFF/CLD</v>
      </c>
      <c r="E405" s="31">
        <f t="shared" si="32"/>
        <v>32</v>
      </c>
      <c r="F405" s="32" t="str">
        <f t="shared" si="33"/>
        <v>ELECTROLYSIS SYSTEM ELECTROLYSIS ARRAY 1 RECTIFIER SYSTEMS RECTIFIER SYSTEM 1 RECTIFIERS POLARISATION RECTIFIER SYSTEM 1&amp;2 SINAMICS DCM - STO CHECK BACK OFF/CLOSED</v>
      </c>
      <c r="G405" s="29" t="s">
        <v>1614</v>
      </c>
      <c r="H405" s="29" t="s">
        <v>1615</v>
      </c>
      <c r="I405" s="29" t="str">
        <f t="shared" si="34"/>
        <v>01</v>
      </c>
      <c r="J405" s="29" t="s">
        <v>1616</v>
      </c>
      <c r="K405" s="29" t="s">
        <v>1842</v>
      </c>
      <c r="L405" s="29" t="s">
        <v>1843</v>
      </c>
      <c r="M405" s="29" t="s">
        <v>1619</v>
      </c>
      <c r="N405" s="29" t="s">
        <v>1844</v>
      </c>
      <c r="O405" s="29" t="s">
        <v>3131</v>
      </c>
      <c r="P405" s="29" t="s">
        <v>3132</v>
      </c>
      <c r="Q405" s="29" t="s">
        <v>3165</v>
      </c>
      <c r="R405" s="29" t="s">
        <v>3166</v>
      </c>
      <c r="S405" s="29" t="s">
        <v>3192</v>
      </c>
      <c r="T405" s="29" t="s">
        <v>3186</v>
      </c>
      <c r="U405" s="29" t="s">
        <v>363</v>
      </c>
      <c r="V405" s="29" t="s">
        <v>2645</v>
      </c>
      <c r="W405" s="35" t="s">
        <v>1628</v>
      </c>
      <c r="X405" s="35" t="s">
        <v>1850</v>
      </c>
      <c r="Y405" s="35" t="s">
        <v>3168</v>
      </c>
      <c r="Z405" s="35" t="s">
        <v>3193</v>
      </c>
      <c r="AA405" s="35" t="s">
        <v>2646</v>
      </c>
      <c r="AB405" s="29" t="s">
        <v>2653</v>
      </c>
      <c r="AC405" s="35" t="s">
        <v>1633</v>
      </c>
      <c r="AD405" s="35" t="s">
        <v>1634</v>
      </c>
      <c r="AE405" s="35" t="s">
        <v>1634</v>
      </c>
      <c r="AF405" s="35" t="s">
        <v>1635</v>
      </c>
      <c r="AG405" s="35" t="s">
        <v>2634</v>
      </c>
      <c r="AI405" s="35"/>
      <c r="AJ405" s="35" t="s">
        <v>1637</v>
      </c>
      <c r="AK405" s="35" t="s">
        <v>1638</v>
      </c>
      <c r="AL405" s="29" t="s">
        <v>2954</v>
      </c>
      <c r="AM405" s="35"/>
      <c r="AN405" s="35"/>
      <c r="AO405" s="35"/>
      <c r="AP405" s="35"/>
      <c r="AQ405" s="35"/>
      <c r="AS405" s="35"/>
      <c r="AU405" s="35"/>
      <c r="AW405" s="35"/>
      <c r="AY405" s="35"/>
      <c r="AZ405" s="35" t="s">
        <v>1642</v>
      </c>
      <c r="BA405" s="35" t="s">
        <v>3139</v>
      </c>
      <c r="BB405" s="29" t="s">
        <v>2654</v>
      </c>
      <c r="BC405" s="29" t="s">
        <v>1644</v>
      </c>
      <c r="BD405" s="29" t="s">
        <v>3194</v>
      </c>
      <c r="BE405" s="29" t="s">
        <v>3195</v>
      </c>
      <c r="BF405" s="29" t="s">
        <v>3196</v>
      </c>
      <c r="BG405" s="29" t="s">
        <v>3197</v>
      </c>
      <c r="BI405" s="35"/>
      <c r="BJ405" s="35"/>
      <c r="BK405" s="29" t="str" cm="1">
        <f t="array" ref="BK405">_xlfn.UNIQUE(MID(BB405,16,14))</f>
        <v>U012UBB01UC001</v>
      </c>
    </row>
    <row r="406" spans="1:63" x14ac:dyDescent="0.3">
      <c r="A406" s="29" t="s">
        <v>3163</v>
      </c>
      <c r="B406" s="36" t="str">
        <f t="shared" si="30"/>
        <v>G01NHA01TB011-QA03</v>
      </c>
      <c r="C406" s="33" t="s">
        <v>3198</v>
      </c>
      <c r="D406" s="34" t="str">
        <f t="shared" si="31"/>
        <v>ELY1 RECT1 POLR1 SW3 CB OFF/CLD</v>
      </c>
      <c r="E406" s="31">
        <f t="shared" si="32"/>
        <v>31</v>
      </c>
      <c r="F406" s="32" t="str">
        <f t="shared" si="33"/>
        <v>ELECTROLYSIS SYSTEM ELECTROLYSIS ARRAY 1 RECTIFIER SYSTEMS RECTIFIER SYSTEM 1 RECTIFIERS POLARISATION RECTIFIER SYSTEM 1&amp;2 MAINSWITCH - OFF CHECK BACK OFF/CLOSED</v>
      </c>
      <c r="G406" s="29" t="s">
        <v>1614</v>
      </c>
      <c r="H406" s="29" t="s">
        <v>1615</v>
      </c>
      <c r="I406" s="29" t="str">
        <f t="shared" si="34"/>
        <v>01</v>
      </c>
      <c r="J406" s="29" t="s">
        <v>1616</v>
      </c>
      <c r="K406" s="29" t="s">
        <v>1842</v>
      </c>
      <c r="L406" s="29" t="s">
        <v>1843</v>
      </c>
      <c r="M406" s="29" t="s">
        <v>1619</v>
      </c>
      <c r="N406" s="29" t="s">
        <v>1844</v>
      </c>
      <c r="O406" s="29" t="s">
        <v>3131</v>
      </c>
      <c r="P406" s="29" t="s">
        <v>3132</v>
      </c>
      <c r="Q406" s="29" t="s">
        <v>3165</v>
      </c>
      <c r="R406" s="29" t="s">
        <v>3166</v>
      </c>
      <c r="S406" s="29" t="s">
        <v>3199</v>
      </c>
      <c r="T406" s="29" t="s">
        <v>3200</v>
      </c>
      <c r="U406" s="29" t="s">
        <v>363</v>
      </c>
      <c r="V406" s="29" t="s">
        <v>2645</v>
      </c>
      <c r="W406" s="35" t="s">
        <v>1628</v>
      </c>
      <c r="X406" s="35" t="s">
        <v>1850</v>
      </c>
      <c r="Y406" s="35" t="s">
        <v>3168</v>
      </c>
      <c r="Z406" s="35" t="s">
        <v>3201</v>
      </c>
      <c r="AA406" s="35" t="s">
        <v>2646</v>
      </c>
      <c r="AB406" s="29" t="s">
        <v>2653</v>
      </c>
      <c r="AC406" s="35" t="s">
        <v>1633</v>
      </c>
      <c r="AD406" s="35" t="s">
        <v>1634</v>
      </c>
      <c r="AE406" s="35" t="s">
        <v>1634</v>
      </c>
      <c r="AF406" s="35" t="s">
        <v>1635</v>
      </c>
      <c r="AG406" s="35" t="s">
        <v>2634</v>
      </c>
      <c r="AI406" s="35"/>
      <c r="AJ406" s="35" t="s">
        <v>1637</v>
      </c>
      <c r="AK406" s="35" t="s">
        <v>1638</v>
      </c>
      <c r="AL406" s="29" t="s">
        <v>2954</v>
      </c>
      <c r="AM406" s="35"/>
      <c r="AN406" s="35"/>
      <c r="AO406" s="35"/>
      <c r="AP406" s="35"/>
      <c r="AQ406" s="35"/>
      <c r="AS406" s="35"/>
      <c r="AU406" s="35"/>
      <c r="AW406" s="35"/>
      <c r="AY406" s="35"/>
      <c r="AZ406" s="35" t="s">
        <v>1642</v>
      </c>
      <c r="BA406" s="35" t="s">
        <v>3139</v>
      </c>
      <c r="BB406" s="29" t="s">
        <v>2654</v>
      </c>
      <c r="BC406" s="29" t="s">
        <v>1644</v>
      </c>
      <c r="BD406" s="29" t="s">
        <v>3202</v>
      </c>
      <c r="BE406" s="29" t="s">
        <v>3203</v>
      </c>
      <c r="BF406" s="29" t="s">
        <v>1973</v>
      </c>
      <c r="BG406" s="29" t="s">
        <v>3204</v>
      </c>
      <c r="BI406" s="35"/>
      <c r="BJ406" s="35"/>
      <c r="BK406" s="29" t="str" cm="1">
        <f t="array" ref="BK406">_xlfn.UNIQUE(MID(BB406,16,14))</f>
        <v>U012UBB01UC001</v>
      </c>
    </row>
    <row r="407" spans="1:63" x14ac:dyDescent="0.3">
      <c r="A407" s="29" t="s">
        <v>3163</v>
      </c>
      <c r="B407" s="36" t="str">
        <f t="shared" si="30"/>
        <v>G01NHA01TB011-QA04</v>
      </c>
      <c r="C407" s="33" t="s">
        <v>3205</v>
      </c>
      <c r="D407" s="34" t="str">
        <f t="shared" si="31"/>
        <v>ELY1 RECT1 POLR1 SW4 CB OFF/CLD</v>
      </c>
      <c r="E407" s="31">
        <f t="shared" si="32"/>
        <v>31</v>
      </c>
      <c r="F407" s="32" t="str">
        <f t="shared" si="33"/>
        <v>ELECTROLYSIS SYSTEM ELECTROLYSIS ARRAY 1 RECTIFIER SYSTEMS RECTIFIER SYSTEM 1 RECTIFIERS POLARISATION RECTIFIER SYSTEM 1&amp;2 MAINSWITCH - OFF CHECK BACK OFF/CLOSED</v>
      </c>
      <c r="G407" s="29" t="s">
        <v>1614</v>
      </c>
      <c r="H407" s="29" t="s">
        <v>1615</v>
      </c>
      <c r="I407" s="29" t="str">
        <f t="shared" si="34"/>
        <v>01</v>
      </c>
      <c r="J407" s="29" t="s">
        <v>1616</v>
      </c>
      <c r="K407" s="29" t="s">
        <v>1842</v>
      </c>
      <c r="L407" s="29" t="s">
        <v>1843</v>
      </c>
      <c r="M407" s="29" t="s">
        <v>1619</v>
      </c>
      <c r="N407" s="29" t="s">
        <v>1844</v>
      </c>
      <c r="O407" s="29" t="s">
        <v>3131</v>
      </c>
      <c r="P407" s="29" t="s">
        <v>3132</v>
      </c>
      <c r="Q407" s="29" t="s">
        <v>3165</v>
      </c>
      <c r="R407" s="29" t="s">
        <v>3166</v>
      </c>
      <c r="S407" s="29" t="s">
        <v>3206</v>
      </c>
      <c r="T407" s="29" t="s">
        <v>3200</v>
      </c>
      <c r="U407" s="29" t="s">
        <v>363</v>
      </c>
      <c r="V407" s="29" t="s">
        <v>2645</v>
      </c>
      <c r="W407" s="35" t="s">
        <v>1628</v>
      </c>
      <c r="X407" s="35" t="s">
        <v>1850</v>
      </c>
      <c r="Y407" s="35" t="s">
        <v>3168</v>
      </c>
      <c r="Z407" s="35" t="s">
        <v>3207</v>
      </c>
      <c r="AA407" s="35" t="s">
        <v>2646</v>
      </c>
      <c r="AB407" s="29" t="s">
        <v>2653</v>
      </c>
      <c r="AC407" s="35" t="s">
        <v>1633</v>
      </c>
      <c r="AD407" s="35" t="s">
        <v>1634</v>
      </c>
      <c r="AE407" s="35" t="s">
        <v>1634</v>
      </c>
      <c r="AF407" s="35" t="s">
        <v>1635</v>
      </c>
      <c r="AG407" s="35" t="s">
        <v>2634</v>
      </c>
      <c r="AI407" s="35"/>
      <c r="AJ407" s="35" t="s">
        <v>1637</v>
      </c>
      <c r="AK407" s="35" t="s">
        <v>1638</v>
      </c>
      <c r="AL407" s="29" t="s">
        <v>2954</v>
      </c>
      <c r="AM407" s="35"/>
      <c r="AN407" s="35"/>
      <c r="AO407" s="35"/>
      <c r="AP407" s="35"/>
      <c r="AQ407" s="35"/>
      <c r="AS407" s="35"/>
      <c r="AU407" s="35"/>
      <c r="AW407" s="35"/>
      <c r="AY407" s="35"/>
      <c r="AZ407" s="35" t="s">
        <v>1642</v>
      </c>
      <c r="BA407" s="35" t="s">
        <v>3139</v>
      </c>
      <c r="BB407" s="29" t="s">
        <v>2654</v>
      </c>
      <c r="BC407" s="29" t="s">
        <v>1644</v>
      </c>
      <c r="BD407" s="29" t="s">
        <v>3208</v>
      </c>
      <c r="BE407" s="29" t="s">
        <v>3078</v>
      </c>
      <c r="BF407" s="29" t="s">
        <v>3209</v>
      </c>
      <c r="BG407" s="29" t="s">
        <v>3210</v>
      </c>
      <c r="BI407" s="35"/>
      <c r="BJ407" s="35"/>
      <c r="BK407" s="29" t="str" cm="1">
        <f t="array" ref="BK407">_xlfn.UNIQUE(MID(BB407,16,14))</f>
        <v>U012UBB01UC001</v>
      </c>
    </row>
    <row r="408" spans="1:63" x14ac:dyDescent="0.3">
      <c r="A408" s="29" t="s">
        <v>3163</v>
      </c>
      <c r="B408" s="36" t="str">
        <f t="shared" si="30"/>
        <v>G01NHA01TB011-QB03</v>
      </c>
      <c r="C408" s="33" t="s">
        <v>3211</v>
      </c>
      <c r="D408" s="34" t="str">
        <f t="shared" si="31"/>
        <v>ELY1 RECT1 POLR1 DISC SYS1 CB OFF/CLD</v>
      </c>
      <c r="E408" s="31">
        <f t="shared" si="32"/>
        <v>37</v>
      </c>
      <c r="F408" s="32" t="str">
        <f t="shared" si="33"/>
        <v>ELECTROLYSIS SYSTEM ELECTROLYSIS ARRAY 1 RECTIFIER SYSTEMS RECTIFIER SYSTEM 1 RECTIFIERS POLARISATION RECTIFIER SYSTEM 1&amp;2 DC DISCONNECT SWITCH - SYSTEM 1 CHECK BACK OFF/CLOSED</v>
      </c>
      <c r="G408" s="29" t="s">
        <v>1614</v>
      </c>
      <c r="H408" s="29" t="s">
        <v>1615</v>
      </c>
      <c r="I408" s="29" t="str">
        <f t="shared" si="34"/>
        <v>01</v>
      </c>
      <c r="J408" s="29" t="s">
        <v>1616</v>
      </c>
      <c r="K408" s="29" t="s">
        <v>1842</v>
      </c>
      <c r="L408" s="29" t="s">
        <v>1843</v>
      </c>
      <c r="M408" s="29" t="s">
        <v>1619</v>
      </c>
      <c r="N408" s="29" t="s">
        <v>1844</v>
      </c>
      <c r="O408" s="29" t="s">
        <v>3131</v>
      </c>
      <c r="P408" s="29" t="s">
        <v>3132</v>
      </c>
      <c r="Q408" s="29" t="s">
        <v>3165</v>
      </c>
      <c r="R408" s="29" t="s">
        <v>3166</v>
      </c>
      <c r="S408" s="29" t="s">
        <v>3212</v>
      </c>
      <c r="T408" s="29" t="s">
        <v>3213</v>
      </c>
      <c r="U408" s="29" t="s">
        <v>363</v>
      </c>
      <c r="V408" s="29" t="s">
        <v>2645</v>
      </c>
      <c r="W408" s="35" t="s">
        <v>1628</v>
      </c>
      <c r="X408" s="35" t="s">
        <v>1850</v>
      </c>
      <c r="Y408" s="35" t="s">
        <v>3168</v>
      </c>
      <c r="Z408" s="35" t="s">
        <v>3214</v>
      </c>
      <c r="AA408" s="35" t="s">
        <v>2646</v>
      </c>
      <c r="AB408" s="29" t="s">
        <v>3169</v>
      </c>
      <c r="AC408" s="35" t="s">
        <v>1633</v>
      </c>
      <c r="AD408" s="35" t="s">
        <v>1634</v>
      </c>
      <c r="AE408" s="35" t="s">
        <v>1634</v>
      </c>
      <c r="AF408" s="35" t="s">
        <v>1635</v>
      </c>
      <c r="AG408" s="35" t="s">
        <v>2634</v>
      </c>
      <c r="AI408" s="35"/>
      <c r="AJ408" s="35" t="s">
        <v>1637</v>
      </c>
      <c r="AK408" s="35" t="s">
        <v>1672</v>
      </c>
      <c r="AL408" s="29" t="s">
        <v>2954</v>
      </c>
      <c r="AM408" s="35"/>
      <c r="AN408" s="35"/>
      <c r="AO408" s="35"/>
      <c r="AP408" s="35"/>
      <c r="AQ408" s="35"/>
      <c r="AS408" s="35"/>
      <c r="AU408" s="35"/>
      <c r="AW408" s="35"/>
      <c r="AY408" s="35"/>
      <c r="AZ408" s="35" t="s">
        <v>1642</v>
      </c>
      <c r="BA408" s="35" t="s">
        <v>3139</v>
      </c>
      <c r="BB408" s="29" t="s">
        <v>3006</v>
      </c>
      <c r="BC408" s="29" t="s">
        <v>2347</v>
      </c>
      <c r="BF408" s="29" t="s">
        <v>1973</v>
      </c>
      <c r="BG408" s="29" t="s">
        <v>3215</v>
      </c>
      <c r="BI408" s="35"/>
      <c r="BJ408" s="35"/>
      <c r="BK408" s="29" t="str" cm="1">
        <f t="array" ref="BK408">_xlfn.UNIQUE(MID(BB408,16,14))</f>
        <v>U012UBB01UC001</v>
      </c>
    </row>
    <row r="409" spans="1:63" x14ac:dyDescent="0.3">
      <c r="A409" s="29" t="s">
        <v>3163</v>
      </c>
      <c r="B409" s="36" t="str">
        <f t="shared" si="30"/>
        <v>G01NHA01TB011-QB04</v>
      </c>
      <c r="C409" s="33" t="s">
        <v>3216</v>
      </c>
      <c r="D409" s="34" t="str">
        <f t="shared" si="31"/>
        <v>ELY1 RECT1 POLR1 DISC SYS2 CB OFF/CLD</v>
      </c>
      <c r="E409" s="31">
        <f t="shared" si="32"/>
        <v>37</v>
      </c>
      <c r="F409" s="32" t="str">
        <f t="shared" si="33"/>
        <v>ELECTROLYSIS SYSTEM ELECTROLYSIS ARRAY 1 RECTIFIER SYSTEMS RECTIFIER SYSTEM 1 RECTIFIERS POLARISATION RECTIFIER SYSTEM 1&amp;2 DC DISCONNECT SWITCH - SYSTEM 2 CHECK BACK OFF/CLOSED</v>
      </c>
      <c r="G409" s="29" t="s">
        <v>1614</v>
      </c>
      <c r="H409" s="29" t="s">
        <v>1615</v>
      </c>
      <c r="I409" s="29" t="str">
        <f t="shared" si="34"/>
        <v>01</v>
      </c>
      <c r="J409" s="29" t="s">
        <v>1616</v>
      </c>
      <c r="K409" s="29" t="s">
        <v>1842</v>
      </c>
      <c r="L409" s="29" t="s">
        <v>1843</v>
      </c>
      <c r="M409" s="29" t="s">
        <v>1619</v>
      </c>
      <c r="N409" s="29" t="s">
        <v>1844</v>
      </c>
      <c r="O409" s="29" t="s">
        <v>3131</v>
      </c>
      <c r="P409" s="29" t="s">
        <v>3132</v>
      </c>
      <c r="Q409" s="29" t="s">
        <v>3165</v>
      </c>
      <c r="R409" s="29" t="s">
        <v>3166</v>
      </c>
      <c r="S409" s="29" t="s">
        <v>3217</v>
      </c>
      <c r="T409" s="29" t="s">
        <v>3218</v>
      </c>
      <c r="U409" s="29" t="s">
        <v>363</v>
      </c>
      <c r="V409" s="29" t="s">
        <v>2645</v>
      </c>
      <c r="W409" s="35" t="s">
        <v>1628</v>
      </c>
      <c r="X409" s="35" t="s">
        <v>1850</v>
      </c>
      <c r="Y409" s="35" t="s">
        <v>3168</v>
      </c>
      <c r="Z409" s="35" t="s">
        <v>3219</v>
      </c>
      <c r="AA409" s="35" t="s">
        <v>2646</v>
      </c>
      <c r="AB409" s="29" t="s">
        <v>3169</v>
      </c>
      <c r="AC409" s="35" t="s">
        <v>1633</v>
      </c>
      <c r="AD409" s="35" t="s">
        <v>1634</v>
      </c>
      <c r="AE409" s="35" t="s">
        <v>1634</v>
      </c>
      <c r="AF409" s="35" t="s">
        <v>1635</v>
      </c>
      <c r="AG409" s="35" t="s">
        <v>2634</v>
      </c>
      <c r="AI409" s="35"/>
      <c r="AJ409" s="35" t="s">
        <v>1637</v>
      </c>
      <c r="AK409" s="35" t="s">
        <v>1672</v>
      </c>
      <c r="AL409" s="29" t="s">
        <v>2954</v>
      </c>
      <c r="AM409" s="35"/>
      <c r="AN409" s="35"/>
      <c r="AO409" s="35"/>
      <c r="AP409" s="35"/>
      <c r="AQ409" s="35"/>
      <c r="AS409" s="35"/>
      <c r="AU409" s="35"/>
      <c r="AW409" s="35"/>
      <c r="AY409" s="35"/>
      <c r="AZ409" s="35" t="s">
        <v>1642</v>
      </c>
      <c r="BA409" s="35" t="s">
        <v>3139</v>
      </c>
      <c r="BB409" s="29" t="s">
        <v>3006</v>
      </c>
      <c r="BC409" s="29" t="s">
        <v>2347</v>
      </c>
      <c r="BD409" s="29" t="s">
        <v>3154</v>
      </c>
      <c r="BE409" s="29" t="s">
        <v>3220</v>
      </c>
      <c r="BF409" s="29" t="s">
        <v>2048</v>
      </c>
      <c r="BG409" s="29" t="s">
        <v>3221</v>
      </c>
      <c r="BI409" s="35"/>
      <c r="BJ409" s="35"/>
      <c r="BK409" s="29" t="str" cm="1">
        <f t="array" ref="BK409">_xlfn.UNIQUE(MID(BB409,16,14))</f>
        <v>U012UBB01UC001</v>
      </c>
    </row>
    <row r="410" spans="1:63" x14ac:dyDescent="0.3">
      <c r="A410" s="29" t="s">
        <v>3163</v>
      </c>
      <c r="B410" s="36" t="str">
        <f t="shared" si="30"/>
        <v>G01NHA01TB011-TB01</v>
      </c>
      <c r="C410" s="33" t="s">
        <v>3222</v>
      </c>
      <c r="D410" s="34" t="str">
        <f t="shared" si="31"/>
        <v>ELY1 RECT1 POLR1 24VDC MON1 GRP FLT</v>
      </c>
      <c r="E410" s="31">
        <f t="shared" si="32"/>
        <v>35</v>
      </c>
      <c r="F410" s="32" t="str">
        <f t="shared" si="33"/>
        <v>ELECTROLYSIS SYSTEM ELECTROLYSIS ARRAY 1 RECTIFIER SYSTEMS RECTIFIER SYSTEM 1 RECTIFIERS POLARISATION RECTIFIER SYSTEM 1&amp;2 GROUP FAULT ALARM 24VDC UPS GENERATION GROUP FAULT ALARM</v>
      </c>
      <c r="G410" s="29" t="s">
        <v>1614</v>
      </c>
      <c r="H410" s="29" t="s">
        <v>1615</v>
      </c>
      <c r="I410" s="29" t="str">
        <f t="shared" si="34"/>
        <v>01</v>
      </c>
      <c r="J410" s="29" t="s">
        <v>1616</v>
      </c>
      <c r="K410" s="29" t="s">
        <v>1842</v>
      </c>
      <c r="L410" s="29" t="s">
        <v>1843</v>
      </c>
      <c r="M410" s="29" t="s">
        <v>1619</v>
      </c>
      <c r="N410" s="29" t="s">
        <v>1844</v>
      </c>
      <c r="O410" s="29" t="s">
        <v>3131</v>
      </c>
      <c r="P410" s="29" t="s">
        <v>3132</v>
      </c>
      <c r="Q410" s="29" t="s">
        <v>3165</v>
      </c>
      <c r="R410" s="29" t="s">
        <v>3166</v>
      </c>
      <c r="S410" s="29" t="s">
        <v>2870</v>
      </c>
      <c r="T410" s="29" t="s">
        <v>3223</v>
      </c>
      <c r="U410" s="29" t="s">
        <v>1033</v>
      </c>
      <c r="V410" s="29" t="s">
        <v>1288</v>
      </c>
      <c r="W410" s="35" t="s">
        <v>1628</v>
      </c>
      <c r="X410" s="35" t="s">
        <v>1850</v>
      </c>
      <c r="Y410" s="35" t="s">
        <v>3168</v>
      </c>
      <c r="Z410" s="35" t="s">
        <v>2872</v>
      </c>
      <c r="AA410" s="35" t="s">
        <v>2633</v>
      </c>
      <c r="AB410" s="29" t="s">
        <v>3169</v>
      </c>
      <c r="AC410" s="35" t="s">
        <v>1633</v>
      </c>
      <c r="AD410" s="35" t="s">
        <v>1634</v>
      </c>
      <c r="AE410" s="35" t="s">
        <v>1634</v>
      </c>
      <c r="AF410" s="35" t="s">
        <v>1635</v>
      </c>
      <c r="AG410" s="35" t="s">
        <v>2634</v>
      </c>
      <c r="AI410" s="35"/>
      <c r="AJ410" s="35" t="s">
        <v>1637</v>
      </c>
      <c r="AK410" s="35" t="s">
        <v>1672</v>
      </c>
      <c r="AL410" s="29" t="s">
        <v>2715</v>
      </c>
      <c r="AM410" s="35"/>
      <c r="AN410" s="35"/>
      <c r="AO410" s="35"/>
      <c r="AP410" s="35"/>
      <c r="AQ410" s="35"/>
      <c r="AS410" s="35"/>
      <c r="AU410" s="35"/>
      <c r="AW410" s="35"/>
      <c r="AY410" s="35"/>
      <c r="AZ410" s="35"/>
      <c r="BA410" s="35"/>
      <c r="BB410" s="29" t="s">
        <v>3049</v>
      </c>
      <c r="BC410" s="29" t="s">
        <v>2347</v>
      </c>
      <c r="BF410" s="29" t="s">
        <v>2341</v>
      </c>
      <c r="BG410" s="29" t="s">
        <v>3224</v>
      </c>
      <c r="BI410" s="35"/>
      <c r="BJ410" s="35"/>
      <c r="BK410" s="29" t="str" cm="1">
        <f t="array" ref="BK410">_xlfn.UNIQUE(MID(BB410,16,14))</f>
        <v>U012UBB01UC001</v>
      </c>
    </row>
    <row r="411" spans="1:63" x14ac:dyDescent="0.3">
      <c r="A411" s="29" t="s">
        <v>3225</v>
      </c>
      <c r="B411" s="36" t="str">
        <f t="shared" si="30"/>
        <v>G01NHA01TB012-BA11</v>
      </c>
      <c r="C411" s="33" t="s">
        <v>3226</v>
      </c>
      <c r="D411" s="34" t="str">
        <f t="shared" si="31"/>
        <v>ELY1 RECT1 POLR2 400VAC MON GRP FLT</v>
      </c>
      <c r="E411" s="31">
        <f t="shared" si="32"/>
        <v>35</v>
      </c>
      <c r="F411" s="32" t="str">
        <f t="shared" si="33"/>
        <v>ELECTROLYSIS SYSTEM ELECTROLYSIS ARRAY 1 RECTIFIER SYSTEMS RECTIFIER SYSTEM 1 RECTIFIERS POLARISATION RECTIFIER SYSTEM 3&amp;4 GROUP FAULT ALARM 400VAC GROUP FAULT ALARM</v>
      </c>
      <c r="G411" s="29" t="s">
        <v>1614</v>
      </c>
      <c r="H411" s="29" t="s">
        <v>1615</v>
      </c>
      <c r="I411" s="29" t="str">
        <f t="shared" si="34"/>
        <v>01</v>
      </c>
      <c r="J411" s="29" t="s">
        <v>1616</v>
      </c>
      <c r="K411" s="29" t="s">
        <v>1842</v>
      </c>
      <c r="L411" s="29" t="s">
        <v>1843</v>
      </c>
      <c r="M411" s="29" t="s">
        <v>1619</v>
      </c>
      <c r="N411" s="29" t="s">
        <v>1844</v>
      </c>
      <c r="O411" s="29" t="s">
        <v>3131</v>
      </c>
      <c r="P411" s="29" t="s">
        <v>3132</v>
      </c>
      <c r="Q411" s="29" t="s">
        <v>3227</v>
      </c>
      <c r="R411" s="29" t="s">
        <v>3228</v>
      </c>
      <c r="S411" s="29" t="s">
        <v>2736</v>
      </c>
      <c r="T411" s="29" t="s">
        <v>3167</v>
      </c>
      <c r="U411" s="29" t="s">
        <v>1033</v>
      </c>
      <c r="V411" s="29" t="s">
        <v>1288</v>
      </c>
      <c r="W411" s="35" t="s">
        <v>1628</v>
      </c>
      <c r="X411" s="35" t="s">
        <v>1850</v>
      </c>
      <c r="Y411" s="35" t="s">
        <v>3229</v>
      </c>
      <c r="Z411" s="35" t="s">
        <v>2738</v>
      </c>
      <c r="AA411" s="35" t="s">
        <v>2633</v>
      </c>
      <c r="AB411" s="29" t="s">
        <v>3169</v>
      </c>
      <c r="AC411" s="35" t="s">
        <v>1633</v>
      </c>
      <c r="AD411" s="35" t="s">
        <v>1634</v>
      </c>
      <c r="AE411" s="35" t="s">
        <v>1634</v>
      </c>
      <c r="AF411" s="35" t="s">
        <v>1635</v>
      </c>
      <c r="AG411" s="35" t="s">
        <v>2634</v>
      </c>
      <c r="AI411" s="35"/>
      <c r="AJ411" s="35" t="s">
        <v>1637</v>
      </c>
      <c r="AK411" s="35" t="s">
        <v>1672</v>
      </c>
      <c r="AL411" s="29" t="s">
        <v>3170</v>
      </c>
      <c r="AM411" s="35"/>
      <c r="AN411" s="35"/>
      <c r="AO411" s="35"/>
      <c r="AP411" s="35"/>
      <c r="AQ411" s="35"/>
      <c r="AS411" s="35"/>
      <c r="AU411" s="35"/>
      <c r="AW411" s="35"/>
      <c r="AY411" s="35"/>
      <c r="AZ411" s="35"/>
      <c r="BA411" s="35"/>
      <c r="BB411" s="29" t="s">
        <v>2927</v>
      </c>
      <c r="BC411" s="29" t="s">
        <v>2347</v>
      </c>
      <c r="BD411" s="29" t="s">
        <v>2635</v>
      </c>
      <c r="BE411" s="29" t="s">
        <v>3171</v>
      </c>
      <c r="BF411" s="29" t="s">
        <v>2048</v>
      </c>
      <c r="BG411" s="29" t="s">
        <v>3230</v>
      </c>
      <c r="BI411" s="35"/>
      <c r="BJ411" s="35"/>
      <c r="BK411" s="29" t="str" cm="1">
        <f t="array" ref="BK411">_xlfn.UNIQUE(MID(BB411,16,14))</f>
        <v>U012UBB01UC002</v>
      </c>
    </row>
    <row r="412" spans="1:63" x14ac:dyDescent="0.3">
      <c r="A412" s="29" t="s">
        <v>3225</v>
      </c>
      <c r="B412" s="36" t="str">
        <f t="shared" si="30"/>
        <v>G01NHA01TB012-BA22</v>
      </c>
      <c r="C412" s="33" t="s">
        <v>3231</v>
      </c>
      <c r="D412" s="34" t="str">
        <f t="shared" si="31"/>
        <v>ELY1 RECT1 POLR2 230VAC GRP FLT GRP FLT</v>
      </c>
      <c r="E412" s="31">
        <f t="shared" si="32"/>
        <v>39</v>
      </c>
      <c r="F412" s="32" t="str">
        <f t="shared" si="33"/>
        <v>ELECTROLYSIS SYSTEM ELECTROLYSIS ARRAY 1 RECTIFIER SYSTEMS RECTIFIER SYSTEM 1 RECTIFIERS POLARISATION RECTIFIER SYSTEM 3&amp;4 GROUP FAULT ALARM 230V GROUP FAULT ALARM</v>
      </c>
      <c r="G412" s="29" t="s">
        <v>1614</v>
      </c>
      <c r="H412" s="29" t="s">
        <v>1615</v>
      </c>
      <c r="I412" s="29" t="str">
        <f t="shared" si="34"/>
        <v>01</v>
      </c>
      <c r="J412" s="29" t="s">
        <v>1616</v>
      </c>
      <c r="K412" s="29" t="s">
        <v>1842</v>
      </c>
      <c r="L412" s="29" t="s">
        <v>1843</v>
      </c>
      <c r="M412" s="29" t="s">
        <v>1619</v>
      </c>
      <c r="N412" s="29" t="s">
        <v>1844</v>
      </c>
      <c r="O412" s="29" t="s">
        <v>3131</v>
      </c>
      <c r="P412" s="29" t="s">
        <v>3132</v>
      </c>
      <c r="Q412" s="29" t="s">
        <v>3227</v>
      </c>
      <c r="R412" s="29" t="s">
        <v>3228</v>
      </c>
      <c r="S412" s="29" t="s">
        <v>3174</v>
      </c>
      <c r="T412" s="29" t="s">
        <v>3175</v>
      </c>
      <c r="U412" s="29" t="s">
        <v>1033</v>
      </c>
      <c r="V412" s="29" t="s">
        <v>1288</v>
      </c>
      <c r="W412" s="35" t="s">
        <v>1628</v>
      </c>
      <c r="X412" s="35" t="s">
        <v>1850</v>
      </c>
      <c r="Y412" s="35" t="s">
        <v>3229</v>
      </c>
      <c r="Z412" s="35" t="s">
        <v>3176</v>
      </c>
      <c r="AA412" s="35" t="s">
        <v>2633</v>
      </c>
      <c r="AB412" s="29" t="s">
        <v>3169</v>
      </c>
      <c r="AC412" s="35" t="s">
        <v>1633</v>
      </c>
      <c r="AD412" s="35" t="s">
        <v>1634</v>
      </c>
      <c r="AE412" s="35" t="s">
        <v>1634</v>
      </c>
      <c r="AF412" s="35" t="s">
        <v>1635</v>
      </c>
      <c r="AG412" s="35" t="s">
        <v>2634</v>
      </c>
      <c r="AI412" s="35"/>
      <c r="AJ412" s="35" t="s">
        <v>1637</v>
      </c>
      <c r="AK412" s="35" t="s">
        <v>1672</v>
      </c>
      <c r="AL412" s="29" t="s">
        <v>3170</v>
      </c>
      <c r="AM412" s="35"/>
      <c r="AN412" s="35"/>
      <c r="AO412" s="35"/>
      <c r="AP412" s="35"/>
      <c r="AQ412" s="35"/>
      <c r="AS412" s="35"/>
      <c r="AU412" s="35"/>
      <c r="AW412" s="35"/>
      <c r="AY412" s="35"/>
      <c r="AZ412" s="35"/>
      <c r="BA412" s="35"/>
      <c r="BB412" s="29" t="s">
        <v>2927</v>
      </c>
      <c r="BC412" s="29" t="s">
        <v>2347</v>
      </c>
      <c r="BD412" s="29" t="s">
        <v>2635</v>
      </c>
      <c r="BE412" s="29" t="s">
        <v>3171</v>
      </c>
      <c r="BF412" s="29" t="s">
        <v>2051</v>
      </c>
      <c r="BG412" s="29" t="s">
        <v>3232</v>
      </c>
      <c r="BI412" s="35"/>
      <c r="BJ412" s="35"/>
      <c r="BK412" s="29" t="str" cm="1">
        <f t="array" ref="BK412">_xlfn.UNIQUE(MID(BB412,16,14))</f>
        <v>U012UBB01UC002</v>
      </c>
    </row>
    <row r="413" spans="1:63" x14ac:dyDescent="0.3">
      <c r="A413" s="29" t="s">
        <v>3225</v>
      </c>
      <c r="B413" s="36" t="str">
        <f t="shared" si="30"/>
        <v>G01NHA01TB012-BA41</v>
      </c>
      <c r="C413" s="33" t="s">
        <v>3233</v>
      </c>
      <c r="D413" s="34" t="str">
        <f t="shared" si="31"/>
        <v>ELY1 RECT1 POLR2 UPS MON GRP FLT</v>
      </c>
      <c r="E413" s="31">
        <f t="shared" si="32"/>
        <v>32</v>
      </c>
      <c r="F413" s="32" t="str">
        <f t="shared" si="33"/>
        <v>ELECTROLYSIS SYSTEM ELECTROLYSIS ARRAY 1 RECTIFIER SYSTEMS RECTIFIER SYSTEM 1 RECTIFIERS POLARISATION RECTIFIER SYSTEM 3&amp;4 GROUP FAULT ALARM 230V UPS GROUP FAULT ALARM</v>
      </c>
      <c r="G413" s="29" t="s">
        <v>1614</v>
      </c>
      <c r="H413" s="29" t="s">
        <v>1615</v>
      </c>
      <c r="I413" s="29" t="str">
        <f t="shared" si="34"/>
        <v>01</v>
      </c>
      <c r="J413" s="29" t="s">
        <v>1616</v>
      </c>
      <c r="K413" s="29" t="s">
        <v>1842</v>
      </c>
      <c r="L413" s="29" t="s">
        <v>1843</v>
      </c>
      <c r="M413" s="29" t="s">
        <v>1619</v>
      </c>
      <c r="N413" s="29" t="s">
        <v>1844</v>
      </c>
      <c r="O413" s="29" t="s">
        <v>3131</v>
      </c>
      <c r="P413" s="29" t="s">
        <v>3132</v>
      </c>
      <c r="Q413" s="29" t="s">
        <v>3227</v>
      </c>
      <c r="R413" s="29" t="s">
        <v>3228</v>
      </c>
      <c r="S413" s="29" t="s">
        <v>2747</v>
      </c>
      <c r="T413" s="29" t="s">
        <v>3179</v>
      </c>
      <c r="U413" s="29" t="s">
        <v>1033</v>
      </c>
      <c r="V413" s="29" t="s">
        <v>1288</v>
      </c>
      <c r="W413" s="35" t="s">
        <v>1628</v>
      </c>
      <c r="X413" s="35" t="s">
        <v>1850</v>
      </c>
      <c r="Y413" s="35" t="s">
        <v>3229</v>
      </c>
      <c r="Z413" s="35" t="s">
        <v>2749</v>
      </c>
      <c r="AA413" s="35" t="s">
        <v>2633</v>
      </c>
      <c r="AB413" s="29" t="s">
        <v>3169</v>
      </c>
      <c r="AC413" s="35" t="s">
        <v>1633</v>
      </c>
      <c r="AD413" s="35" t="s">
        <v>1634</v>
      </c>
      <c r="AE413" s="35" t="s">
        <v>1634</v>
      </c>
      <c r="AF413" s="35" t="s">
        <v>1635</v>
      </c>
      <c r="AG413" s="35" t="s">
        <v>2634</v>
      </c>
      <c r="AI413" s="35"/>
      <c r="AJ413" s="35" t="s">
        <v>1637</v>
      </c>
      <c r="AK413" s="35" t="s">
        <v>1672</v>
      </c>
      <c r="AL413" s="29" t="s">
        <v>3170</v>
      </c>
      <c r="AM413" s="35"/>
      <c r="AN413" s="35"/>
      <c r="AO413" s="35"/>
      <c r="AP413" s="35"/>
      <c r="AQ413" s="35"/>
      <c r="AS413" s="35"/>
      <c r="AU413" s="35"/>
      <c r="AW413" s="35"/>
      <c r="AY413" s="35"/>
      <c r="AZ413" s="35"/>
      <c r="BA413" s="35"/>
      <c r="BB413" s="29" t="s">
        <v>2927</v>
      </c>
      <c r="BC413" s="29" t="s">
        <v>2347</v>
      </c>
      <c r="BD413" s="29" t="s">
        <v>2635</v>
      </c>
      <c r="BE413" s="29" t="s">
        <v>3171</v>
      </c>
      <c r="BF413" s="29" t="s">
        <v>2016</v>
      </c>
      <c r="BG413" s="29" t="s">
        <v>3234</v>
      </c>
      <c r="BI413" s="35"/>
      <c r="BJ413" s="35"/>
      <c r="BK413" s="29" t="str" cm="1">
        <f t="array" ref="BK413">_xlfn.UNIQUE(MID(BB413,16,14))</f>
        <v>U012UBB01UC002</v>
      </c>
    </row>
    <row r="414" spans="1:63" x14ac:dyDescent="0.3">
      <c r="A414" s="29" t="s">
        <v>3225</v>
      </c>
      <c r="B414" s="36" t="str">
        <f t="shared" si="30"/>
        <v>G01NHA01TB012-FC01</v>
      </c>
      <c r="C414" s="33" t="s">
        <v>3235</v>
      </c>
      <c r="D414" s="34" t="str">
        <f t="shared" si="31"/>
        <v>ELY1 RECT1 POLR2 24V MON1 GRP FLT</v>
      </c>
      <c r="E414" s="31">
        <f t="shared" si="32"/>
        <v>33</v>
      </c>
      <c r="F414" s="32" t="str">
        <f t="shared" si="33"/>
        <v>ELECTROLYSIS SYSTEM ELECTROLYSIS ARRAY 1 RECTIFIER SYSTEMS RECTIFIER SYSTEM 1 RECTIFIERS POLARISATION RECTIFIER SYSTEM 3&amp;4 GROUP FAULT ALARM 24VDC UPS DISTRIBUTION GROUP FAULT ALARM</v>
      </c>
      <c r="G414" s="29" t="s">
        <v>1614</v>
      </c>
      <c r="H414" s="29" t="s">
        <v>1615</v>
      </c>
      <c r="I414" s="29" t="str">
        <f t="shared" si="34"/>
        <v>01</v>
      </c>
      <c r="J414" s="29" t="s">
        <v>1616</v>
      </c>
      <c r="K414" s="29" t="s">
        <v>1842</v>
      </c>
      <c r="L414" s="29" t="s">
        <v>1843</v>
      </c>
      <c r="M414" s="29" t="s">
        <v>1619</v>
      </c>
      <c r="N414" s="29" t="s">
        <v>1844</v>
      </c>
      <c r="O414" s="29" t="s">
        <v>3131</v>
      </c>
      <c r="P414" s="29" t="s">
        <v>3132</v>
      </c>
      <c r="Q414" s="29" t="s">
        <v>3227</v>
      </c>
      <c r="R414" s="29" t="s">
        <v>3228</v>
      </c>
      <c r="S414" s="29" t="s">
        <v>2657</v>
      </c>
      <c r="T414" s="29" t="s">
        <v>3182</v>
      </c>
      <c r="U414" s="29" t="s">
        <v>1033</v>
      </c>
      <c r="V414" s="29" t="s">
        <v>1288</v>
      </c>
      <c r="W414" s="35" t="s">
        <v>1628</v>
      </c>
      <c r="X414" s="35" t="s">
        <v>1850</v>
      </c>
      <c r="Y414" s="35" t="s">
        <v>3229</v>
      </c>
      <c r="Z414" s="35" t="s">
        <v>2659</v>
      </c>
      <c r="AA414" s="35" t="s">
        <v>2633</v>
      </c>
      <c r="AB414" s="29" t="s">
        <v>3169</v>
      </c>
      <c r="AC414" s="35" t="s">
        <v>1633</v>
      </c>
      <c r="AD414" s="35" t="s">
        <v>1634</v>
      </c>
      <c r="AE414" s="35" t="s">
        <v>1634</v>
      </c>
      <c r="AF414" s="35" t="s">
        <v>1635</v>
      </c>
      <c r="AG414" s="35" t="s">
        <v>2660</v>
      </c>
      <c r="AI414" s="35"/>
      <c r="AJ414" s="35" t="s">
        <v>1637</v>
      </c>
      <c r="AK414" s="35" t="s">
        <v>1672</v>
      </c>
      <c r="AL414" s="29" t="s">
        <v>2715</v>
      </c>
      <c r="AM414" s="35"/>
      <c r="AN414" s="35"/>
      <c r="AO414" s="35"/>
      <c r="AP414" s="35"/>
      <c r="AQ414" s="35"/>
      <c r="AS414" s="35"/>
      <c r="AU414" s="35"/>
      <c r="AW414" s="35"/>
      <c r="AY414" s="35"/>
      <c r="AZ414" s="35"/>
      <c r="BA414" s="35"/>
      <c r="BB414" s="29" t="s">
        <v>2927</v>
      </c>
      <c r="BC414" s="29" t="s">
        <v>2347</v>
      </c>
      <c r="BD414" s="29" t="s">
        <v>2635</v>
      </c>
      <c r="BE414" s="29" t="s">
        <v>3236</v>
      </c>
      <c r="BF414" s="29" t="s">
        <v>2341</v>
      </c>
      <c r="BG414" s="29" t="s">
        <v>3237</v>
      </c>
      <c r="BI414" s="35"/>
      <c r="BJ414" s="35"/>
      <c r="BK414" s="29" t="str" cm="1">
        <f t="array" ref="BK414">_xlfn.UNIQUE(MID(BB414,16,14))</f>
        <v>U012UBB01UC002</v>
      </c>
    </row>
    <row r="415" spans="1:63" x14ac:dyDescent="0.3">
      <c r="A415" s="29" t="s">
        <v>3225</v>
      </c>
      <c r="B415" s="36" t="str">
        <f t="shared" si="30"/>
        <v>G01NHA01TB012-KF11</v>
      </c>
      <c r="C415" s="33" t="s">
        <v>3238</v>
      </c>
      <c r="D415" s="34" t="str">
        <f t="shared" si="31"/>
        <v>ELY1 RECT1 POLR2 DCM1 CB OFF/CLD</v>
      </c>
      <c r="E415" s="31">
        <f t="shared" si="32"/>
        <v>32</v>
      </c>
      <c r="F415" s="32" t="str">
        <f t="shared" si="33"/>
        <v>ELECTROLYSIS SYSTEM ELECTROLYSIS ARRAY 1 RECTIFIER SYSTEMS RECTIFIER SYSTEM 1 RECTIFIERS POLARISATION RECTIFIER SYSTEM 3&amp;4 SINAMICS DCM - STO CHECK BACK OFF/CLOSED</v>
      </c>
      <c r="G415" s="29" t="s">
        <v>1614</v>
      </c>
      <c r="H415" s="29" t="s">
        <v>1615</v>
      </c>
      <c r="I415" s="29" t="str">
        <f t="shared" si="34"/>
        <v>01</v>
      </c>
      <c r="J415" s="29" t="s">
        <v>1616</v>
      </c>
      <c r="K415" s="29" t="s">
        <v>1842</v>
      </c>
      <c r="L415" s="29" t="s">
        <v>1843</v>
      </c>
      <c r="M415" s="29" t="s">
        <v>1619</v>
      </c>
      <c r="N415" s="29" t="s">
        <v>1844</v>
      </c>
      <c r="O415" s="29" t="s">
        <v>3131</v>
      </c>
      <c r="P415" s="29" t="s">
        <v>3132</v>
      </c>
      <c r="Q415" s="29" t="s">
        <v>3227</v>
      </c>
      <c r="R415" s="29" t="s">
        <v>3228</v>
      </c>
      <c r="S415" s="29" t="s">
        <v>3185</v>
      </c>
      <c r="T415" s="29" t="s">
        <v>3186</v>
      </c>
      <c r="U415" s="29" t="s">
        <v>363</v>
      </c>
      <c r="V415" s="29" t="s">
        <v>2645</v>
      </c>
      <c r="W415" s="35" t="s">
        <v>1628</v>
      </c>
      <c r="X415" s="35" t="s">
        <v>1850</v>
      </c>
      <c r="Y415" s="35" t="s">
        <v>3229</v>
      </c>
      <c r="Z415" s="35" t="s">
        <v>3187</v>
      </c>
      <c r="AA415" s="35" t="s">
        <v>2646</v>
      </c>
      <c r="AB415" s="29" t="s">
        <v>2653</v>
      </c>
      <c r="AC415" s="35" t="s">
        <v>1633</v>
      </c>
      <c r="AD415" s="35" t="s">
        <v>1634</v>
      </c>
      <c r="AE415" s="35" t="s">
        <v>1634</v>
      </c>
      <c r="AF415" s="35" t="s">
        <v>1635</v>
      </c>
      <c r="AG415" s="35" t="s">
        <v>2634</v>
      </c>
      <c r="AI415" s="35"/>
      <c r="AJ415" s="35" t="s">
        <v>1637</v>
      </c>
      <c r="AK415" s="35" t="s">
        <v>1638</v>
      </c>
      <c r="AL415" s="29" t="s">
        <v>2954</v>
      </c>
      <c r="AM415" s="35"/>
      <c r="AN415" s="35"/>
      <c r="AO415" s="35"/>
      <c r="AP415" s="35"/>
      <c r="AQ415" s="35"/>
      <c r="AS415" s="35"/>
      <c r="AU415" s="35"/>
      <c r="AW415" s="35"/>
      <c r="AY415" s="35"/>
      <c r="AZ415" s="35" t="s">
        <v>1642</v>
      </c>
      <c r="BA415" s="35" t="s">
        <v>3139</v>
      </c>
      <c r="BB415" s="29" t="s">
        <v>2680</v>
      </c>
      <c r="BC415" s="29" t="s">
        <v>1644</v>
      </c>
      <c r="BD415" s="29" t="s">
        <v>3188</v>
      </c>
      <c r="BE415" s="29" t="s">
        <v>3189</v>
      </c>
      <c r="BF415" s="29" t="s">
        <v>1969</v>
      </c>
      <c r="BG415" s="29" t="s">
        <v>3239</v>
      </c>
      <c r="BI415" s="35"/>
      <c r="BJ415" s="35"/>
      <c r="BK415" s="29" t="str" cm="1">
        <f t="array" ref="BK415">_xlfn.UNIQUE(MID(BB415,16,14))</f>
        <v>U012UBB01UC002</v>
      </c>
    </row>
    <row r="416" spans="1:63" x14ac:dyDescent="0.3">
      <c r="A416" s="29" t="s">
        <v>3225</v>
      </c>
      <c r="B416" s="36" t="str">
        <f t="shared" si="30"/>
        <v>G01NHA01TB012-KF12</v>
      </c>
      <c r="C416" s="33" t="s">
        <v>3240</v>
      </c>
      <c r="D416" s="34" t="str">
        <f t="shared" si="31"/>
        <v>ELY1 RECT1 POLR2 DCM2 CB OFF/CLD</v>
      </c>
      <c r="E416" s="31">
        <f t="shared" si="32"/>
        <v>32</v>
      </c>
      <c r="F416" s="32" t="str">
        <f t="shared" si="33"/>
        <v>ELECTROLYSIS SYSTEM ELECTROLYSIS ARRAY 1 RECTIFIER SYSTEMS RECTIFIER SYSTEM 1 RECTIFIERS POLARISATION RECTIFIER SYSTEM 3&amp;4 SINAMICS DCM - STO CHECK BACK OFF/CLOSED</v>
      </c>
      <c r="G416" s="29" t="s">
        <v>1614</v>
      </c>
      <c r="H416" s="29" t="s">
        <v>1615</v>
      </c>
      <c r="I416" s="29" t="str">
        <f t="shared" si="34"/>
        <v>01</v>
      </c>
      <c r="J416" s="29" t="s">
        <v>1616</v>
      </c>
      <c r="K416" s="29" t="s">
        <v>1842</v>
      </c>
      <c r="L416" s="29" t="s">
        <v>1843</v>
      </c>
      <c r="M416" s="29" t="s">
        <v>1619</v>
      </c>
      <c r="N416" s="29" t="s">
        <v>1844</v>
      </c>
      <c r="O416" s="29" t="s">
        <v>3131</v>
      </c>
      <c r="P416" s="29" t="s">
        <v>3132</v>
      </c>
      <c r="Q416" s="29" t="s">
        <v>3227</v>
      </c>
      <c r="R416" s="29" t="s">
        <v>3228</v>
      </c>
      <c r="S416" s="29" t="s">
        <v>3192</v>
      </c>
      <c r="T416" s="29" t="s">
        <v>3186</v>
      </c>
      <c r="U416" s="29" t="s">
        <v>363</v>
      </c>
      <c r="V416" s="29" t="s">
        <v>2645</v>
      </c>
      <c r="W416" s="35" t="s">
        <v>1628</v>
      </c>
      <c r="X416" s="35" t="s">
        <v>1850</v>
      </c>
      <c r="Y416" s="35" t="s">
        <v>3229</v>
      </c>
      <c r="Z416" s="35" t="s">
        <v>3193</v>
      </c>
      <c r="AA416" s="35" t="s">
        <v>2646</v>
      </c>
      <c r="AB416" s="29" t="s">
        <v>2653</v>
      </c>
      <c r="AC416" s="35" t="s">
        <v>1633</v>
      </c>
      <c r="AD416" s="35" t="s">
        <v>1634</v>
      </c>
      <c r="AE416" s="35" t="s">
        <v>1634</v>
      </c>
      <c r="AF416" s="35" t="s">
        <v>1635</v>
      </c>
      <c r="AG416" s="35" t="s">
        <v>2634</v>
      </c>
      <c r="AI416" s="35"/>
      <c r="AJ416" s="35" t="s">
        <v>1637</v>
      </c>
      <c r="AK416" s="35" t="s">
        <v>1638</v>
      </c>
      <c r="AL416" s="29" t="s">
        <v>2954</v>
      </c>
      <c r="AM416" s="35"/>
      <c r="AN416" s="35"/>
      <c r="AO416" s="35"/>
      <c r="AP416" s="35"/>
      <c r="AQ416" s="35"/>
      <c r="AS416" s="35"/>
      <c r="AU416" s="35"/>
      <c r="AW416" s="35"/>
      <c r="AY416" s="35"/>
      <c r="AZ416" s="35" t="s">
        <v>1642</v>
      </c>
      <c r="BA416" s="35" t="s">
        <v>3139</v>
      </c>
      <c r="BB416" s="29" t="s">
        <v>2680</v>
      </c>
      <c r="BC416" s="29" t="s">
        <v>1644</v>
      </c>
      <c r="BD416" s="29" t="s">
        <v>3194</v>
      </c>
      <c r="BE416" s="29" t="s">
        <v>3195</v>
      </c>
      <c r="BF416" s="29" t="s">
        <v>3196</v>
      </c>
      <c r="BG416" s="29" t="s">
        <v>3241</v>
      </c>
      <c r="BI416" s="35"/>
      <c r="BJ416" s="35"/>
      <c r="BK416" s="29" t="str" cm="1">
        <f t="array" ref="BK416">_xlfn.UNIQUE(MID(BB416,16,14))</f>
        <v>U012UBB01UC002</v>
      </c>
    </row>
    <row r="417" spans="1:63" x14ac:dyDescent="0.3">
      <c r="A417" s="29" t="s">
        <v>3225</v>
      </c>
      <c r="B417" s="36" t="str">
        <f t="shared" si="30"/>
        <v>G01NHA01TB012-QA03</v>
      </c>
      <c r="C417" s="33" t="s">
        <v>3242</v>
      </c>
      <c r="D417" s="34" t="str">
        <f t="shared" si="31"/>
        <v>ELY1 RECT1 POLR2 SW3 CB OFF/CLD</v>
      </c>
      <c r="E417" s="31">
        <f t="shared" si="32"/>
        <v>31</v>
      </c>
      <c r="F417" s="32" t="str">
        <f t="shared" si="33"/>
        <v>ELECTROLYSIS SYSTEM ELECTROLYSIS ARRAY 1 RECTIFIER SYSTEMS RECTIFIER SYSTEM 1 RECTIFIERS POLARISATION RECTIFIER SYSTEM 3&amp;4 MAINSWITCH - OFF CHECK BACK OFF/CLOSED</v>
      </c>
      <c r="G417" s="29" t="s">
        <v>1614</v>
      </c>
      <c r="H417" s="29" t="s">
        <v>1615</v>
      </c>
      <c r="I417" s="29" t="str">
        <f t="shared" si="34"/>
        <v>01</v>
      </c>
      <c r="J417" s="29" t="s">
        <v>1616</v>
      </c>
      <c r="K417" s="29" t="s">
        <v>1842</v>
      </c>
      <c r="L417" s="29" t="s">
        <v>1843</v>
      </c>
      <c r="M417" s="29" t="s">
        <v>1619</v>
      </c>
      <c r="N417" s="29" t="s">
        <v>1844</v>
      </c>
      <c r="O417" s="29" t="s">
        <v>3131</v>
      </c>
      <c r="P417" s="29" t="s">
        <v>3132</v>
      </c>
      <c r="Q417" s="29" t="s">
        <v>3227</v>
      </c>
      <c r="R417" s="29" t="s">
        <v>3228</v>
      </c>
      <c r="S417" s="29" t="s">
        <v>3199</v>
      </c>
      <c r="T417" s="29" t="s">
        <v>3200</v>
      </c>
      <c r="U417" s="29" t="s">
        <v>363</v>
      </c>
      <c r="V417" s="29" t="s">
        <v>2645</v>
      </c>
      <c r="W417" s="35" t="s">
        <v>1628</v>
      </c>
      <c r="X417" s="35" t="s">
        <v>1850</v>
      </c>
      <c r="Y417" s="35" t="s">
        <v>3229</v>
      </c>
      <c r="Z417" s="35" t="s">
        <v>3201</v>
      </c>
      <c r="AA417" s="35" t="s">
        <v>2646</v>
      </c>
      <c r="AB417" s="29" t="s">
        <v>2653</v>
      </c>
      <c r="AC417" s="35" t="s">
        <v>1633</v>
      </c>
      <c r="AD417" s="35" t="s">
        <v>1634</v>
      </c>
      <c r="AE417" s="35" t="s">
        <v>1634</v>
      </c>
      <c r="AF417" s="35" t="s">
        <v>1635</v>
      </c>
      <c r="AG417" s="35" t="s">
        <v>2634</v>
      </c>
      <c r="AI417" s="35"/>
      <c r="AJ417" s="35" t="s">
        <v>1637</v>
      </c>
      <c r="AK417" s="35" t="s">
        <v>1638</v>
      </c>
      <c r="AL417" s="29" t="s">
        <v>2954</v>
      </c>
      <c r="AM417" s="35"/>
      <c r="AN417" s="35"/>
      <c r="AO417" s="35"/>
      <c r="AP417" s="35"/>
      <c r="AQ417" s="35"/>
      <c r="AS417" s="35"/>
      <c r="AU417" s="35"/>
      <c r="AW417" s="35"/>
      <c r="AY417" s="35"/>
      <c r="AZ417" s="35" t="s">
        <v>1642</v>
      </c>
      <c r="BA417" s="35" t="s">
        <v>3139</v>
      </c>
      <c r="BB417" s="29" t="s">
        <v>2680</v>
      </c>
      <c r="BC417" s="29" t="s">
        <v>1644</v>
      </c>
      <c r="BD417" s="29" t="s">
        <v>3202</v>
      </c>
      <c r="BE417" s="29" t="s">
        <v>3203</v>
      </c>
      <c r="BF417" s="29" t="s">
        <v>1973</v>
      </c>
      <c r="BG417" s="29" t="s">
        <v>3243</v>
      </c>
      <c r="BI417" s="35"/>
      <c r="BJ417" s="35"/>
      <c r="BK417" s="29" t="str" cm="1">
        <f t="array" ref="BK417">_xlfn.UNIQUE(MID(BB417,16,14))</f>
        <v>U012UBB01UC002</v>
      </c>
    </row>
    <row r="418" spans="1:63" x14ac:dyDescent="0.3">
      <c r="A418" s="29" t="s">
        <v>3225</v>
      </c>
      <c r="B418" s="36" t="str">
        <f t="shared" si="30"/>
        <v>G01NHA01TB012-QA04</v>
      </c>
      <c r="C418" s="33" t="s">
        <v>3244</v>
      </c>
      <c r="D418" s="34" t="str">
        <f t="shared" si="31"/>
        <v>ELY1 RECT1 POLR2 SW4 CB OFF/CLD</v>
      </c>
      <c r="E418" s="31">
        <f t="shared" si="32"/>
        <v>31</v>
      </c>
      <c r="F418" s="32" t="str">
        <f t="shared" si="33"/>
        <v>ELECTROLYSIS SYSTEM ELECTROLYSIS ARRAY 1 RECTIFIER SYSTEMS RECTIFIER SYSTEM 1 RECTIFIERS POLARISATION RECTIFIER SYSTEM 3&amp;4 MAINSWITCH - OFF CHECK BACK OFF/CLOSED</v>
      </c>
      <c r="G418" s="29" t="s">
        <v>1614</v>
      </c>
      <c r="H418" s="29" t="s">
        <v>1615</v>
      </c>
      <c r="I418" s="29" t="str">
        <f t="shared" si="34"/>
        <v>01</v>
      </c>
      <c r="J418" s="29" t="s">
        <v>1616</v>
      </c>
      <c r="K418" s="29" t="s">
        <v>1842</v>
      </c>
      <c r="L418" s="29" t="s">
        <v>1843</v>
      </c>
      <c r="M418" s="29" t="s">
        <v>1619</v>
      </c>
      <c r="N418" s="29" t="s">
        <v>1844</v>
      </c>
      <c r="O418" s="29" t="s">
        <v>3131</v>
      </c>
      <c r="P418" s="29" t="s">
        <v>3132</v>
      </c>
      <c r="Q418" s="29" t="s">
        <v>3227</v>
      </c>
      <c r="R418" s="29" t="s">
        <v>3228</v>
      </c>
      <c r="S418" s="29" t="s">
        <v>3206</v>
      </c>
      <c r="T418" s="29" t="s">
        <v>3200</v>
      </c>
      <c r="U418" s="29" t="s">
        <v>363</v>
      </c>
      <c r="V418" s="29" t="s">
        <v>2645</v>
      </c>
      <c r="W418" s="35" t="s">
        <v>1628</v>
      </c>
      <c r="X418" s="35" t="s">
        <v>1850</v>
      </c>
      <c r="Y418" s="35" t="s">
        <v>3229</v>
      </c>
      <c r="Z418" s="35" t="s">
        <v>3207</v>
      </c>
      <c r="AA418" s="35" t="s">
        <v>2646</v>
      </c>
      <c r="AB418" s="29" t="s">
        <v>2653</v>
      </c>
      <c r="AC418" s="35" t="s">
        <v>1633</v>
      </c>
      <c r="AD418" s="35" t="s">
        <v>1634</v>
      </c>
      <c r="AE418" s="35" t="s">
        <v>1634</v>
      </c>
      <c r="AF418" s="35" t="s">
        <v>1635</v>
      </c>
      <c r="AG418" s="35" t="s">
        <v>2634</v>
      </c>
      <c r="AI418" s="35"/>
      <c r="AJ418" s="35" t="s">
        <v>1637</v>
      </c>
      <c r="AK418" s="35" t="s">
        <v>1638</v>
      </c>
      <c r="AL418" s="29" t="s">
        <v>2954</v>
      </c>
      <c r="AM418" s="35"/>
      <c r="AN418" s="35"/>
      <c r="AO418" s="35"/>
      <c r="AP418" s="35"/>
      <c r="AQ418" s="35"/>
      <c r="AS418" s="35"/>
      <c r="AU418" s="35"/>
      <c r="AW418" s="35"/>
      <c r="AY418" s="35"/>
      <c r="AZ418" s="35" t="s">
        <v>1642</v>
      </c>
      <c r="BA418" s="35" t="s">
        <v>3139</v>
      </c>
      <c r="BB418" s="29" t="s">
        <v>2680</v>
      </c>
      <c r="BC418" s="29" t="s">
        <v>1644</v>
      </c>
      <c r="BD418" s="29" t="s">
        <v>3208</v>
      </c>
      <c r="BE418" s="29" t="s">
        <v>3078</v>
      </c>
      <c r="BF418" s="29" t="s">
        <v>3209</v>
      </c>
      <c r="BG418" s="29" t="s">
        <v>3245</v>
      </c>
      <c r="BI418" s="35"/>
      <c r="BJ418" s="35"/>
      <c r="BK418" s="29" t="str" cm="1">
        <f t="array" ref="BK418">_xlfn.UNIQUE(MID(BB418,16,14))</f>
        <v>U012UBB01UC002</v>
      </c>
    </row>
    <row r="419" spans="1:63" x14ac:dyDescent="0.3">
      <c r="A419" s="29" t="s">
        <v>3225</v>
      </c>
      <c r="B419" s="36" t="str">
        <f t="shared" si="30"/>
        <v>G01NHA01TB012-QB03</v>
      </c>
      <c r="C419" s="33" t="s">
        <v>3246</v>
      </c>
      <c r="D419" s="34" t="str">
        <f t="shared" si="31"/>
        <v>ELY1 RECT1 POLR2 DISC SYS1 CB OFF/CLD</v>
      </c>
      <c r="E419" s="31">
        <f t="shared" si="32"/>
        <v>37</v>
      </c>
      <c r="F419" s="32" t="str">
        <f t="shared" si="33"/>
        <v>ELECTROLYSIS SYSTEM ELECTROLYSIS ARRAY 1 RECTIFIER SYSTEMS RECTIFIER SYSTEM 1 RECTIFIERS POLARISATION RECTIFIER SYSTEM 3&amp;4 DC DISCONNECT SWITCH - SYSTEM 1 CHECK BACK OFF/CLOSED</v>
      </c>
      <c r="G419" s="29" t="s">
        <v>1614</v>
      </c>
      <c r="H419" s="29" t="s">
        <v>1615</v>
      </c>
      <c r="I419" s="29" t="str">
        <f t="shared" si="34"/>
        <v>01</v>
      </c>
      <c r="J419" s="29" t="s">
        <v>1616</v>
      </c>
      <c r="K419" s="29" t="s">
        <v>1842</v>
      </c>
      <c r="L419" s="29" t="s">
        <v>1843</v>
      </c>
      <c r="M419" s="29" t="s">
        <v>1619</v>
      </c>
      <c r="N419" s="29" t="s">
        <v>1844</v>
      </c>
      <c r="O419" s="29" t="s">
        <v>3131</v>
      </c>
      <c r="P419" s="29" t="s">
        <v>3132</v>
      </c>
      <c r="Q419" s="29" t="s">
        <v>3227</v>
      </c>
      <c r="R419" s="29" t="s">
        <v>3228</v>
      </c>
      <c r="S419" s="29" t="s">
        <v>3212</v>
      </c>
      <c r="T419" s="29" t="s">
        <v>3213</v>
      </c>
      <c r="U419" s="29" t="s">
        <v>363</v>
      </c>
      <c r="V419" s="29" t="s">
        <v>2645</v>
      </c>
      <c r="W419" s="35" t="s">
        <v>1628</v>
      </c>
      <c r="X419" s="35" t="s">
        <v>1850</v>
      </c>
      <c r="Y419" s="35" t="s">
        <v>3229</v>
      </c>
      <c r="Z419" s="35" t="s">
        <v>3214</v>
      </c>
      <c r="AA419" s="35" t="s">
        <v>2646</v>
      </c>
      <c r="AB419" s="29" t="s">
        <v>3169</v>
      </c>
      <c r="AC419" s="35" t="s">
        <v>1633</v>
      </c>
      <c r="AD419" s="35" t="s">
        <v>1634</v>
      </c>
      <c r="AE419" s="35" t="s">
        <v>1634</v>
      </c>
      <c r="AF419" s="35" t="s">
        <v>1635</v>
      </c>
      <c r="AG419" s="35" t="s">
        <v>2634</v>
      </c>
      <c r="AI419" s="35"/>
      <c r="AJ419" s="35" t="s">
        <v>1637</v>
      </c>
      <c r="AK419" s="35" t="s">
        <v>1672</v>
      </c>
      <c r="AL419" s="29" t="s">
        <v>2954</v>
      </c>
      <c r="AM419" s="35"/>
      <c r="AN419" s="35"/>
      <c r="AO419" s="35"/>
      <c r="AP419" s="35"/>
      <c r="AQ419" s="35"/>
      <c r="AS419" s="35"/>
      <c r="AU419" s="35"/>
      <c r="AW419" s="35"/>
      <c r="AY419" s="35"/>
      <c r="AZ419" s="35" t="s">
        <v>1642</v>
      </c>
      <c r="BA419" s="35" t="s">
        <v>3139</v>
      </c>
      <c r="BB419" s="29" t="s">
        <v>3152</v>
      </c>
      <c r="BC419" s="29" t="s">
        <v>2347</v>
      </c>
      <c r="BD419" s="29" t="s">
        <v>3154</v>
      </c>
      <c r="BE419" s="29" t="s">
        <v>3220</v>
      </c>
      <c r="BF419" s="29" t="s">
        <v>1909</v>
      </c>
      <c r="BG419" s="29" t="s">
        <v>3247</v>
      </c>
      <c r="BI419" s="35"/>
      <c r="BJ419" s="35"/>
      <c r="BK419" s="29" t="str" cm="1">
        <f t="array" ref="BK419">_xlfn.UNIQUE(MID(BB419,16,14))</f>
        <v>U012UBB01UC002</v>
      </c>
    </row>
    <row r="420" spans="1:63" x14ac:dyDescent="0.3">
      <c r="A420" s="29" t="s">
        <v>3225</v>
      </c>
      <c r="B420" s="36" t="str">
        <f t="shared" si="30"/>
        <v>G01NHA01TB012-QB04</v>
      </c>
      <c r="C420" s="33" t="s">
        <v>3248</v>
      </c>
      <c r="D420" s="34" t="str">
        <f t="shared" si="31"/>
        <v>ELY1 RECT1 POLR2 DISC SYS2 CB OFF/CLD</v>
      </c>
      <c r="E420" s="31">
        <f t="shared" si="32"/>
        <v>37</v>
      </c>
      <c r="F420" s="32" t="str">
        <f t="shared" si="33"/>
        <v>ELECTROLYSIS SYSTEM ELECTROLYSIS ARRAY 1 RECTIFIER SYSTEMS RECTIFIER SYSTEM 1 RECTIFIERS POLARISATION RECTIFIER SYSTEM 3&amp;4 DC DISCONNECT SWITCH - SYSTEM 2 CHECK BACK OFF/CLOSED</v>
      </c>
      <c r="G420" s="29" t="s">
        <v>1614</v>
      </c>
      <c r="H420" s="29" t="s">
        <v>1615</v>
      </c>
      <c r="I420" s="29" t="str">
        <f t="shared" si="34"/>
        <v>01</v>
      </c>
      <c r="J420" s="29" t="s">
        <v>1616</v>
      </c>
      <c r="K420" s="29" t="s">
        <v>1842</v>
      </c>
      <c r="L420" s="29" t="s">
        <v>1843</v>
      </c>
      <c r="M420" s="29" t="s">
        <v>1619</v>
      </c>
      <c r="N420" s="29" t="s">
        <v>1844</v>
      </c>
      <c r="O420" s="29" t="s">
        <v>3131</v>
      </c>
      <c r="P420" s="29" t="s">
        <v>3132</v>
      </c>
      <c r="Q420" s="29" t="s">
        <v>3227</v>
      </c>
      <c r="R420" s="29" t="s">
        <v>3228</v>
      </c>
      <c r="S420" s="29" t="s">
        <v>3217</v>
      </c>
      <c r="T420" s="29" t="s">
        <v>3218</v>
      </c>
      <c r="U420" s="29" t="s">
        <v>363</v>
      </c>
      <c r="V420" s="29" t="s">
        <v>2645</v>
      </c>
      <c r="W420" s="35" t="s">
        <v>1628</v>
      </c>
      <c r="X420" s="35" t="s">
        <v>1850</v>
      </c>
      <c r="Y420" s="35" t="s">
        <v>3229</v>
      </c>
      <c r="Z420" s="35" t="s">
        <v>3219</v>
      </c>
      <c r="AA420" s="35" t="s">
        <v>2646</v>
      </c>
      <c r="AB420" s="29" t="s">
        <v>3169</v>
      </c>
      <c r="AC420" s="35" t="s">
        <v>1633</v>
      </c>
      <c r="AD420" s="35" t="s">
        <v>1634</v>
      </c>
      <c r="AE420" s="35" t="s">
        <v>1634</v>
      </c>
      <c r="AF420" s="35" t="s">
        <v>1635</v>
      </c>
      <c r="AG420" s="35" t="s">
        <v>2634</v>
      </c>
      <c r="AI420" s="35"/>
      <c r="AJ420" s="35" t="s">
        <v>1637</v>
      </c>
      <c r="AK420" s="35" t="s">
        <v>1672</v>
      </c>
      <c r="AL420" s="29" t="s">
        <v>2954</v>
      </c>
      <c r="AM420" s="35"/>
      <c r="AN420" s="35"/>
      <c r="AO420" s="35"/>
      <c r="AP420" s="35"/>
      <c r="AQ420" s="35"/>
      <c r="AS420" s="35"/>
      <c r="AU420" s="35"/>
      <c r="AW420" s="35"/>
      <c r="AY420" s="35"/>
      <c r="AZ420" s="35" t="s">
        <v>1642</v>
      </c>
      <c r="BA420" s="35" t="s">
        <v>3139</v>
      </c>
      <c r="BB420" s="29" t="s">
        <v>3152</v>
      </c>
      <c r="BC420" s="29" t="s">
        <v>2347</v>
      </c>
      <c r="BD420" s="29" t="s">
        <v>3154</v>
      </c>
      <c r="BE420" s="29" t="s">
        <v>3220</v>
      </c>
      <c r="BF420" s="29" t="s">
        <v>1915</v>
      </c>
      <c r="BG420" s="29" t="s">
        <v>3249</v>
      </c>
      <c r="BI420" s="35"/>
      <c r="BJ420" s="35"/>
      <c r="BK420" s="29" t="str" cm="1">
        <f t="array" ref="BK420">_xlfn.UNIQUE(MID(BB420,16,14))</f>
        <v>U012UBB01UC002</v>
      </c>
    </row>
    <row r="421" spans="1:63" x14ac:dyDescent="0.3">
      <c r="A421" s="29" t="s">
        <v>3225</v>
      </c>
      <c r="B421" s="36" t="str">
        <f t="shared" si="30"/>
        <v>G01NHA01TB012-TB01</v>
      </c>
      <c r="C421" s="33" t="s">
        <v>3250</v>
      </c>
      <c r="D421" s="34" t="str">
        <f t="shared" si="31"/>
        <v>ELY1 RECT1 POLR2 24VDC MON1 GRP FLT</v>
      </c>
      <c r="E421" s="31">
        <f t="shared" si="32"/>
        <v>35</v>
      </c>
      <c r="F421" s="32" t="str">
        <f t="shared" si="33"/>
        <v>ELECTROLYSIS SYSTEM ELECTROLYSIS ARRAY 1 RECTIFIER SYSTEMS RECTIFIER SYSTEM 1 RECTIFIERS POLARISATION RECTIFIER SYSTEM 3&amp;4 GROUP FAULT ALARM 24VDC UPS GENERATION GROUP FAULT ALARM</v>
      </c>
      <c r="G421" s="29" t="s">
        <v>1614</v>
      </c>
      <c r="H421" s="29" t="s">
        <v>1615</v>
      </c>
      <c r="I421" s="29" t="str">
        <f t="shared" si="34"/>
        <v>01</v>
      </c>
      <c r="J421" s="29" t="s">
        <v>1616</v>
      </c>
      <c r="K421" s="29" t="s">
        <v>1842</v>
      </c>
      <c r="L421" s="29" t="s">
        <v>1843</v>
      </c>
      <c r="M421" s="29" t="s">
        <v>1619</v>
      </c>
      <c r="N421" s="29" t="s">
        <v>1844</v>
      </c>
      <c r="O421" s="29" t="s">
        <v>3131</v>
      </c>
      <c r="P421" s="29" t="s">
        <v>3132</v>
      </c>
      <c r="Q421" s="29" t="s">
        <v>3227</v>
      </c>
      <c r="R421" s="29" t="s">
        <v>3228</v>
      </c>
      <c r="S421" s="29" t="s">
        <v>2870</v>
      </c>
      <c r="T421" s="29" t="s">
        <v>3223</v>
      </c>
      <c r="U421" s="29" t="s">
        <v>1033</v>
      </c>
      <c r="V421" s="29" t="s">
        <v>1288</v>
      </c>
      <c r="W421" s="35" t="s">
        <v>1628</v>
      </c>
      <c r="X421" s="35" t="s">
        <v>1850</v>
      </c>
      <c r="Y421" s="35" t="s">
        <v>3229</v>
      </c>
      <c r="Z421" s="35" t="s">
        <v>2872</v>
      </c>
      <c r="AA421" s="35" t="s">
        <v>2633</v>
      </c>
      <c r="AB421" s="29" t="s">
        <v>3169</v>
      </c>
      <c r="AC421" s="35" t="s">
        <v>1633</v>
      </c>
      <c r="AD421" s="35" t="s">
        <v>1634</v>
      </c>
      <c r="AE421" s="35" t="s">
        <v>1634</v>
      </c>
      <c r="AF421" s="35" t="s">
        <v>1635</v>
      </c>
      <c r="AG421" s="35" t="s">
        <v>2634</v>
      </c>
      <c r="AI421" s="35"/>
      <c r="AJ421" s="35" t="s">
        <v>1637</v>
      </c>
      <c r="AK421" s="35" t="s">
        <v>1672</v>
      </c>
      <c r="AL421" s="29" t="s">
        <v>2715</v>
      </c>
      <c r="AM421" s="35"/>
      <c r="AN421" s="35"/>
      <c r="AO421" s="35"/>
      <c r="AP421" s="35"/>
      <c r="AQ421" s="35"/>
      <c r="AS421" s="35"/>
      <c r="AU421" s="35"/>
      <c r="AW421" s="35"/>
      <c r="AY421" s="35"/>
      <c r="AZ421" s="35"/>
      <c r="BA421" s="35"/>
      <c r="BB421" s="29" t="s">
        <v>2927</v>
      </c>
      <c r="BC421" s="29" t="s">
        <v>2347</v>
      </c>
      <c r="BD421" s="29" t="s">
        <v>2635</v>
      </c>
      <c r="BE421" s="29" t="s">
        <v>3171</v>
      </c>
      <c r="BF421" s="29" t="s">
        <v>2388</v>
      </c>
      <c r="BG421" s="29" t="s">
        <v>3251</v>
      </c>
      <c r="BI421" s="35"/>
      <c r="BJ421" s="35"/>
      <c r="BK421" s="29" t="str" cm="1">
        <f t="array" ref="BK421">_xlfn.UNIQUE(MID(BB421,16,14))</f>
        <v>U012UBB01UC002</v>
      </c>
    </row>
    <row r="422" spans="1:63" x14ac:dyDescent="0.3">
      <c r="A422" s="29" t="s">
        <v>1974</v>
      </c>
      <c r="B422" s="36" t="str">
        <f t="shared" si="30"/>
        <v>G01NHB01EQ001-QN01</v>
      </c>
      <c r="C422" s="33" t="s">
        <v>3252</v>
      </c>
      <c r="D422" s="34" t="str">
        <f t="shared" si="31"/>
        <v>ELY1 GRP1 COOL CV1 GRP FLT</v>
      </c>
      <c r="E422" s="31">
        <f t="shared" si="32"/>
        <v>26</v>
      </c>
      <c r="F422" s="32" t="str">
        <f t="shared" si="33"/>
        <v>ELECTROLYSIS SYSTEM ELECTROLYSIS ARRAY 1 ELECTROLYZER SYSTEM MODULE GROUP 1 HEAT EXCHANGING SYSTEMS HEAT EXCHANGING SYSTEM 1 COOLING WATER - CONTROL VALVE GROUP FAULT ALARM</v>
      </c>
      <c r="G422" s="29" t="s">
        <v>1614</v>
      </c>
      <c r="H422" s="29" t="s">
        <v>1615</v>
      </c>
      <c r="I422" s="29" t="str">
        <f t="shared" si="34"/>
        <v>01</v>
      </c>
      <c r="J422" s="29" t="s">
        <v>1616</v>
      </c>
      <c r="K422" s="29" t="s">
        <v>1976</v>
      </c>
      <c r="L422" s="29" t="s">
        <v>1977</v>
      </c>
      <c r="M422" s="29" t="s">
        <v>1619</v>
      </c>
      <c r="N422" s="29" t="s">
        <v>1978</v>
      </c>
      <c r="O422" s="29" t="s">
        <v>1894</v>
      </c>
      <c r="P422" s="29" t="s">
        <v>1979</v>
      </c>
      <c r="Q422" s="29" t="s">
        <v>1623</v>
      </c>
      <c r="R422" s="29" t="s">
        <v>1980</v>
      </c>
      <c r="S422" s="29" t="s">
        <v>1800</v>
      </c>
      <c r="T422" s="29" t="s">
        <v>2014</v>
      </c>
      <c r="U422" s="29" t="s">
        <v>1033</v>
      </c>
      <c r="V422" s="29" t="s">
        <v>1288</v>
      </c>
      <c r="W422" s="35" t="s">
        <v>1628</v>
      </c>
      <c r="X422" s="35" t="s">
        <v>1982</v>
      </c>
      <c r="Y422" s="35" t="s">
        <v>1898</v>
      </c>
      <c r="Z422" s="35" t="s">
        <v>1802</v>
      </c>
      <c r="AA422" s="35" t="s">
        <v>2633</v>
      </c>
      <c r="AB422" s="29" t="s">
        <v>2015</v>
      </c>
      <c r="AC422" s="35" t="s">
        <v>1633</v>
      </c>
      <c r="AD422" s="35" t="s">
        <v>1634</v>
      </c>
      <c r="AE422" s="35" t="s">
        <v>1634</v>
      </c>
      <c r="AF422" s="35" t="s">
        <v>1635</v>
      </c>
      <c r="AG422" s="35" t="s">
        <v>2634</v>
      </c>
      <c r="AI422" s="35"/>
      <c r="AJ422" s="35" t="s">
        <v>1637</v>
      </c>
      <c r="AK422" s="35" t="s">
        <v>1672</v>
      </c>
      <c r="AL422" s="29" t="s">
        <v>2606</v>
      </c>
      <c r="AM422" s="35"/>
      <c r="AN422" s="35"/>
      <c r="AO422" s="35"/>
      <c r="AP422" s="35"/>
      <c r="AQ422" s="35"/>
      <c r="AS422" s="35"/>
      <c r="AU422" s="35"/>
      <c r="AW422" s="35"/>
      <c r="AY422" s="35"/>
      <c r="AZ422" s="35"/>
      <c r="BA422" s="35"/>
      <c r="BB422" s="29" t="s">
        <v>1983</v>
      </c>
      <c r="BC422" s="29" t="s">
        <v>1900</v>
      </c>
      <c r="BF422" s="29" t="s">
        <v>2388</v>
      </c>
      <c r="BG422" s="29" t="s">
        <v>2017</v>
      </c>
      <c r="BH422" s="29" t="s">
        <v>1986</v>
      </c>
      <c r="BI422" s="35"/>
      <c r="BJ422" s="35"/>
      <c r="BK422" s="29" t="str" cm="1">
        <f t="array" ref="BK422">_xlfn.UNIQUE(MID(BB422,16,14))</f>
        <v>U012UNA01UH111</v>
      </c>
    </row>
    <row r="423" spans="1:63" x14ac:dyDescent="0.3">
      <c r="A423" s="29" t="s">
        <v>2053</v>
      </c>
      <c r="B423" s="36" t="str">
        <f t="shared" si="30"/>
        <v>G01NHB01KF001-FC02</v>
      </c>
      <c r="C423" s="33" t="s">
        <v>3253</v>
      </c>
      <c r="D423" s="34" t="str">
        <f t="shared" si="31"/>
        <v>ELY1 GRP1 CTRL U1 24V MON2 AL/FLT CODE</v>
      </c>
      <c r="E423" s="31">
        <f t="shared" si="32"/>
        <v>38</v>
      </c>
      <c r="F423" s="32" t="str">
        <f t="shared" si="33"/>
        <v>ELECTROLYSIS SYSTEM ELECTROLYSIS ARRAY 1 ELECTROLYZER SYSTEM MODULE GROUP 1 CONTROL UNITS CELL VOLTAGE MEASUREMENT SITOP SEL1200 SELECTIVITY MODULE 8-CHANNEL VOLTAGE SUPPLY FAIL 8X 24VDC</v>
      </c>
      <c r="G423" s="29" t="s">
        <v>1614</v>
      </c>
      <c r="H423" s="29" t="s">
        <v>1615</v>
      </c>
      <c r="I423" s="29" t="str">
        <f t="shared" si="34"/>
        <v>01</v>
      </c>
      <c r="J423" s="29" t="s">
        <v>1616</v>
      </c>
      <c r="K423" s="29" t="s">
        <v>1976</v>
      </c>
      <c r="L423" s="29" t="s">
        <v>1977</v>
      </c>
      <c r="M423" s="29" t="s">
        <v>1619</v>
      </c>
      <c r="N423" s="29" t="s">
        <v>1978</v>
      </c>
      <c r="O423" s="29" t="s">
        <v>1771</v>
      </c>
      <c r="P423" s="29" t="s">
        <v>2055</v>
      </c>
      <c r="Q423" s="29" t="s">
        <v>1623</v>
      </c>
      <c r="R423" s="29" t="s">
        <v>2056</v>
      </c>
      <c r="S423" s="29" t="s">
        <v>2754</v>
      </c>
      <c r="T423" s="29" t="s">
        <v>3254</v>
      </c>
      <c r="U423" s="29" t="s">
        <v>1360</v>
      </c>
      <c r="V423" s="29" t="s">
        <v>3255</v>
      </c>
      <c r="W423" s="35" t="s">
        <v>1628</v>
      </c>
      <c r="X423" s="35" t="s">
        <v>1982</v>
      </c>
      <c r="Y423" s="35" t="s">
        <v>1775</v>
      </c>
      <c r="Z423" s="35" t="s">
        <v>2755</v>
      </c>
      <c r="AA423" s="35" t="s">
        <v>2670</v>
      </c>
      <c r="AB423" s="29" t="s">
        <v>2653</v>
      </c>
      <c r="AC423" s="35" t="s">
        <v>1633</v>
      </c>
      <c r="AD423" s="35" t="s">
        <v>1634</v>
      </c>
      <c r="AE423" s="35" t="s">
        <v>1634</v>
      </c>
      <c r="AF423" s="35" t="s">
        <v>1635</v>
      </c>
      <c r="AG423" s="35" t="s">
        <v>2660</v>
      </c>
      <c r="AI423" s="35"/>
      <c r="AJ423" s="35" t="s">
        <v>1637</v>
      </c>
      <c r="AK423" s="35" t="s">
        <v>1672</v>
      </c>
      <c r="AL423" s="29" t="s">
        <v>2715</v>
      </c>
      <c r="AM423" s="35"/>
      <c r="AN423" s="35"/>
      <c r="AO423" s="35"/>
      <c r="AP423" s="35"/>
      <c r="AQ423" s="35"/>
      <c r="AS423" s="35"/>
      <c r="AU423" s="35"/>
      <c r="AW423" s="35"/>
      <c r="AY423" s="35"/>
      <c r="AZ423" s="35"/>
      <c r="BA423" s="35"/>
      <c r="BB423" s="29" t="s">
        <v>1643</v>
      </c>
      <c r="BC423" s="29" t="s">
        <v>2347</v>
      </c>
      <c r="BD423" s="29" t="s">
        <v>2671</v>
      </c>
      <c r="BE423" s="29" t="s">
        <v>1805</v>
      </c>
      <c r="BF423" s="29" t="s">
        <v>1905</v>
      </c>
      <c r="BG423" s="29" t="s">
        <v>3256</v>
      </c>
      <c r="BI423" s="35"/>
      <c r="BJ423" s="35"/>
      <c r="BK423" s="29" t="str" cm="1">
        <f t="array" ref="BK423">_xlfn.UNIQUE(MID(BB423,16,14))</f>
        <v>U012UNA01UH100</v>
      </c>
    </row>
    <row r="424" spans="1:63" x14ac:dyDescent="0.3">
      <c r="A424" s="29" t="s">
        <v>2053</v>
      </c>
      <c r="B424" s="36" t="str">
        <f t="shared" si="30"/>
        <v>G01NHB01KF001-TB01</v>
      </c>
      <c r="C424" s="33" t="s">
        <v>3257</v>
      </c>
      <c r="D424" s="34" t="str">
        <f t="shared" si="31"/>
        <v>ELY1 GRP1 CTRL U1 24VDC MON1 AL/FLT CODE</v>
      </c>
      <c r="E424" s="31">
        <f t="shared" si="32"/>
        <v>40</v>
      </c>
      <c r="F424" s="32" t="str">
        <f t="shared" si="33"/>
        <v>ELECTROLYSIS SYSTEM ELECTROLYSIS ARRAY 1 ELECTROLYZER SYSTEM MODULE GROUP 1 CONTROL UNITS CELL VOLTAGE MEASUREMENT SITOP PSU6200 24 V/20 A VOLTAGE SUPPLY FAIL 230/24V DC</v>
      </c>
      <c r="G424" s="29" t="s">
        <v>1614</v>
      </c>
      <c r="H424" s="29" t="s">
        <v>1615</v>
      </c>
      <c r="I424" s="29" t="str">
        <f t="shared" si="34"/>
        <v>01</v>
      </c>
      <c r="J424" s="29" t="s">
        <v>1616</v>
      </c>
      <c r="K424" s="29" t="s">
        <v>1976</v>
      </c>
      <c r="L424" s="29" t="s">
        <v>1977</v>
      </c>
      <c r="M424" s="29" t="s">
        <v>1619</v>
      </c>
      <c r="N424" s="29" t="s">
        <v>1978</v>
      </c>
      <c r="O424" s="29" t="s">
        <v>1771</v>
      </c>
      <c r="P424" s="29" t="s">
        <v>2055</v>
      </c>
      <c r="Q424" s="29" t="s">
        <v>1623</v>
      </c>
      <c r="R424" s="29" t="s">
        <v>2056</v>
      </c>
      <c r="S424" s="29" t="s">
        <v>2870</v>
      </c>
      <c r="T424" s="29" t="s">
        <v>2871</v>
      </c>
      <c r="U424" s="29" t="s">
        <v>1360</v>
      </c>
      <c r="V424" s="29" t="s">
        <v>3258</v>
      </c>
      <c r="W424" s="35" t="s">
        <v>1628</v>
      </c>
      <c r="X424" s="35" t="s">
        <v>1982</v>
      </c>
      <c r="Y424" s="35" t="s">
        <v>1775</v>
      </c>
      <c r="Z424" s="35" t="s">
        <v>2872</v>
      </c>
      <c r="AA424" s="35" t="s">
        <v>2670</v>
      </c>
      <c r="AB424" s="29" t="s">
        <v>2653</v>
      </c>
      <c r="AC424" s="35" t="s">
        <v>1633</v>
      </c>
      <c r="AD424" s="35" t="s">
        <v>1634</v>
      </c>
      <c r="AE424" s="35" t="s">
        <v>1634</v>
      </c>
      <c r="AF424" s="35" t="s">
        <v>1635</v>
      </c>
      <c r="AG424" s="35" t="s">
        <v>1670</v>
      </c>
      <c r="AI424" s="35"/>
      <c r="AJ424" s="35" t="s">
        <v>1637</v>
      </c>
      <c r="AK424" s="35" t="s">
        <v>1672</v>
      </c>
      <c r="AL424" s="29" t="s">
        <v>2715</v>
      </c>
      <c r="AM424" s="35"/>
      <c r="AN424" s="35"/>
      <c r="AO424" s="35"/>
      <c r="AP424" s="35"/>
      <c r="AQ424" s="35"/>
      <c r="AS424" s="35"/>
      <c r="AU424" s="35"/>
      <c r="AW424" s="35"/>
      <c r="AY424" s="35"/>
      <c r="AZ424" s="35"/>
      <c r="BA424" s="35"/>
      <c r="BB424" s="29" t="s">
        <v>1643</v>
      </c>
      <c r="BC424" s="29" t="s">
        <v>2347</v>
      </c>
      <c r="BD424" s="29" t="s">
        <v>2671</v>
      </c>
      <c r="BE424" s="29" t="s">
        <v>1805</v>
      </c>
      <c r="BF424" s="29" t="s">
        <v>1909</v>
      </c>
      <c r="BG424" s="29" t="s">
        <v>3259</v>
      </c>
      <c r="BI424" s="35"/>
      <c r="BJ424" s="35"/>
      <c r="BK424" s="29" t="str" cm="1">
        <f t="array" ref="BK424">_xlfn.UNIQUE(MID(BB424,16,14))</f>
        <v>U012UNA01UH100</v>
      </c>
    </row>
    <row r="425" spans="1:63" x14ac:dyDescent="0.3">
      <c r="A425" s="29" t="s">
        <v>3260</v>
      </c>
      <c r="B425" s="36" t="str">
        <f t="shared" si="30"/>
        <v>G01NHB01KF002-FC01</v>
      </c>
      <c r="C425" s="33" t="s">
        <v>3261</v>
      </c>
      <c r="D425" s="34" t="str">
        <f t="shared" si="31"/>
        <v>ELY1 GRP1 CTRL U2 24V MON1 AL/FLT CODE</v>
      </c>
      <c r="E425" s="31">
        <f t="shared" si="32"/>
        <v>38</v>
      </c>
      <c r="F425" s="32" t="str">
        <f t="shared" si="33"/>
        <v>ELECTROLYSIS SYSTEM ELECTROLYSIS ARRAY 1 ELECTROLYZER SYSTEM MODULE GROUP 1 CONTROL UNITS MODULE GROUP CONTROL UNIT SITOP SEL1200 SELECTIVITY MODULE 8-CHANNEL VOLTAGE SUPPLY FAIL 8X 24VDC</v>
      </c>
      <c r="G425" s="29" t="s">
        <v>1614</v>
      </c>
      <c r="H425" s="29" t="s">
        <v>1615</v>
      </c>
      <c r="I425" s="29" t="str">
        <f t="shared" si="34"/>
        <v>01</v>
      </c>
      <c r="J425" s="29" t="s">
        <v>1616</v>
      </c>
      <c r="K425" s="29" t="s">
        <v>1976</v>
      </c>
      <c r="L425" s="29" t="s">
        <v>1977</v>
      </c>
      <c r="M425" s="29" t="s">
        <v>1619</v>
      </c>
      <c r="N425" s="29" t="s">
        <v>1978</v>
      </c>
      <c r="O425" s="29" t="s">
        <v>1771</v>
      </c>
      <c r="P425" s="29" t="s">
        <v>2055</v>
      </c>
      <c r="Q425" s="29" t="s">
        <v>1872</v>
      </c>
      <c r="R425" s="29" t="s">
        <v>3262</v>
      </c>
      <c r="S425" s="29" t="s">
        <v>2657</v>
      </c>
      <c r="T425" s="29" t="s">
        <v>3254</v>
      </c>
      <c r="U425" s="29" t="s">
        <v>1360</v>
      </c>
      <c r="V425" s="29" t="s">
        <v>3255</v>
      </c>
      <c r="W425" s="35" t="s">
        <v>1628</v>
      </c>
      <c r="X425" s="35" t="s">
        <v>1982</v>
      </c>
      <c r="Y425" s="35" t="s">
        <v>2881</v>
      </c>
      <c r="Z425" s="35" t="s">
        <v>2659</v>
      </c>
      <c r="AA425" s="35" t="s">
        <v>2670</v>
      </c>
      <c r="AB425" s="29" t="s">
        <v>2653</v>
      </c>
      <c r="AC425" s="35" t="s">
        <v>1633</v>
      </c>
      <c r="AD425" s="35" t="s">
        <v>1634</v>
      </c>
      <c r="AE425" s="35" t="s">
        <v>1634</v>
      </c>
      <c r="AF425" s="35" t="s">
        <v>1635</v>
      </c>
      <c r="AG425" s="35" t="s">
        <v>2660</v>
      </c>
      <c r="AI425" s="35"/>
      <c r="AJ425" s="35" t="s">
        <v>1637</v>
      </c>
      <c r="AK425" s="35" t="s">
        <v>1672</v>
      </c>
      <c r="AL425" s="29" t="s">
        <v>2715</v>
      </c>
      <c r="AM425" s="35"/>
      <c r="AN425" s="35"/>
      <c r="AO425" s="35"/>
      <c r="AP425" s="35"/>
      <c r="AQ425" s="35"/>
      <c r="AS425" s="35"/>
      <c r="AU425" s="35"/>
      <c r="AW425" s="35"/>
      <c r="AY425" s="35"/>
      <c r="AZ425" s="35"/>
      <c r="BA425" s="35"/>
      <c r="BB425" s="29" t="s">
        <v>1643</v>
      </c>
      <c r="BC425" s="29" t="s">
        <v>2347</v>
      </c>
      <c r="BD425" s="29" t="s">
        <v>2671</v>
      </c>
      <c r="BE425" s="29" t="s">
        <v>1805</v>
      </c>
      <c r="BF425" s="29" t="s">
        <v>1619</v>
      </c>
      <c r="BG425" s="29" t="s">
        <v>3263</v>
      </c>
      <c r="BI425" s="35"/>
      <c r="BJ425" s="35"/>
      <c r="BK425" s="29" t="str" cm="1">
        <f t="array" ref="BK425">_xlfn.UNIQUE(MID(BB425,16,14))</f>
        <v>U012UNA01UH100</v>
      </c>
    </row>
    <row r="426" spans="1:63" x14ac:dyDescent="0.3">
      <c r="A426" s="29" t="s">
        <v>2087</v>
      </c>
      <c r="B426" s="36" t="str">
        <f t="shared" si="30"/>
        <v>G01NHB02EQ001-QN01</v>
      </c>
      <c r="C426" s="33" t="s">
        <v>3264</v>
      </c>
      <c r="D426" s="34" t="str">
        <f t="shared" si="31"/>
        <v>ELY1 GRP2 COOL CV1 GRP FLT</v>
      </c>
      <c r="E426" s="31">
        <f t="shared" si="32"/>
        <v>26</v>
      </c>
      <c r="F426" s="32" t="str">
        <f t="shared" si="33"/>
        <v>ELECTROLYSIS SYSTEM ELECTROLYSIS ARRAY 1 ELECTROLYZER SYSTEM MODULE GROUP 2 HEAT EXCHANGING SYSTEMS HEAT EXCHANGING SYSTEM 1 COOLING WATER - CONTROL VALVE GROUP FAULT ALARM</v>
      </c>
      <c r="G426" s="29" t="s">
        <v>1614</v>
      </c>
      <c r="H426" s="29" t="s">
        <v>1615</v>
      </c>
      <c r="I426" s="29" t="str">
        <f t="shared" si="34"/>
        <v>01</v>
      </c>
      <c r="J426" s="29" t="s">
        <v>1616</v>
      </c>
      <c r="K426" s="29" t="s">
        <v>1976</v>
      </c>
      <c r="L426" s="29" t="s">
        <v>1977</v>
      </c>
      <c r="M426" s="29" t="s">
        <v>1905</v>
      </c>
      <c r="N426" s="29" t="s">
        <v>2089</v>
      </c>
      <c r="O426" s="29" t="s">
        <v>1894</v>
      </c>
      <c r="P426" s="29" t="s">
        <v>1979</v>
      </c>
      <c r="Q426" s="29" t="s">
        <v>1623</v>
      </c>
      <c r="R426" s="29" t="s">
        <v>1980</v>
      </c>
      <c r="S426" s="29" t="s">
        <v>1800</v>
      </c>
      <c r="T426" s="29" t="s">
        <v>2014</v>
      </c>
      <c r="U426" s="29" t="s">
        <v>1033</v>
      </c>
      <c r="V426" s="29" t="s">
        <v>1288</v>
      </c>
      <c r="W426" s="35" t="s">
        <v>1628</v>
      </c>
      <c r="X426" s="35" t="s">
        <v>2090</v>
      </c>
      <c r="Y426" s="35" t="s">
        <v>1898</v>
      </c>
      <c r="Z426" s="35" t="s">
        <v>1802</v>
      </c>
      <c r="AA426" s="35" t="s">
        <v>2633</v>
      </c>
      <c r="AB426" s="29" t="s">
        <v>2015</v>
      </c>
      <c r="AC426" s="35" t="s">
        <v>1633</v>
      </c>
      <c r="AD426" s="35" t="s">
        <v>1634</v>
      </c>
      <c r="AE426" s="35" t="s">
        <v>1634</v>
      </c>
      <c r="AF426" s="35" t="s">
        <v>1635</v>
      </c>
      <c r="AG426" s="35" t="s">
        <v>2634</v>
      </c>
      <c r="AI426" s="35"/>
      <c r="AJ426" s="35" t="s">
        <v>1637</v>
      </c>
      <c r="AK426" s="35" t="s">
        <v>1672</v>
      </c>
      <c r="AL426" s="29" t="s">
        <v>2606</v>
      </c>
      <c r="AM426" s="35"/>
      <c r="AN426" s="35"/>
      <c r="AO426" s="35"/>
      <c r="AP426" s="35"/>
      <c r="AQ426" s="35"/>
      <c r="AS426" s="35"/>
      <c r="AU426" s="35"/>
      <c r="AW426" s="35"/>
      <c r="AY426" s="35"/>
      <c r="AZ426" s="35"/>
      <c r="BA426" s="35"/>
      <c r="BB426" s="29" t="s">
        <v>2091</v>
      </c>
      <c r="BC426" s="29" t="s">
        <v>1900</v>
      </c>
      <c r="BD426" s="29" t="s">
        <v>2635</v>
      </c>
      <c r="BE426" s="29" t="s">
        <v>1805</v>
      </c>
      <c r="BF426" s="29" t="s">
        <v>2388</v>
      </c>
      <c r="BG426" s="29" t="s">
        <v>2105</v>
      </c>
      <c r="BH426" s="29" t="s">
        <v>2093</v>
      </c>
      <c r="BI426" s="35"/>
      <c r="BJ426" s="35"/>
      <c r="BK426" s="29" t="str" cm="1">
        <f t="array" ref="BK426">_xlfn.UNIQUE(MID(BB426,16,14))</f>
        <v>U012UNA01UH121</v>
      </c>
    </row>
    <row r="427" spans="1:63" x14ac:dyDescent="0.3">
      <c r="A427" s="29" t="s">
        <v>2126</v>
      </c>
      <c r="B427" s="36" t="str">
        <f t="shared" si="30"/>
        <v>G01NHB02KF001-FC02</v>
      </c>
      <c r="C427" s="33" t="s">
        <v>3265</v>
      </c>
      <c r="D427" s="34" t="str">
        <f t="shared" si="31"/>
        <v>ELY1 GRP2 CTRL U1 24V MON2 AL/FLT CODE</v>
      </c>
      <c r="E427" s="31">
        <f t="shared" si="32"/>
        <v>38</v>
      </c>
      <c r="F427" s="32" t="str">
        <f t="shared" si="33"/>
        <v>ELECTROLYSIS SYSTEM ELECTROLYSIS ARRAY 1 ELECTROLYZER SYSTEM MODULE GROUP 2 CONTROL UNITS CELL VOLTAGE MEASUREMENT SITOP SEL1200 SELECTIVITY MODULE 8-CHANNEL VOLTAGE SUPPLY FAIL 8X 24VDC</v>
      </c>
      <c r="G427" s="29" t="s">
        <v>1614</v>
      </c>
      <c r="H427" s="29" t="s">
        <v>1615</v>
      </c>
      <c r="I427" s="29" t="str">
        <f t="shared" si="34"/>
        <v>01</v>
      </c>
      <c r="J427" s="29" t="s">
        <v>1616</v>
      </c>
      <c r="K427" s="29" t="s">
        <v>1976</v>
      </c>
      <c r="L427" s="29" t="s">
        <v>1977</v>
      </c>
      <c r="M427" s="29" t="s">
        <v>1905</v>
      </c>
      <c r="N427" s="29" t="s">
        <v>2089</v>
      </c>
      <c r="O427" s="29" t="s">
        <v>1771</v>
      </c>
      <c r="P427" s="29" t="s">
        <v>2055</v>
      </c>
      <c r="Q427" s="29" t="s">
        <v>1623</v>
      </c>
      <c r="R427" s="29" t="s">
        <v>2056</v>
      </c>
      <c r="S427" s="29" t="s">
        <v>2754</v>
      </c>
      <c r="T427" s="29" t="s">
        <v>3254</v>
      </c>
      <c r="U427" s="29" t="s">
        <v>1360</v>
      </c>
      <c r="V427" s="29" t="s">
        <v>3255</v>
      </c>
      <c r="W427" s="35" t="s">
        <v>1628</v>
      </c>
      <c r="X427" s="35" t="s">
        <v>2090</v>
      </c>
      <c r="Y427" s="35" t="s">
        <v>1775</v>
      </c>
      <c r="Z427" s="35" t="s">
        <v>2755</v>
      </c>
      <c r="AA427" s="35" t="s">
        <v>2670</v>
      </c>
      <c r="AB427" s="29" t="s">
        <v>2653</v>
      </c>
      <c r="AC427" s="35" t="s">
        <v>1633</v>
      </c>
      <c r="AD427" s="35" t="s">
        <v>1634</v>
      </c>
      <c r="AE427" s="35" t="s">
        <v>1634</v>
      </c>
      <c r="AF427" s="35" t="s">
        <v>1635</v>
      </c>
      <c r="AG427" s="35" t="s">
        <v>2660</v>
      </c>
      <c r="AI427" s="35"/>
      <c r="AJ427" s="35" t="s">
        <v>1637</v>
      </c>
      <c r="AK427" s="35" t="s">
        <v>1672</v>
      </c>
      <c r="AL427" s="29" t="s">
        <v>2715</v>
      </c>
      <c r="AM427" s="35"/>
      <c r="AN427" s="35"/>
      <c r="AO427" s="35"/>
      <c r="AP427" s="35"/>
      <c r="AQ427" s="35"/>
      <c r="AS427" s="35"/>
      <c r="AU427" s="35"/>
      <c r="AW427" s="35"/>
      <c r="AY427" s="35"/>
      <c r="AZ427" s="35"/>
      <c r="BA427" s="35"/>
      <c r="BB427" s="29" t="s">
        <v>1643</v>
      </c>
      <c r="BC427" s="29" t="s">
        <v>2347</v>
      </c>
      <c r="BD427" s="29" t="s">
        <v>2671</v>
      </c>
      <c r="BE427" s="29" t="s">
        <v>1805</v>
      </c>
      <c r="BF427" s="29" t="s">
        <v>1919</v>
      </c>
      <c r="BG427" s="29" t="s">
        <v>3266</v>
      </c>
      <c r="BI427" s="35"/>
      <c r="BJ427" s="35"/>
      <c r="BK427" s="29" t="str" cm="1">
        <f t="array" ref="BK427">_xlfn.UNIQUE(MID(BB427,16,14))</f>
        <v>U012UNA01UH100</v>
      </c>
    </row>
    <row r="428" spans="1:63" x14ac:dyDescent="0.3">
      <c r="A428" s="29" t="s">
        <v>2126</v>
      </c>
      <c r="B428" s="36" t="str">
        <f t="shared" si="30"/>
        <v>G01NHB02KF001-TB01</v>
      </c>
      <c r="C428" s="33" t="s">
        <v>3267</v>
      </c>
      <c r="D428" s="34" t="str">
        <f t="shared" si="31"/>
        <v>ELY1 GRP2 CTRL U1 24VDC MON1 AL/FLT CODE</v>
      </c>
      <c r="E428" s="31">
        <f t="shared" si="32"/>
        <v>40</v>
      </c>
      <c r="F428" s="32" t="str">
        <f t="shared" si="33"/>
        <v>ELECTROLYSIS SYSTEM ELECTROLYSIS ARRAY 1 ELECTROLYZER SYSTEM MODULE GROUP 2 CONTROL UNITS CELL VOLTAGE MEASUREMENT SITOP PSU6200 24 V/20 A VOLTAGE SUPPLY FAIL 230/24V DC</v>
      </c>
      <c r="G428" s="29" t="s">
        <v>1614</v>
      </c>
      <c r="H428" s="29" t="s">
        <v>1615</v>
      </c>
      <c r="I428" s="29" t="str">
        <f t="shared" si="34"/>
        <v>01</v>
      </c>
      <c r="J428" s="29" t="s">
        <v>1616</v>
      </c>
      <c r="K428" s="29" t="s">
        <v>1976</v>
      </c>
      <c r="L428" s="29" t="s">
        <v>1977</v>
      </c>
      <c r="M428" s="29" t="s">
        <v>1905</v>
      </c>
      <c r="N428" s="29" t="s">
        <v>2089</v>
      </c>
      <c r="O428" s="29" t="s">
        <v>1771</v>
      </c>
      <c r="P428" s="29" t="s">
        <v>2055</v>
      </c>
      <c r="Q428" s="29" t="s">
        <v>1623</v>
      </c>
      <c r="R428" s="29" t="s">
        <v>2056</v>
      </c>
      <c r="S428" s="29" t="s">
        <v>2870</v>
      </c>
      <c r="T428" s="29" t="s">
        <v>2871</v>
      </c>
      <c r="U428" s="29" t="s">
        <v>1360</v>
      </c>
      <c r="V428" s="29" t="s">
        <v>3258</v>
      </c>
      <c r="W428" s="35" t="s">
        <v>1628</v>
      </c>
      <c r="X428" s="35" t="s">
        <v>2090</v>
      </c>
      <c r="Y428" s="35" t="s">
        <v>1775</v>
      </c>
      <c r="Z428" s="35" t="s">
        <v>2872</v>
      </c>
      <c r="AA428" s="35" t="s">
        <v>2670</v>
      </c>
      <c r="AB428" s="29" t="s">
        <v>2653</v>
      </c>
      <c r="AC428" s="35" t="s">
        <v>1633</v>
      </c>
      <c r="AD428" s="35" t="s">
        <v>1634</v>
      </c>
      <c r="AE428" s="35" t="s">
        <v>1634</v>
      </c>
      <c r="AF428" s="35" t="s">
        <v>1635</v>
      </c>
      <c r="AG428" s="35" t="s">
        <v>1670</v>
      </c>
      <c r="AI428" s="35"/>
      <c r="AJ428" s="35" t="s">
        <v>1637</v>
      </c>
      <c r="AK428" s="35" t="s">
        <v>1672</v>
      </c>
      <c r="AL428" s="29" t="s">
        <v>2715</v>
      </c>
      <c r="AM428" s="35"/>
      <c r="AN428" s="35"/>
      <c r="AO428" s="35"/>
      <c r="AP428" s="35"/>
      <c r="AQ428" s="35"/>
      <c r="AS428" s="35"/>
      <c r="AU428" s="35"/>
      <c r="AW428" s="35"/>
      <c r="AY428" s="35"/>
      <c r="AZ428" s="35"/>
      <c r="BA428" s="35"/>
      <c r="BB428" s="29" t="s">
        <v>1643</v>
      </c>
      <c r="BC428" s="29" t="s">
        <v>2347</v>
      </c>
      <c r="BD428" s="29" t="s">
        <v>2671</v>
      </c>
      <c r="BE428" s="29" t="s">
        <v>1805</v>
      </c>
      <c r="BF428" s="29" t="s">
        <v>1922</v>
      </c>
      <c r="BG428" s="29" t="s">
        <v>3268</v>
      </c>
      <c r="BI428" s="35"/>
      <c r="BJ428" s="35"/>
      <c r="BK428" s="29" t="str" cm="1">
        <f t="array" ref="BK428">_xlfn.UNIQUE(MID(BB428,16,14))</f>
        <v>U012UNA01UH100</v>
      </c>
    </row>
    <row r="429" spans="1:63" x14ac:dyDescent="0.3">
      <c r="A429" s="29" t="s">
        <v>3269</v>
      </c>
      <c r="B429" s="36" t="str">
        <f t="shared" si="30"/>
        <v>G01NHB02KF002-FC01</v>
      </c>
      <c r="C429" s="33" t="s">
        <v>3270</v>
      </c>
      <c r="D429" s="34" t="str">
        <f t="shared" si="31"/>
        <v>ELY1 GRP2 CTRL U2 24V MON1 AL/FLT CODE</v>
      </c>
      <c r="E429" s="31">
        <f t="shared" si="32"/>
        <v>38</v>
      </c>
      <c r="F429" s="32" t="str">
        <f t="shared" si="33"/>
        <v>ELECTROLYSIS SYSTEM ELECTROLYSIS ARRAY 1 ELECTROLYZER SYSTEM MODULE GROUP 2 CONTROL UNITS MODULE GROUP CONTROL UNIT SITOP SEL1200 SELECTIVITY MODULE 8-CHANNEL VOLTAGE SUPPLY FAIL 8X 24VDC</v>
      </c>
      <c r="G429" s="29" t="s">
        <v>1614</v>
      </c>
      <c r="H429" s="29" t="s">
        <v>1615</v>
      </c>
      <c r="I429" s="29" t="str">
        <f t="shared" si="34"/>
        <v>01</v>
      </c>
      <c r="J429" s="29" t="s">
        <v>1616</v>
      </c>
      <c r="K429" s="29" t="s">
        <v>1976</v>
      </c>
      <c r="L429" s="29" t="s">
        <v>1977</v>
      </c>
      <c r="M429" s="29" t="s">
        <v>1905</v>
      </c>
      <c r="N429" s="29" t="s">
        <v>2089</v>
      </c>
      <c r="O429" s="29" t="s">
        <v>1771</v>
      </c>
      <c r="P429" s="29" t="s">
        <v>2055</v>
      </c>
      <c r="Q429" s="29" t="s">
        <v>1872</v>
      </c>
      <c r="R429" s="29" t="s">
        <v>3262</v>
      </c>
      <c r="S429" s="29" t="s">
        <v>2657</v>
      </c>
      <c r="T429" s="29" t="s">
        <v>3254</v>
      </c>
      <c r="U429" s="29" t="s">
        <v>1360</v>
      </c>
      <c r="V429" s="29" t="s">
        <v>3255</v>
      </c>
      <c r="W429" s="35" t="s">
        <v>1628</v>
      </c>
      <c r="X429" s="35" t="s">
        <v>2090</v>
      </c>
      <c r="Y429" s="35" t="s">
        <v>2881</v>
      </c>
      <c r="Z429" s="35" t="s">
        <v>2659</v>
      </c>
      <c r="AA429" s="35" t="s">
        <v>2670</v>
      </c>
      <c r="AB429" s="29" t="s">
        <v>2653</v>
      </c>
      <c r="AC429" s="35" t="s">
        <v>1633</v>
      </c>
      <c r="AD429" s="35" t="s">
        <v>1634</v>
      </c>
      <c r="AE429" s="35" t="s">
        <v>1634</v>
      </c>
      <c r="AF429" s="35" t="s">
        <v>1635</v>
      </c>
      <c r="AG429" s="35" t="s">
        <v>2660</v>
      </c>
      <c r="AI429" s="35"/>
      <c r="AJ429" s="35" t="s">
        <v>1637</v>
      </c>
      <c r="AK429" s="35" t="s">
        <v>1672</v>
      </c>
      <c r="AL429" s="29" t="s">
        <v>2715</v>
      </c>
      <c r="AM429" s="35"/>
      <c r="AN429" s="35"/>
      <c r="AO429" s="35"/>
      <c r="AP429" s="35"/>
      <c r="AQ429" s="35"/>
      <c r="AS429" s="35"/>
      <c r="AU429" s="35"/>
      <c r="AW429" s="35"/>
      <c r="AY429" s="35"/>
      <c r="AZ429" s="35"/>
      <c r="BA429" s="35"/>
      <c r="BB429" s="29" t="s">
        <v>1643</v>
      </c>
      <c r="BC429" s="29" t="s">
        <v>2347</v>
      </c>
      <c r="BD429" s="29" t="s">
        <v>2671</v>
      </c>
      <c r="BE429" s="29" t="s">
        <v>1805</v>
      </c>
      <c r="BF429" s="29" t="s">
        <v>1915</v>
      </c>
      <c r="BG429" s="29" t="s">
        <v>3271</v>
      </c>
      <c r="BI429" s="35"/>
      <c r="BJ429" s="35"/>
      <c r="BK429" s="29" t="str" cm="1">
        <f t="array" ref="BK429">_xlfn.UNIQUE(MID(BB429,16,14))</f>
        <v>U012UNA01UH100</v>
      </c>
    </row>
    <row r="430" spans="1:63" x14ac:dyDescent="0.3">
      <c r="A430" s="29" t="s">
        <v>2134</v>
      </c>
      <c r="B430" s="36" t="str">
        <f t="shared" si="30"/>
        <v>G01NHB03EQ001-QN01</v>
      </c>
      <c r="C430" s="33" t="s">
        <v>3272</v>
      </c>
      <c r="D430" s="34" t="str">
        <f t="shared" si="31"/>
        <v>ELY1 GRP3 COOL CV1 GRP FLT</v>
      </c>
      <c r="E430" s="31">
        <f t="shared" si="32"/>
        <v>26</v>
      </c>
      <c r="F430" s="32" t="str">
        <f t="shared" si="33"/>
        <v>ELECTROLYSIS SYSTEM ELECTROLYSIS ARRAY 1 ELECTROLYZER SYSTEM MODULE GROUP 3 HEAT EXCHANGING SYSTEMS HEAT EXCHANGING SYSTEM 1 COOLING WATER - CONTROL VALVE GROUP FAULT ALARM</v>
      </c>
      <c r="G430" s="29" t="s">
        <v>1614</v>
      </c>
      <c r="H430" s="29" t="s">
        <v>1615</v>
      </c>
      <c r="I430" s="29" t="str">
        <f t="shared" si="34"/>
        <v>01</v>
      </c>
      <c r="J430" s="29" t="s">
        <v>1616</v>
      </c>
      <c r="K430" s="29" t="s">
        <v>1976</v>
      </c>
      <c r="L430" s="29" t="s">
        <v>1977</v>
      </c>
      <c r="M430" s="29" t="s">
        <v>1909</v>
      </c>
      <c r="N430" s="29" t="s">
        <v>2136</v>
      </c>
      <c r="O430" s="29" t="s">
        <v>1894</v>
      </c>
      <c r="P430" s="29" t="s">
        <v>1979</v>
      </c>
      <c r="Q430" s="29" t="s">
        <v>1623</v>
      </c>
      <c r="R430" s="29" t="s">
        <v>1980</v>
      </c>
      <c r="S430" s="29" t="s">
        <v>1800</v>
      </c>
      <c r="T430" s="29" t="s">
        <v>2014</v>
      </c>
      <c r="U430" s="29" t="s">
        <v>1033</v>
      </c>
      <c r="V430" s="29" t="s">
        <v>1288</v>
      </c>
      <c r="W430" s="35" t="s">
        <v>1628</v>
      </c>
      <c r="X430" s="35" t="s">
        <v>2137</v>
      </c>
      <c r="Y430" s="35" t="s">
        <v>1898</v>
      </c>
      <c r="Z430" s="35" t="s">
        <v>1802</v>
      </c>
      <c r="AA430" s="35" t="s">
        <v>2633</v>
      </c>
      <c r="AB430" s="29" t="s">
        <v>2015</v>
      </c>
      <c r="AC430" s="35" t="s">
        <v>1633</v>
      </c>
      <c r="AD430" s="35" t="s">
        <v>1634</v>
      </c>
      <c r="AE430" s="35" t="s">
        <v>1634</v>
      </c>
      <c r="AF430" s="35" t="s">
        <v>1635</v>
      </c>
      <c r="AG430" s="35" t="s">
        <v>2634</v>
      </c>
      <c r="AI430" s="35"/>
      <c r="AJ430" s="35" t="s">
        <v>1637</v>
      </c>
      <c r="AK430" s="35" t="s">
        <v>1672</v>
      </c>
      <c r="AL430" s="29" t="s">
        <v>2606</v>
      </c>
      <c r="AM430" s="35"/>
      <c r="AN430" s="35"/>
      <c r="AO430" s="35"/>
      <c r="AP430" s="35"/>
      <c r="AQ430" s="35"/>
      <c r="AS430" s="35"/>
      <c r="AU430" s="35"/>
      <c r="AW430" s="35"/>
      <c r="AY430" s="35"/>
      <c r="AZ430" s="35"/>
      <c r="BA430" s="35"/>
      <c r="BB430" s="29" t="s">
        <v>2138</v>
      </c>
      <c r="BC430" s="29" t="s">
        <v>1900</v>
      </c>
      <c r="BD430" s="29" t="s">
        <v>2635</v>
      </c>
      <c r="BE430" s="29" t="s">
        <v>1805</v>
      </c>
      <c r="BF430" s="29" t="s">
        <v>2388</v>
      </c>
      <c r="BG430" s="29" t="s">
        <v>2152</v>
      </c>
      <c r="BH430" s="29" t="s">
        <v>2140</v>
      </c>
      <c r="BI430" s="35"/>
      <c r="BJ430" s="35"/>
      <c r="BK430" s="29" t="str" cm="1">
        <f t="array" ref="BK430">_xlfn.UNIQUE(MID(BB430,16,14))</f>
        <v>U012UNA01UH131</v>
      </c>
    </row>
    <row r="431" spans="1:63" x14ac:dyDescent="0.3">
      <c r="A431" s="29" t="s">
        <v>2173</v>
      </c>
      <c r="B431" s="36" t="str">
        <f t="shared" si="30"/>
        <v>G01NHB03KF001-FC02</v>
      </c>
      <c r="C431" s="33" t="s">
        <v>3273</v>
      </c>
      <c r="D431" s="34" t="str">
        <f t="shared" si="31"/>
        <v>ELY1 GRP3 CTRL U1 24V MON2 AL/FLT CODE</v>
      </c>
      <c r="E431" s="31">
        <f t="shared" si="32"/>
        <v>38</v>
      </c>
      <c r="F431" s="32" t="str">
        <f t="shared" si="33"/>
        <v>ELECTROLYSIS SYSTEM ELECTROLYSIS ARRAY 1 ELECTROLYZER SYSTEM MODULE GROUP 3 CONTROL UNITS CELL VOLTAGE MEASUREMENT SITOP SEL1200 SELECTIVITY MODULE 8-CHANNEL VOLTAGE SUPPLY FAIL 8X 24VDC</v>
      </c>
      <c r="G431" s="29" t="s">
        <v>1614</v>
      </c>
      <c r="H431" s="29" t="s">
        <v>1615</v>
      </c>
      <c r="I431" s="29" t="str">
        <f t="shared" si="34"/>
        <v>01</v>
      </c>
      <c r="J431" s="29" t="s">
        <v>1616</v>
      </c>
      <c r="K431" s="29" t="s">
        <v>1976</v>
      </c>
      <c r="L431" s="29" t="s">
        <v>1977</v>
      </c>
      <c r="M431" s="29" t="s">
        <v>1909</v>
      </c>
      <c r="N431" s="29" t="s">
        <v>2136</v>
      </c>
      <c r="O431" s="29" t="s">
        <v>1771</v>
      </c>
      <c r="P431" s="29" t="s">
        <v>2055</v>
      </c>
      <c r="Q431" s="29" t="s">
        <v>1623</v>
      </c>
      <c r="R431" s="29" t="s">
        <v>2056</v>
      </c>
      <c r="S431" s="29" t="s">
        <v>2754</v>
      </c>
      <c r="T431" s="29" t="s">
        <v>3254</v>
      </c>
      <c r="U431" s="29" t="s">
        <v>1360</v>
      </c>
      <c r="V431" s="29" t="s">
        <v>3255</v>
      </c>
      <c r="W431" s="35" t="s">
        <v>1628</v>
      </c>
      <c r="X431" s="35" t="s">
        <v>2137</v>
      </c>
      <c r="Y431" s="35" t="s">
        <v>1775</v>
      </c>
      <c r="Z431" s="35" t="s">
        <v>2755</v>
      </c>
      <c r="AA431" s="35" t="s">
        <v>2670</v>
      </c>
      <c r="AB431" s="29" t="s">
        <v>2653</v>
      </c>
      <c r="AC431" s="35" t="s">
        <v>1633</v>
      </c>
      <c r="AD431" s="35" t="s">
        <v>1634</v>
      </c>
      <c r="AE431" s="35" t="s">
        <v>1634</v>
      </c>
      <c r="AF431" s="35" t="s">
        <v>1635</v>
      </c>
      <c r="AG431" s="35" t="s">
        <v>2660</v>
      </c>
      <c r="AI431" s="35"/>
      <c r="AJ431" s="35" t="s">
        <v>1637</v>
      </c>
      <c r="AK431" s="35" t="s">
        <v>1672</v>
      </c>
      <c r="AL431" s="29" t="s">
        <v>2715</v>
      </c>
      <c r="AM431" s="35"/>
      <c r="AN431" s="35"/>
      <c r="AO431" s="35"/>
      <c r="AP431" s="35"/>
      <c r="AQ431" s="35"/>
      <c r="AS431" s="35"/>
      <c r="AU431" s="35"/>
      <c r="AW431" s="35"/>
      <c r="AY431" s="35"/>
      <c r="AZ431" s="35"/>
      <c r="BA431" s="35"/>
      <c r="BB431" s="29" t="s">
        <v>1643</v>
      </c>
      <c r="BC431" s="29" t="s">
        <v>2347</v>
      </c>
      <c r="BD431" s="29" t="s">
        <v>2671</v>
      </c>
      <c r="BE431" s="29" t="s">
        <v>1805</v>
      </c>
      <c r="BF431" s="29" t="s">
        <v>1936</v>
      </c>
      <c r="BG431" s="29" t="s">
        <v>3274</v>
      </c>
      <c r="BI431" s="35"/>
      <c r="BJ431" s="35"/>
      <c r="BK431" s="29" t="str" cm="1">
        <f t="array" ref="BK431">_xlfn.UNIQUE(MID(BB431,16,14))</f>
        <v>U012UNA01UH100</v>
      </c>
    </row>
    <row r="432" spans="1:63" x14ac:dyDescent="0.3">
      <c r="A432" s="29" t="s">
        <v>2173</v>
      </c>
      <c r="B432" s="36" t="str">
        <f t="shared" si="30"/>
        <v>G01NHB03KF001-TB01</v>
      </c>
      <c r="C432" s="33" t="s">
        <v>3275</v>
      </c>
      <c r="D432" s="34" t="str">
        <f t="shared" si="31"/>
        <v>ELY1 GRP3 CTRL U1 24VDC MON1 AL/FLT CODE</v>
      </c>
      <c r="E432" s="31">
        <f t="shared" si="32"/>
        <v>40</v>
      </c>
      <c r="F432" s="32" t="str">
        <f t="shared" si="33"/>
        <v>ELECTROLYSIS SYSTEM ELECTROLYSIS ARRAY 1 ELECTROLYZER SYSTEM MODULE GROUP 3 CONTROL UNITS CELL VOLTAGE MEASUREMENT SITOP PSU6200 24 V/20 A VOLTAGE SUPPLY FAIL 230/24V DC</v>
      </c>
      <c r="G432" s="29" t="s">
        <v>1614</v>
      </c>
      <c r="H432" s="29" t="s">
        <v>1615</v>
      </c>
      <c r="I432" s="29" t="str">
        <f t="shared" si="34"/>
        <v>01</v>
      </c>
      <c r="J432" s="29" t="s">
        <v>1616</v>
      </c>
      <c r="K432" s="29" t="s">
        <v>1976</v>
      </c>
      <c r="L432" s="29" t="s">
        <v>1977</v>
      </c>
      <c r="M432" s="29" t="s">
        <v>1909</v>
      </c>
      <c r="N432" s="29" t="s">
        <v>2136</v>
      </c>
      <c r="O432" s="29" t="s">
        <v>1771</v>
      </c>
      <c r="P432" s="29" t="s">
        <v>2055</v>
      </c>
      <c r="Q432" s="29" t="s">
        <v>1623</v>
      </c>
      <c r="R432" s="29" t="s">
        <v>2056</v>
      </c>
      <c r="S432" s="29" t="s">
        <v>2870</v>
      </c>
      <c r="T432" s="29" t="s">
        <v>2871</v>
      </c>
      <c r="U432" s="29" t="s">
        <v>1360</v>
      </c>
      <c r="V432" s="29" t="s">
        <v>3258</v>
      </c>
      <c r="W432" s="35" t="s">
        <v>1628</v>
      </c>
      <c r="X432" s="35" t="s">
        <v>2137</v>
      </c>
      <c r="Y432" s="35" t="s">
        <v>1775</v>
      </c>
      <c r="Z432" s="35" t="s">
        <v>2872</v>
      </c>
      <c r="AA432" s="35" t="s">
        <v>2670</v>
      </c>
      <c r="AB432" s="29" t="s">
        <v>2653</v>
      </c>
      <c r="AC432" s="35" t="s">
        <v>1633</v>
      </c>
      <c r="AD432" s="35" t="s">
        <v>1634</v>
      </c>
      <c r="AE432" s="35" t="s">
        <v>1634</v>
      </c>
      <c r="AF432" s="35" t="s">
        <v>1635</v>
      </c>
      <c r="AG432" s="35" t="s">
        <v>1670</v>
      </c>
      <c r="AI432" s="35"/>
      <c r="AJ432" s="35" t="s">
        <v>1637</v>
      </c>
      <c r="AK432" s="35" t="s">
        <v>1672</v>
      </c>
      <c r="AL432" s="29" t="s">
        <v>2715</v>
      </c>
      <c r="AM432" s="35"/>
      <c r="AN432" s="35"/>
      <c r="AO432" s="35"/>
      <c r="AP432" s="35"/>
      <c r="AQ432" s="35"/>
      <c r="AS432" s="35"/>
      <c r="AU432" s="35"/>
      <c r="AW432" s="35"/>
      <c r="AY432" s="35"/>
      <c r="AZ432" s="35"/>
      <c r="BA432" s="35"/>
      <c r="BB432" s="29" t="s">
        <v>1643</v>
      </c>
      <c r="BC432" s="29" t="s">
        <v>2347</v>
      </c>
      <c r="BD432" s="29" t="s">
        <v>2671</v>
      </c>
      <c r="BE432" s="29" t="s">
        <v>1805</v>
      </c>
      <c r="BF432" s="29" t="s">
        <v>2035</v>
      </c>
      <c r="BG432" s="29" t="s">
        <v>3276</v>
      </c>
      <c r="BI432" s="35"/>
      <c r="BJ432" s="35"/>
      <c r="BK432" s="29" t="str" cm="1">
        <f t="array" ref="BK432">_xlfn.UNIQUE(MID(BB432,16,14))</f>
        <v>U012UNA01UH100</v>
      </c>
    </row>
    <row r="433" spans="1:63" x14ac:dyDescent="0.3">
      <c r="A433" s="29" t="s">
        <v>3277</v>
      </c>
      <c r="B433" s="36" t="str">
        <f t="shared" si="30"/>
        <v>G01NHB03KF002-FC01</v>
      </c>
      <c r="C433" s="33" t="s">
        <v>3278</v>
      </c>
      <c r="D433" s="34" t="str">
        <f t="shared" si="31"/>
        <v>ELY1 GRP3 CTRL U2 24V MON1 AL/FLT CODE</v>
      </c>
      <c r="E433" s="31">
        <f t="shared" si="32"/>
        <v>38</v>
      </c>
      <c r="F433" s="32" t="str">
        <f t="shared" si="33"/>
        <v>ELECTROLYSIS SYSTEM ELECTROLYSIS ARRAY 1 ELECTROLYZER SYSTEM MODULE GROUP 3 CONTROL UNITS MODULE GROUP CONTROL UNIT SITOP SEL1200 SELECTIVITY MODULE 8-CHANNEL VOLTAGE SUPPLY FAIL 8X 24VDC</v>
      </c>
      <c r="G433" s="29" t="s">
        <v>1614</v>
      </c>
      <c r="H433" s="29" t="s">
        <v>1615</v>
      </c>
      <c r="I433" s="29" t="str">
        <f t="shared" si="34"/>
        <v>01</v>
      </c>
      <c r="J433" s="29" t="s">
        <v>1616</v>
      </c>
      <c r="K433" s="29" t="s">
        <v>1976</v>
      </c>
      <c r="L433" s="29" t="s">
        <v>1977</v>
      </c>
      <c r="M433" s="29" t="s">
        <v>1909</v>
      </c>
      <c r="N433" s="29" t="s">
        <v>2136</v>
      </c>
      <c r="O433" s="29" t="s">
        <v>1771</v>
      </c>
      <c r="P433" s="29" t="s">
        <v>2055</v>
      </c>
      <c r="Q433" s="29" t="s">
        <v>1872</v>
      </c>
      <c r="R433" s="29" t="s">
        <v>3262</v>
      </c>
      <c r="S433" s="29" t="s">
        <v>2657</v>
      </c>
      <c r="T433" s="29" t="s">
        <v>3254</v>
      </c>
      <c r="U433" s="29" t="s">
        <v>1360</v>
      </c>
      <c r="V433" s="29" t="s">
        <v>3255</v>
      </c>
      <c r="W433" s="35" t="s">
        <v>1628</v>
      </c>
      <c r="X433" s="35" t="s">
        <v>2137</v>
      </c>
      <c r="Y433" s="35" t="s">
        <v>2881</v>
      </c>
      <c r="Z433" s="35" t="s">
        <v>2659</v>
      </c>
      <c r="AA433" s="35" t="s">
        <v>2670</v>
      </c>
      <c r="AB433" s="29" t="s">
        <v>2653</v>
      </c>
      <c r="AC433" s="35" t="s">
        <v>1633</v>
      </c>
      <c r="AD433" s="35" t="s">
        <v>1634</v>
      </c>
      <c r="AE433" s="35" t="s">
        <v>1634</v>
      </c>
      <c r="AF433" s="35" t="s">
        <v>1635</v>
      </c>
      <c r="AG433" s="35" t="s">
        <v>2660</v>
      </c>
      <c r="AI433" s="35"/>
      <c r="AJ433" s="35" t="s">
        <v>1637</v>
      </c>
      <c r="AK433" s="35" t="s">
        <v>1672</v>
      </c>
      <c r="AL433" s="29" t="s">
        <v>2715</v>
      </c>
      <c r="AM433" s="35"/>
      <c r="AN433" s="35"/>
      <c r="AO433" s="35"/>
      <c r="AP433" s="35"/>
      <c r="AQ433" s="35"/>
      <c r="AS433" s="35"/>
      <c r="AU433" s="35"/>
      <c r="AW433" s="35"/>
      <c r="AY433" s="35"/>
      <c r="AZ433" s="35"/>
      <c r="BA433" s="35"/>
      <c r="BB433" s="29" t="s">
        <v>1643</v>
      </c>
      <c r="BC433" s="29" t="s">
        <v>2347</v>
      </c>
      <c r="BD433" s="29" t="s">
        <v>2671</v>
      </c>
      <c r="BE433" s="29" t="s">
        <v>1805</v>
      </c>
      <c r="BF433" s="29" t="s">
        <v>1931</v>
      </c>
      <c r="BG433" s="29" t="s">
        <v>3279</v>
      </c>
      <c r="BI433" s="35"/>
      <c r="BJ433" s="35"/>
      <c r="BK433" s="29" t="str" cm="1">
        <f t="array" ref="BK433">_xlfn.UNIQUE(MID(BB433,16,14))</f>
        <v>U012UNA01UH100</v>
      </c>
    </row>
    <row r="434" spans="1:63" x14ac:dyDescent="0.3">
      <c r="A434" s="29" t="s">
        <v>2181</v>
      </c>
      <c r="B434" s="36" t="str">
        <f t="shared" si="30"/>
        <v>G01NHB04EQ001-QN01</v>
      </c>
      <c r="C434" s="33" t="s">
        <v>3280</v>
      </c>
      <c r="D434" s="34" t="str">
        <f t="shared" si="31"/>
        <v>ELY1 GRP4 COOL CV1 GRP FLT</v>
      </c>
      <c r="E434" s="31">
        <f t="shared" si="32"/>
        <v>26</v>
      </c>
      <c r="F434" s="32" t="str">
        <f t="shared" si="33"/>
        <v>ELECTROLYSIS SYSTEM ELECTROLYSIS ARRAY 1 ELECTROLYZER SYSTEM MODULE GROUP 4 HEAT EXCHANGING SYSTEMS HEAT EXCHANGING SYSTEM 1 COOLING WATER - CONTROL VALVE GROUP FAULT ALARM</v>
      </c>
      <c r="G434" s="29" t="s">
        <v>1614</v>
      </c>
      <c r="H434" s="29" t="s">
        <v>1615</v>
      </c>
      <c r="I434" s="29" t="str">
        <f t="shared" si="34"/>
        <v>01</v>
      </c>
      <c r="J434" s="29" t="s">
        <v>1616</v>
      </c>
      <c r="K434" s="29" t="s">
        <v>1976</v>
      </c>
      <c r="L434" s="29" t="s">
        <v>1977</v>
      </c>
      <c r="M434" s="29" t="s">
        <v>1915</v>
      </c>
      <c r="N434" s="29" t="s">
        <v>2183</v>
      </c>
      <c r="O434" s="29" t="s">
        <v>1894</v>
      </c>
      <c r="P434" s="29" t="s">
        <v>1979</v>
      </c>
      <c r="Q434" s="29" t="s">
        <v>1623</v>
      </c>
      <c r="R434" s="29" t="s">
        <v>1980</v>
      </c>
      <c r="S434" s="29" t="s">
        <v>1800</v>
      </c>
      <c r="T434" s="29" t="s">
        <v>2014</v>
      </c>
      <c r="U434" s="29" t="s">
        <v>1033</v>
      </c>
      <c r="V434" s="29" t="s">
        <v>1288</v>
      </c>
      <c r="W434" s="35" t="s">
        <v>1628</v>
      </c>
      <c r="X434" s="35" t="s">
        <v>2184</v>
      </c>
      <c r="Y434" s="35" t="s">
        <v>1898</v>
      </c>
      <c r="Z434" s="35" t="s">
        <v>1802</v>
      </c>
      <c r="AA434" s="35" t="s">
        <v>2633</v>
      </c>
      <c r="AB434" s="29" t="s">
        <v>2015</v>
      </c>
      <c r="AC434" s="35" t="s">
        <v>1633</v>
      </c>
      <c r="AD434" s="35" t="s">
        <v>1634</v>
      </c>
      <c r="AE434" s="35" t="s">
        <v>1634</v>
      </c>
      <c r="AF434" s="35" t="s">
        <v>1635</v>
      </c>
      <c r="AG434" s="35" t="s">
        <v>2634</v>
      </c>
      <c r="AI434" s="35"/>
      <c r="AJ434" s="35" t="s">
        <v>1637</v>
      </c>
      <c r="AK434" s="35" t="s">
        <v>1672</v>
      </c>
      <c r="AL434" s="29" t="s">
        <v>2606</v>
      </c>
      <c r="AM434" s="35"/>
      <c r="AN434" s="35"/>
      <c r="AO434" s="35"/>
      <c r="AP434" s="35"/>
      <c r="AQ434" s="35"/>
      <c r="AS434" s="35"/>
      <c r="AU434" s="35"/>
      <c r="AW434" s="35"/>
      <c r="AY434" s="35"/>
      <c r="AZ434" s="35"/>
      <c r="BA434" s="35"/>
      <c r="BB434" s="29" t="s">
        <v>2185</v>
      </c>
      <c r="BC434" s="29" t="s">
        <v>1900</v>
      </c>
      <c r="BD434" s="29" t="s">
        <v>2635</v>
      </c>
      <c r="BE434" s="29" t="s">
        <v>1805</v>
      </c>
      <c r="BF434" s="29" t="s">
        <v>2388</v>
      </c>
      <c r="BG434" s="29" t="s">
        <v>2200</v>
      </c>
      <c r="BH434" s="29" t="s">
        <v>2187</v>
      </c>
      <c r="BI434" s="35"/>
      <c r="BJ434" s="35"/>
      <c r="BK434" s="29" t="str" cm="1">
        <f t="array" ref="BK434">_xlfn.UNIQUE(MID(BB434,16,14))</f>
        <v>U012UNA01UH141</v>
      </c>
    </row>
    <row r="435" spans="1:63" x14ac:dyDescent="0.3">
      <c r="A435" s="29" t="s">
        <v>2221</v>
      </c>
      <c r="B435" s="36" t="str">
        <f t="shared" si="30"/>
        <v>G01NHB04KF001-FC02</v>
      </c>
      <c r="C435" s="33" t="s">
        <v>3281</v>
      </c>
      <c r="D435" s="34" t="str">
        <f t="shared" si="31"/>
        <v>ELY1 GRP4 CTRL U1 24V MON2 AL/FLT CODE</v>
      </c>
      <c r="E435" s="31">
        <f t="shared" si="32"/>
        <v>38</v>
      </c>
      <c r="F435" s="32" t="str">
        <f t="shared" si="33"/>
        <v>ELECTROLYSIS SYSTEM ELECTROLYSIS ARRAY 1 ELECTROLYZER SYSTEM MODULE GROUP 4 CONTROL UNITS CELL VOLTAGE MEASUREMENT SITOP SEL1200 SELECTIVITY MODULE 8-CHANNEL VOLTAGE SUPPLY FAIL 8X 24VDC</v>
      </c>
      <c r="G435" s="29" t="s">
        <v>1614</v>
      </c>
      <c r="H435" s="29" t="s">
        <v>1615</v>
      </c>
      <c r="I435" s="29" t="str">
        <f t="shared" si="34"/>
        <v>01</v>
      </c>
      <c r="J435" s="29" t="s">
        <v>1616</v>
      </c>
      <c r="K435" s="29" t="s">
        <v>1976</v>
      </c>
      <c r="L435" s="29" t="s">
        <v>1977</v>
      </c>
      <c r="M435" s="29" t="s">
        <v>1915</v>
      </c>
      <c r="N435" s="29" t="s">
        <v>2183</v>
      </c>
      <c r="O435" s="29" t="s">
        <v>1771</v>
      </c>
      <c r="P435" s="29" t="s">
        <v>2055</v>
      </c>
      <c r="Q435" s="29" t="s">
        <v>1623</v>
      </c>
      <c r="R435" s="29" t="s">
        <v>2056</v>
      </c>
      <c r="S435" s="29" t="s">
        <v>2754</v>
      </c>
      <c r="T435" s="29" t="s">
        <v>3254</v>
      </c>
      <c r="U435" s="29" t="s">
        <v>1360</v>
      </c>
      <c r="V435" s="29" t="s">
        <v>3255</v>
      </c>
      <c r="W435" s="35" t="s">
        <v>1628</v>
      </c>
      <c r="X435" s="35" t="s">
        <v>2184</v>
      </c>
      <c r="Y435" s="35" t="s">
        <v>1775</v>
      </c>
      <c r="Z435" s="35" t="s">
        <v>2755</v>
      </c>
      <c r="AA435" s="35" t="s">
        <v>2670</v>
      </c>
      <c r="AB435" s="29" t="s">
        <v>2653</v>
      </c>
      <c r="AC435" s="35" t="s">
        <v>1633</v>
      </c>
      <c r="AD435" s="35" t="s">
        <v>1634</v>
      </c>
      <c r="AE435" s="35" t="s">
        <v>1634</v>
      </c>
      <c r="AF435" s="35" t="s">
        <v>1635</v>
      </c>
      <c r="AG435" s="35" t="s">
        <v>2660</v>
      </c>
      <c r="AI435" s="35"/>
      <c r="AJ435" s="35" t="s">
        <v>1637</v>
      </c>
      <c r="AK435" s="35" t="s">
        <v>1672</v>
      </c>
      <c r="AL435" s="29" t="s">
        <v>2715</v>
      </c>
      <c r="AM435" s="35"/>
      <c r="AN435" s="35"/>
      <c r="AO435" s="35"/>
      <c r="AP435" s="35"/>
      <c r="AQ435" s="35"/>
      <c r="AS435" s="35"/>
      <c r="AU435" s="35"/>
      <c r="AW435" s="35"/>
      <c r="AY435" s="35"/>
      <c r="AZ435" s="35"/>
      <c r="BA435" s="35"/>
      <c r="BB435" s="29" t="s">
        <v>1643</v>
      </c>
      <c r="BC435" s="29" t="s">
        <v>2347</v>
      </c>
      <c r="BD435" s="29" t="s">
        <v>2671</v>
      </c>
      <c r="BE435" s="29" t="s">
        <v>1805</v>
      </c>
      <c r="BF435" s="29" t="s">
        <v>1973</v>
      </c>
      <c r="BG435" s="29" t="s">
        <v>3282</v>
      </c>
      <c r="BI435" s="35"/>
      <c r="BJ435" s="35"/>
      <c r="BK435" s="29" t="str" cm="1">
        <f t="array" ref="BK435">_xlfn.UNIQUE(MID(BB435,16,14))</f>
        <v>U012UNA01UH100</v>
      </c>
    </row>
    <row r="436" spans="1:63" x14ac:dyDescent="0.3">
      <c r="A436" s="29" t="s">
        <v>2221</v>
      </c>
      <c r="B436" s="36" t="str">
        <f t="shared" si="30"/>
        <v>G01NHB04KF001-TB01</v>
      </c>
      <c r="C436" s="33" t="s">
        <v>3283</v>
      </c>
      <c r="D436" s="34" t="str">
        <f t="shared" si="31"/>
        <v>ELY1 GRP4 CTRL U1 24VDC MON1 AL/FLT CODE</v>
      </c>
      <c r="E436" s="31">
        <f t="shared" si="32"/>
        <v>40</v>
      </c>
      <c r="F436" s="32" t="str">
        <f t="shared" si="33"/>
        <v>ELECTROLYSIS SYSTEM ELECTROLYSIS ARRAY 1 ELECTROLYZER SYSTEM MODULE GROUP 4 CONTROL UNITS CELL VOLTAGE MEASUREMENT SITOP PSU6200 24 V/20 A VOLTAGE SUPPLY FAIL 230/24V DC</v>
      </c>
      <c r="G436" s="29" t="s">
        <v>1614</v>
      </c>
      <c r="H436" s="29" t="s">
        <v>1615</v>
      </c>
      <c r="I436" s="29" t="str">
        <f t="shared" si="34"/>
        <v>01</v>
      </c>
      <c r="J436" s="29" t="s">
        <v>1616</v>
      </c>
      <c r="K436" s="29" t="s">
        <v>1976</v>
      </c>
      <c r="L436" s="29" t="s">
        <v>1977</v>
      </c>
      <c r="M436" s="29" t="s">
        <v>1915</v>
      </c>
      <c r="N436" s="29" t="s">
        <v>2183</v>
      </c>
      <c r="O436" s="29" t="s">
        <v>1771</v>
      </c>
      <c r="P436" s="29" t="s">
        <v>2055</v>
      </c>
      <c r="Q436" s="29" t="s">
        <v>1623</v>
      </c>
      <c r="R436" s="29" t="s">
        <v>2056</v>
      </c>
      <c r="S436" s="29" t="s">
        <v>2870</v>
      </c>
      <c r="T436" s="29" t="s">
        <v>2871</v>
      </c>
      <c r="U436" s="29" t="s">
        <v>1360</v>
      </c>
      <c r="V436" s="29" t="s">
        <v>3258</v>
      </c>
      <c r="W436" s="35" t="s">
        <v>1628</v>
      </c>
      <c r="X436" s="35" t="s">
        <v>2184</v>
      </c>
      <c r="Y436" s="35" t="s">
        <v>1775</v>
      </c>
      <c r="Z436" s="35" t="s">
        <v>2872</v>
      </c>
      <c r="AA436" s="35" t="s">
        <v>2670</v>
      </c>
      <c r="AB436" s="29" t="s">
        <v>2653</v>
      </c>
      <c r="AC436" s="35" t="s">
        <v>1633</v>
      </c>
      <c r="AD436" s="35" t="s">
        <v>1634</v>
      </c>
      <c r="AE436" s="35" t="s">
        <v>1634</v>
      </c>
      <c r="AF436" s="35" t="s">
        <v>1635</v>
      </c>
      <c r="AG436" s="35" t="s">
        <v>1670</v>
      </c>
      <c r="AI436" s="35"/>
      <c r="AJ436" s="35" t="s">
        <v>1637</v>
      </c>
      <c r="AK436" s="35" t="s">
        <v>1672</v>
      </c>
      <c r="AL436" s="29" t="s">
        <v>2715</v>
      </c>
      <c r="AM436" s="35"/>
      <c r="AN436" s="35"/>
      <c r="AO436" s="35"/>
      <c r="AP436" s="35"/>
      <c r="AQ436" s="35"/>
      <c r="AS436" s="35"/>
      <c r="AU436" s="35"/>
      <c r="AW436" s="35"/>
      <c r="AY436" s="35"/>
      <c r="AZ436" s="35"/>
      <c r="BA436" s="35"/>
      <c r="BB436" s="29" t="s">
        <v>1643</v>
      </c>
      <c r="BC436" s="29" t="s">
        <v>2347</v>
      </c>
      <c r="BD436" s="29" t="s">
        <v>2671</v>
      </c>
      <c r="BE436" s="29" t="s">
        <v>1805</v>
      </c>
      <c r="BF436" s="29" t="s">
        <v>2048</v>
      </c>
      <c r="BG436" s="29" t="s">
        <v>3284</v>
      </c>
      <c r="BI436" s="35"/>
      <c r="BJ436" s="35"/>
      <c r="BK436" s="29" t="str" cm="1">
        <f t="array" ref="BK436">_xlfn.UNIQUE(MID(BB436,16,14))</f>
        <v>U012UNA01UH100</v>
      </c>
    </row>
    <row r="437" spans="1:63" x14ac:dyDescent="0.3">
      <c r="A437" s="29" t="s">
        <v>3285</v>
      </c>
      <c r="B437" s="36" t="str">
        <f t="shared" si="30"/>
        <v>G01NHB04KF002-FC01</v>
      </c>
      <c r="C437" s="33" t="s">
        <v>3286</v>
      </c>
      <c r="D437" s="34" t="str">
        <f t="shared" si="31"/>
        <v>ELY1 GRP4 CTRL U2 24V MON1 AL/FLT CODE</v>
      </c>
      <c r="E437" s="31">
        <f t="shared" si="32"/>
        <v>38</v>
      </c>
      <c r="F437" s="32" t="str">
        <f t="shared" si="33"/>
        <v>ELECTROLYSIS SYSTEM ELECTROLYSIS ARRAY 1 ELECTROLYZER SYSTEM MODULE GROUP 4 CONTROL UNITS MODULE GROUP CONTROL UNIT SITOP SEL1200 SELECTIVITY MODULE 8-CHANNEL VOLTAGE SUPPLY FAIL 8X 24VDC</v>
      </c>
      <c r="G437" s="29" t="s">
        <v>1614</v>
      </c>
      <c r="H437" s="29" t="s">
        <v>1615</v>
      </c>
      <c r="I437" s="29" t="str">
        <f t="shared" si="34"/>
        <v>01</v>
      </c>
      <c r="J437" s="29" t="s">
        <v>1616</v>
      </c>
      <c r="K437" s="29" t="s">
        <v>1976</v>
      </c>
      <c r="L437" s="29" t="s">
        <v>1977</v>
      </c>
      <c r="M437" s="29" t="s">
        <v>1915</v>
      </c>
      <c r="N437" s="29" t="s">
        <v>2183</v>
      </c>
      <c r="O437" s="29" t="s">
        <v>1771</v>
      </c>
      <c r="P437" s="29" t="s">
        <v>2055</v>
      </c>
      <c r="Q437" s="29" t="s">
        <v>1872</v>
      </c>
      <c r="R437" s="29" t="s">
        <v>3262</v>
      </c>
      <c r="S437" s="29" t="s">
        <v>2657</v>
      </c>
      <c r="T437" s="29" t="s">
        <v>3254</v>
      </c>
      <c r="U437" s="29" t="s">
        <v>1360</v>
      </c>
      <c r="V437" s="29" t="s">
        <v>3255</v>
      </c>
      <c r="W437" s="35" t="s">
        <v>1628</v>
      </c>
      <c r="X437" s="35" t="s">
        <v>2184</v>
      </c>
      <c r="Y437" s="35" t="s">
        <v>2881</v>
      </c>
      <c r="Z437" s="35" t="s">
        <v>2659</v>
      </c>
      <c r="AA437" s="35" t="s">
        <v>2670</v>
      </c>
      <c r="AB437" s="29" t="s">
        <v>2653</v>
      </c>
      <c r="AC437" s="35" t="s">
        <v>1633</v>
      </c>
      <c r="AD437" s="35" t="s">
        <v>1634</v>
      </c>
      <c r="AE437" s="35" t="s">
        <v>1634</v>
      </c>
      <c r="AF437" s="35" t="s">
        <v>1635</v>
      </c>
      <c r="AG437" s="35" t="s">
        <v>2660</v>
      </c>
      <c r="AI437" s="35"/>
      <c r="AJ437" s="35" t="s">
        <v>1637</v>
      </c>
      <c r="AK437" s="35" t="s">
        <v>1672</v>
      </c>
      <c r="AL437" s="29" t="s">
        <v>2715</v>
      </c>
      <c r="AM437" s="35"/>
      <c r="AN437" s="35"/>
      <c r="AO437" s="35"/>
      <c r="AP437" s="35"/>
      <c r="AQ437" s="35"/>
      <c r="AS437" s="35"/>
      <c r="AU437" s="35"/>
      <c r="AW437" s="35"/>
      <c r="AY437" s="35"/>
      <c r="AZ437" s="35"/>
      <c r="BA437" s="35"/>
      <c r="BB437" s="29" t="s">
        <v>1643</v>
      </c>
      <c r="BC437" s="29" t="s">
        <v>2347</v>
      </c>
      <c r="BD437" s="29" t="s">
        <v>2671</v>
      </c>
      <c r="BE437" s="29" t="s">
        <v>1805</v>
      </c>
      <c r="BF437" s="29" t="s">
        <v>1969</v>
      </c>
      <c r="BG437" s="29" t="s">
        <v>3287</v>
      </c>
      <c r="BI437" s="35"/>
      <c r="BJ437" s="35"/>
      <c r="BK437" s="29" t="str" cm="1">
        <f t="array" ref="BK437">_xlfn.UNIQUE(MID(BB437,16,14))</f>
        <v>U012UNA01UH100</v>
      </c>
    </row>
    <row r="438" spans="1:63" x14ac:dyDescent="0.3">
      <c r="A438" s="29" t="s">
        <v>2229</v>
      </c>
      <c r="B438" s="36" t="str">
        <f t="shared" si="30"/>
        <v>G01NHB05EQ001-QN01</v>
      </c>
      <c r="C438" s="33" t="s">
        <v>3288</v>
      </c>
      <c r="D438" s="34" t="str">
        <f t="shared" si="31"/>
        <v>ELY1 GRP5 COOL CV1 GRP FLT</v>
      </c>
      <c r="E438" s="31">
        <f t="shared" si="32"/>
        <v>26</v>
      </c>
      <c r="F438" s="32" t="str">
        <f t="shared" si="33"/>
        <v>ELECTROLYSIS SYSTEM ELECTROLYSIS ARRAY 1 ELECTROLYZER SYSTEM MODULE GROUP 5 HEAT EXCHANGING SYSTEMS HEAT EXCHANGING SYSTEM 1 COOLING WATER - CONTROL VALVE GROUP FAULT ALARM</v>
      </c>
      <c r="G438" s="29" t="s">
        <v>1614</v>
      </c>
      <c r="H438" s="29" t="s">
        <v>1615</v>
      </c>
      <c r="I438" s="29" t="str">
        <f t="shared" si="34"/>
        <v>01</v>
      </c>
      <c r="J438" s="29" t="s">
        <v>1616</v>
      </c>
      <c r="K438" s="29" t="s">
        <v>1976</v>
      </c>
      <c r="L438" s="29" t="s">
        <v>1977</v>
      </c>
      <c r="M438" s="29" t="s">
        <v>1919</v>
      </c>
      <c r="N438" s="29" t="s">
        <v>2231</v>
      </c>
      <c r="O438" s="29" t="s">
        <v>1894</v>
      </c>
      <c r="P438" s="29" t="s">
        <v>1979</v>
      </c>
      <c r="Q438" s="29" t="s">
        <v>1623</v>
      </c>
      <c r="R438" s="29" t="s">
        <v>1980</v>
      </c>
      <c r="S438" s="29" t="s">
        <v>1800</v>
      </c>
      <c r="T438" s="29" t="s">
        <v>2014</v>
      </c>
      <c r="U438" s="29" t="s">
        <v>1033</v>
      </c>
      <c r="V438" s="29" t="s">
        <v>1288</v>
      </c>
      <c r="W438" s="35" t="s">
        <v>1628</v>
      </c>
      <c r="X438" s="35" t="s">
        <v>2232</v>
      </c>
      <c r="Y438" s="35" t="s">
        <v>1898</v>
      </c>
      <c r="Z438" s="35" t="s">
        <v>1802</v>
      </c>
      <c r="AA438" s="35" t="s">
        <v>2633</v>
      </c>
      <c r="AB438" s="29" t="s">
        <v>2015</v>
      </c>
      <c r="AC438" s="35" t="s">
        <v>1633</v>
      </c>
      <c r="AD438" s="35" t="s">
        <v>1634</v>
      </c>
      <c r="AE438" s="35" t="s">
        <v>1634</v>
      </c>
      <c r="AF438" s="35" t="s">
        <v>1635</v>
      </c>
      <c r="AG438" s="35" t="s">
        <v>2634</v>
      </c>
      <c r="AI438" s="35"/>
      <c r="AJ438" s="35" t="s">
        <v>1637</v>
      </c>
      <c r="AK438" s="35" t="s">
        <v>1672</v>
      </c>
      <c r="AL438" s="29" t="s">
        <v>2606</v>
      </c>
      <c r="AM438" s="35"/>
      <c r="AN438" s="35"/>
      <c r="AO438" s="35"/>
      <c r="AP438" s="35"/>
      <c r="AQ438" s="35"/>
      <c r="AS438" s="35"/>
      <c r="AU438" s="35"/>
      <c r="AW438" s="35"/>
      <c r="AY438" s="35"/>
      <c r="AZ438" s="35"/>
      <c r="BA438" s="35"/>
      <c r="BB438" s="29" t="s">
        <v>2233</v>
      </c>
      <c r="BC438" s="29" t="s">
        <v>1900</v>
      </c>
      <c r="BD438" s="29" t="s">
        <v>2635</v>
      </c>
      <c r="BE438" s="29" t="s">
        <v>1805</v>
      </c>
      <c r="BF438" s="29" t="s">
        <v>2388</v>
      </c>
      <c r="BG438" s="29" t="s">
        <v>2247</v>
      </c>
      <c r="BH438" s="29" t="s">
        <v>2235</v>
      </c>
      <c r="BI438" s="35"/>
      <c r="BJ438" s="35"/>
      <c r="BK438" s="29" t="str" cm="1">
        <f t="array" ref="BK438">_xlfn.UNIQUE(MID(BB438,16,14))</f>
        <v>U012UNA01UH151</v>
      </c>
    </row>
    <row r="439" spans="1:63" x14ac:dyDescent="0.3">
      <c r="A439" s="29" t="s">
        <v>2268</v>
      </c>
      <c r="B439" s="36" t="str">
        <f t="shared" si="30"/>
        <v>G01NHB05KF001-FC02</v>
      </c>
      <c r="C439" s="33" t="s">
        <v>3289</v>
      </c>
      <c r="D439" s="34" t="str">
        <f t="shared" si="31"/>
        <v>ELY1 GRP5 CTRL U1 24V MON2 AL/FLT CODE</v>
      </c>
      <c r="E439" s="31">
        <f t="shared" si="32"/>
        <v>38</v>
      </c>
      <c r="F439" s="32" t="str">
        <f t="shared" si="33"/>
        <v>ELECTROLYSIS SYSTEM ELECTROLYSIS ARRAY 1 ELECTROLYZER SYSTEM MODULE GROUP 5 CONTROL UNITS CELL VOLTAGE MEASUREMENT SITOP SEL1200 SELECTIVITY MODULE 8-CHANNEL VOLTAGE SUPPLY FAIL 8X 24VDC</v>
      </c>
      <c r="G439" s="29" t="s">
        <v>1614</v>
      </c>
      <c r="H439" s="29" t="s">
        <v>1615</v>
      </c>
      <c r="I439" s="29" t="str">
        <f t="shared" si="34"/>
        <v>01</v>
      </c>
      <c r="J439" s="29" t="s">
        <v>1616</v>
      </c>
      <c r="K439" s="29" t="s">
        <v>1976</v>
      </c>
      <c r="L439" s="29" t="s">
        <v>1977</v>
      </c>
      <c r="M439" s="29" t="s">
        <v>1919</v>
      </c>
      <c r="N439" s="29" t="s">
        <v>2231</v>
      </c>
      <c r="O439" s="29" t="s">
        <v>1771</v>
      </c>
      <c r="P439" s="29" t="s">
        <v>2055</v>
      </c>
      <c r="Q439" s="29" t="s">
        <v>1623</v>
      </c>
      <c r="R439" s="29" t="s">
        <v>2056</v>
      </c>
      <c r="S439" s="29" t="s">
        <v>2754</v>
      </c>
      <c r="T439" s="29" t="s">
        <v>3254</v>
      </c>
      <c r="U439" s="29" t="s">
        <v>1360</v>
      </c>
      <c r="V439" s="29" t="s">
        <v>3255</v>
      </c>
      <c r="W439" s="35" t="s">
        <v>1628</v>
      </c>
      <c r="X439" s="35" t="s">
        <v>2232</v>
      </c>
      <c r="Y439" s="35" t="s">
        <v>1775</v>
      </c>
      <c r="Z439" s="35" t="s">
        <v>2755</v>
      </c>
      <c r="AA439" s="35" t="s">
        <v>2670</v>
      </c>
      <c r="AB439" s="29" t="s">
        <v>2653</v>
      </c>
      <c r="AC439" s="35" t="s">
        <v>1633</v>
      </c>
      <c r="AD439" s="35" t="s">
        <v>1634</v>
      </c>
      <c r="AE439" s="35" t="s">
        <v>1634</v>
      </c>
      <c r="AF439" s="35" t="s">
        <v>1635</v>
      </c>
      <c r="AG439" s="35" t="s">
        <v>2660</v>
      </c>
      <c r="AI439" s="35"/>
      <c r="AJ439" s="35" t="s">
        <v>1637</v>
      </c>
      <c r="AK439" s="35" t="s">
        <v>1672</v>
      </c>
      <c r="AL439" s="29" t="s">
        <v>2715</v>
      </c>
      <c r="AM439" s="35"/>
      <c r="AN439" s="35"/>
      <c r="AO439" s="35"/>
      <c r="AP439" s="35"/>
      <c r="AQ439" s="35"/>
      <c r="AS439" s="35"/>
      <c r="AU439" s="35"/>
      <c r="AW439" s="35"/>
      <c r="AY439" s="35"/>
      <c r="AZ439" s="35"/>
      <c r="BA439" s="35"/>
      <c r="BB439" s="29" t="s">
        <v>1643</v>
      </c>
      <c r="BC439" s="29" t="s">
        <v>2347</v>
      </c>
      <c r="BD439" s="29" t="s">
        <v>2671</v>
      </c>
      <c r="BE439" s="29" t="s">
        <v>1805</v>
      </c>
      <c r="BF439" s="29" t="s">
        <v>2016</v>
      </c>
      <c r="BG439" s="29" t="s">
        <v>3290</v>
      </c>
      <c r="BI439" s="35"/>
      <c r="BJ439" s="35"/>
      <c r="BK439" s="29" t="str" cm="1">
        <f t="array" ref="BK439">_xlfn.UNIQUE(MID(BB439,16,14))</f>
        <v>U012UNA01UH100</v>
      </c>
    </row>
    <row r="440" spans="1:63" x14ac:dyDescent="0.3">
      <c r="A440" s="29" t="s">
        <v>2268</v>
      </c>
      <c r="B440" s="36" t="str">
        <f t="shared" si="30"/>
        <v>G01NHB05KF001-TB01</v>
      </c>
      <c r="C440" s="33" t="s">
        <v>3291</v>
      </c>
      <c r="D440" s="34" t="str">
        <f t="shared" si="31"/>
        <v>ELY1 GRP5 CTRL U1 24VDC MON1 AL/FLT CODE</v>
      </c>
      <c r="E440" s="31">
        <f t="shared" si="32"/>
        <v>40</v>
      </c>
      <c r="F440" s="32" t="str">
        <f t="shared" si="33"/>
        <v>ELECTROLYSIS SYSTEM ELECTROLYSIS ARRAY 1 ELECTROLYZER SYSTEM MODULE GROUP 5 CONTROL UNITS CELL VOLTAGE MEASUREMENT SITOP PSU6200 24 V/20 A VOLTAGE SUPPLY FAIL 230/24V DC</v>
      </c>
      <c r="G440" s="29" t="s">
        <v>1614</v>
      </c>
      <c r="H440" s="29" t="s">
        <v>1615</v>
      </c>
      <c r="I440" s="29" t="str">
        <f t="shared" si="34"/>
        <v>01</v>
      </c>
      <c r="J440" s="29" t="s">
        <v>1616</v>
      </c>
      <c r="K440" s="29" t="s">
        <v>1976</v>
      </c>
      <c r="L440" s="29" t="s">
        <v>1977</v>
      </c>
      <c r="M440" s="29" t="s">
        <v>1919</v>
      </c>
      <c r="N440" s="29" t="s">
        <v>2231</v>
      </c>
      <c r="O440" s="29" t="s">
        <v>1771</v>
      </c>
      <c r="P440" s="29" t="s">
        <v>2055</v>
      </c>
      <c r="Q440" s="29" t="s">
        <v>1623</v>
      </c>
      <c r="R440" s="29" t="s">
        <v>2056</v>
      </c>
      <c r="S440" s="29" t="s">
        <v>2870</v>
      </c>
      <c r="T440" s="29" t="s">
        <v>2871</v>
      </c>
      <c r="U440" s="29" t="s">
        <v>1360</v>
      </c>
      <c r="V440" s="29" t="s">
        <v>3258</v>
      </c>
      <c r="W440" s="35" t="s">
        <v>1628</v>
      </c>
      <c r="X440" s="35" t="s">
        <v>2232</v>
      </c>
      <c r="Y440" s="35" t="s">
        <v>1775</v>
      </c>
      <c r="Z440" s="35" t="s">
        <v>2872</v>
      </c>
      <c r="AA440" s="35" t="s">
        <v>2670</v>
      </c>
      <c r="AB440" s="29" t="s">
        <v>2653</v>
      </c>
      <c r="AC440" s="35" t="s">
        <v>1633</v>
      </c>
      <c r="AD440" s="35" t="s">
        <v>1634</v>
      </c>
      <c r="AE440" s="35" t="s">
        <v>1634</v>
      </c>
      <c r="AF440" s="35" t="s">
        <v>1635</v>
      </c>
      <c r="AG440" s="35" t="s">
        <v>1670</v>
      </c>
      <c r="AI440" s="35"/>
      <c r="AJ440" s="35" t="s">
        <v>1637</v>
      </c>
      <c r="AK440" s="35" t="s">
        <v>1672</v>
      </c>
      <c r="AL440" s="29" t="s">
        <v>2715</v>
      </c>
      <c r="AM440" s="35"/>
      <c r="AN440" s="35"/>
      <c r="AO440" s="35"/>
      <c r="AP440" s="35"/>
      <c r="AQ440" s="35"/>
      <c r="AS440" s="35"/>
      <c r="AU440" s="35"/>
      <c r="AW440" s="35"/>
      <c r="AY440" s="35"/>
      <c r="AZ440" s="35"/>
      <c r="BA440" s="35"/>
      <c r="BB440" s="29" t="s">
        <v>1643</v>
      </c>
      <c r="BC440" s="29" t="s">
        <v>2347</v>
      </c>
      <c r="BD440" s="29" t="s">
        <v>2671</v>
      </c>
      <c r="BE440" s="29" t="s">
        <v>1805</v>
      </c>
      <c r="BF440" s="29" t="s">
        <v>2341</v>
      </c>
      <c r="BG440" s="29" t="s">
        <v>3292</v>
      </c>
      <c r="BI440" s="35"/>
      <c r="BJ440" s="35"/>
      <c r="BK440" s="29" t="str" cm="1">
        <f t="array" ref="BK440">_xlfn.UNIQUE(MID(BB440,16,14))</f>
        <v>U012UNA01UH100</v>
      </c>
    </row>
    <row r="441" spans="1:63" x14ac:dyDescent="0.3">
      <c r="A441" s="29" t="s">
        <v>3293</v>
      </c>
      <c r="B441" s="36" t="str">
        <f t="shared" si="30"/>
        <v>G01NHB05KF002-FC01</v>
      </c>
      <c r="C441" s="33" t="s">
        <v>3294</v>
      </c>
      <c r="D441" s="34" t="str">
        <f t="shared" si="31"/>
        <v>ELY1 GRP5 CTRL U2 24V MON1 AL/FLT CODE</v>
      </c>
      <c r="E441" s="31">
        <f t="shared" si="32"/>
        <v>38</v>
      </c>
      <c r="F441" s="32" t="str">
        <f t="shared" si="33"/>
        <v>ELECTROLYSIS SYSTEM ELECTROLYSIS ARRAY 1 ELECTROLYZER SYSTEM MODULE GROUP 5 CONTROL UNITS MODULE GROUP CONTROL UNIT SITOP SEL1200 SELECTIVITY MODULE 8-CHANNEL VOLTAGE SUPPLY FAIL 8X 24VDC</v>
      </c>
      <c r="G441" s="29" t="s">
        <v>1614</v>
      </c>
      <c r="H441" s="29" t="s">
        <v>1615</v>
      </c>
      <c r="I441" s="29" t="str">
        <f t="shared" si="34"/>
        <v>01</v>
      </c>
      <c r="J441" s="29" t="s">
        <v>1616</v>
      </c>
      <c r="K441" s="29" t="s">
        <v>1976</v>
      </c>
      <c r="L441" s="29" t="s">
        <v>1977</v>
      </c>
      <c r="M441" s="29" t="s">
        <v>1919</v>
      </c>
      <c r="N441" s="29" t="s">
        <v>2231</v>
      </c>
      <c r="O441" s="29" t="s">
        <v>1771</v>
      </c>
      <c r="P441" s="29" t="s">
        <v>2055</v>
      </c>
      <c r="Q441" s="29" t="s">
        <v>1872</v>
      </c>
      <c r="R441" s="29" t="s">
        <v>3262</v>
      </c>
      <c r="S441" s="29" t="s">
        <v>2657</v>
      </c>
      <c r="T441" s="29" t="s">
        <v>3254</v>
      </c>
      <c r="U441" s="29" t="s">
        <v>1360</v>
      </c>
      <c r="V441" s="29" t="s">
        <v>3255</v>
      </c>
      <c r="W441" s="35" t="s">
        <v>1628</v>
      </c>
      <c r="X441" s="35" t="s">
        <v>2232</v>
      </c>
      <c r="Y441" s="35" t="s">
        <v>2881</v>
      </c>
      <c r="Z441" s="35" t="s">
        <v>2659</v>
      </c>
      <c r="AA441" s="35" t="s">
        <v>2670</v>
      </c>
      <c r="AB441" s="29" t="s">
        <v>2653</v>
      </c>
      <c r="AC441" s="35" t="s">
        <v>1633</v>
      </c>
      <c r="AD441" s="35" t="s">
        <v>1634</v>
      </c>
      <c r="AE441" s="35" t="s">
        <v>1634</v>
      </c>
      <c r="AF441" s="35" t="s">
        <v>1635</v>
      </c>
      <c r="AG441" s="35" t="s">
        <v>2660</v>
      </c>
      <c r="AI441" s="35"/>
      <c r="AJ441" s="35" t="s">
        <v>1637</v>
      </c>
      <c r="AK441" s="35" t="s">
        <v>1672</v>
      </c>
      <c r="AL441" s="29" t="s">
        <v>2715</v>
      </c>
      <c r="AM441" s="35"/>
      <c r="AN441" s="35"/>
      <c r="AO441" s="35"/>
      <c r="AP441" s="35"/>
      <c r="AQ441" s="35"/>
      <c r="AS441" s="35"/>
      <c r="AU441" s="35"/>
      <c r="AW441" s="35"/>
      <c r="AY441" s="35"/>
      <c r="AZ441" s="35"/>
      <c r="BA441" s="35"/>
      <c r="BB441" s="29" t="s">
        <v>1643</v>
      </c>
      <c r="BC441" s="29" t="s">
        <v>2347</v>
      </c>
      <c r="BD441" s="29" t="s">
        <v>2671</v>
      </c>
      <c r="BE441" s="29" t="s">
        <v>1805</v>
      </c>
      <c r="BF441" s="29" t="s">
        <v>2051</v>
      </c>
      <c r="BG441" s="29" t="s">
        <v>3295</v>
      </c>
      <c r="BI441" s="35"/>
      <c r="BJ441" s="35"/>
      <c r="BK441" s="29" t="str" cm="1">
        <f t="array" ref="BK441">_xlfn.UNIQUE(MID(BB441,16,14))</f>
        <v>U012UNA01UH100</v>
      </c>
    </row>
    <row r="442" spans="1:63" x14ac:dyDescent="0.3">
      <c r="A442" s="29" t="s">
        <v>2276</v>
      </c>
      <c r="B442" s="36" t="str">
        <f t="shared" si="30"/>
        <v>G01NHB06EQ001-QN01</v>
      </c>
      <c r="C442" s="33" t="s">
        <v>3296</v>
      </c>
      <c r="D442" s="34" t="str">
        <f t="shared" si="31"/>
        <v>ELY1 GRP6 COOL CV1 GRP FLT</v>
      </c>
      <c r="E442" s="31">
        <f t="shared" si="32"/>
        <v>26</v>
      </c>
      <c r="F442" s="32" t="str">
        <f t="shared" si="33"/>
        <v>ELECTROLYSIS SYSTEM ELECTROLYSIS ARRAY 1 ELECTROLYZER SYSTEM MODULE GROUP 6 HEAT EXCHANGING SYSTEMS HEAT EXCHANGING SYSTEM 1 COOLING WATER - CONTROL VALVE GROUP FAULT ALARM</v>
      </c>
      <c r="G442" s="29" t="s">
        <v>1614</v>
      </c>
      <c r="H442" s="29" t="s">
        <v>1615</v>
      </c>
      <c r="I442" s="29" t="str">
        <f t="shared" si="34"/>
        <v>01</v>
      </c>
      <c r="J442" s="29" t="s">
        <v>1616</v>
      </c>
      <c r="K442" s="29" t="s">
        <v>1976</v>
      </c>
      <c r="L442" s="29" t="s">
        <v>1977</v>
      </c>
      <c r="M442" s="29" t="s">
        <v>1922</v>
      </c>
      <c r="N442" s="29" t="s">
        <v>2278</v>
      </c>
      <c r="O442" s="29" t="s">
        <v>1894</v>
      </c>
      <c r="P442" s="29" t="s">
        <v>1979</v>
      </c>
      <c r="Q442" s="29" t="s">
        <v>1623</v>
      </c>
      <c r="R442" s="29" t="s">
        <v>1980</v>
      </c>
      <c r="S442" s="29" t="s">
        <v>1800</v>
      </c>
      <c r="T442" s="29" t="s">
        <v>2014</v>
      </c>
      <c r="U442" s="29" t="s">
        <v>1033</v>
      </c>
      <c r="V442" s="29" t="s">
        <v>1288</v>
      </c>
      <c r="W442" s="35" t="s">
        <v>1628</v>
      </c>
      <c r="X442" s="35" t="s">
        <v>2279</v>
      </c>
      <c r="Y442" s="35" t="s">
        <v>1898</v>
      </c>
      <c r="Z442" s="35" t="s">
        <v>1802</v>
      </c>
      <c r="AA442" s="35" t="s">
        <v>2633</v>
      </c>
      <c r="AB442" s="29" t="s">
        <v>2015</v>
      </c>
      <c r="AC442" s="35" t="s">
        <v>1633</v>
      </c>
      <c r="AD442" s="35" t="s">
        <v>1634</v>
      </c>
      <c r="AE442" s="35" t="s">
        <v>1634</v>
      </c>
      <c r="AF442" s="35" t="s">
        <v>1635</v>
      </c>
      <c r="AG442" s="35" t="s">
        <v>2634</v>
      </c>
      <c r="AI442" s="35"/>
      <c r="AJ442" s="35" t="s">
        <v>1637</v>
      </c>
      <c r="AK442" s="35" t="s">
        <v>1672</v>
      </c>
      <c r="AL442" s="29" t="s">
        <v>2606</v>
      </c>
      <c r="AM442" s="35"/>
      <c r="AN442" s="35"/>
      <c r="AO442" s="35"/>
      <c r="AP442" s="35"/>
      <c r="AQ442" s="35"/>
      <c r="AS442" s="35"/>
      <c r="AU442" s="35"/>
      <c r="AW442" s="35"/>
      <c r="AY442" s="35"/>
      <c r="AZ442" s="35"/>
      <c r="BA442" s="35"/>
      <c r="BB442" s="29" t="s">
        <v>2280</v>
      </c>
      <c r="BC442" s="29" t="s">
        <v>1900</v>
      </c>
      <c r="BD442" s="29" t="s">
        <v>2635</v>
      </c>
      <c r="BE442" s="29" t="s">
        <v>1805</v>
      </c>
      <c r="BF442" s="29" t="s">
        <v>2388</v>
      </c>
      <c r="BG442" s="29" t="s">
        <v>2294</v>
      </c>
      <c r="BH442" s="29" t="s">
        <v>2282</v>
      </c>
      <c r="BI442" s="35"/>
      <c r="BJ442" s="35"/>
      <c r="BK442" s="29" t="str" cm="1">
        <f t="array" ref="BK442">_xlfn.UNIQUE(MID(BB442,16,14))</f>
        <v>U012UNA01UH161</v>
      </c>
    </row>
    <row r="443" spans="1:63" x14ac:dyDescent="0.3">
      <c r="A443" s="29" t="s">
        <v>2315</v>
      </c>
      <c r="B443" s="36" t="str">
        <f t="shared" si="30"/>
        <v>G01NHB06KF001-FC02</v>
      </c>
      <c r="C443" s="33" t="s">
        <v>3297</v>
      </c>
      <c r="D443" s="34" t="str">
        <f t="shared" si="31"/>
        <v>ELY1 GRP6 CTRL U1 24V MON2 AL/FLT CODE</v>
      </c>
      <c r="E443" s="31">
        <f t="shared" si="32"/>
        <v>38</v>
      </c>
      <c r="F443" s="32" t="str">
        <f t="shared" si="33"/>
        <v>ELECTROLYSIS SYSTEM ELECTROLYSIS ARRAY 1 ELECTROLYZER SYSTEM MODULE GROUP 6 CONTROL UNITS CELL VOLTAGE MEASUREMENT SITOP SEL1200 SELECTIVITY MODULE 8-CHANNEL VOLTAGE SUPPLY FAIL 8X 24VDC</v>
      </c>
      <c r="G443" s="29" t="s">
        <v>1614</v>
      </c>
      <c r="H443" s="29" t="s">
        <v>1615</v>
      </c>
      <c r="I443" s="29" t="str">
        <f t="shared" si="34"/>
        <v>01</v>
      </c>
      <c r="J443" s="29" t="s">
        <v>1616</v>
      </c>
      <c r="K443" s="29" t="s">
        <v>1976</v>
      </c>
      <c r="L443" s="29" t="s">
        <v>1977</v>
      </c>
      <c r="M443" s="29" t="s">
        <v>1922</v>
      </c>
      <c r="N443" s="29" t="s">
        <v>2278</v>
      </c>
      <c r="O443" s="29" t="s">
        <v>1771</v>
      </c>
      <c r="P443" s="29" t="s">
        <v>2055</v>
      </c>
      <c r="Q443" s="29" t="s">
        <v>1623</v>
      </c>
      <c r="R443" s="29" t="s">
        <v>2056</v>
      </c>
      <c r="S443" s="29" t="s">
        <v>2754</v>
      </c>
      <c r="T443" s="29" t="s">
        <v>3254</v>
      </c>
      <c r="U443" s="29" t="s">
        <v>1360</v>
      </c>
      <c r="V443" s="29" t="s">
        <v>3255</v>
      </c>
      <c r="W443" s="35" t="s">
        <v>1628</v>
      </c>
      <c r="X443" s="35" t="s">
        <v>2279</v>
      </c>
      <c r="Y443" s="35" t="s">
        <v>1775</v>
      </c>
      <c r="Z443" s="35" t="s">
        <v>2755</v>
      </c>
      <c r="AA443" s="35" t="s">
        <v>2670</v>
      </c>
      <c r="AB443" s="29" t="s">
        <v>2653</v>
      </c>
      <c r="AC443" s="35" t="s">
        <v>1633</v>
      </c>
      <c r="AD443" s="35" t="s">
        <v>1634</v>
      </c>
      <c r="AE443" s="35" t="s">
        <v>1634</v>
      </c>
      <c r="AF443" s="35" t="s">
        <v>1635</v>
      </c>
      <c r="AG443" s="35" t="s">
        <v>2660</v>
      </c>
      <c r="AI443" s="35"/>
      <c r="AJ443" s="35" t="s">
        <v>1637</v>
      </c>
      <c r="AK443" s="35" t="s">
        <v>1672</v>
      </c>
      <c r="AL443" s="29" t="s">
        <v>2715</v>
      </c>
      <c r="AM443" s="35"/>
      <c r="AN443" s="35"/>
      <c r="AO443" s="35"/>
      <c r="AP443" s="35"/>
      <c r="AQ443" s="35"/>
      <c r="AS443" s="35"/>
      <c r="AU443" s="35"/>
      <c r="AW443" s="35"/>
      <c r="AY443" s="35"/>
      <c r="AZ443" s="35"/>
      <c r="BA443" s="35"/>
      <c r="BB443" s="29" t="s">
        <v>2346</v>
      </c>
      <c r="BC443" s="29" t="s">
        <v>2347</v>
      </c>
      <c r="BD443" s="29" t="s">
        <v>2671</v>
      </c>
      <c r="BE443" s="29" t="s">
        <v>1805</v>
      </c>
      <c r="BF443" s="29" t="s">
        <v>1619</v>
      </c>
      <c r="BG443" s="29" t="s">
        <v>3298</v>
      </c>
      <c r="BI443" s="35"/>
      <c r="BJ443" s="35"/>
      <c r="BK443" s="29" t="str" cm="1">
        <f t="array" ref="BK443">_xlfn.UNIQUE(MID(BB443,16,14))</f>
        <v>U012UNA01UH100</v>
      </c>
    </row>
    <row r="444" spans="1:63" x14ac:dyDescent="0.3">
      <c r="A444" s="29" t="s">
        <v>2315</v>
      </c>
      <c r="B444" s="36" t="str">
        <f t="shared" si="30"/>
        <v>G01NHB06KF001-TB01</v>
      </c>
      <c r="C444" s="33" t="s">
        <v>3299</v>
      </c>
      <c r="D444" s="34" t="str">
        <f t="shared" si="31"/>
        <v>ELY1 GRP6 CTRL U1 24VDC MON1 AL/FLT CODE</v>
      </c>
      <c r="E444" s="31">
        <f t="shared" si="32"/>
        <v>40</v>
      </c>
      <c r="F444" s="32" t="str">
        <f t="shared" si="33"/>
        <v>ELECTROLYSIS SYSTEM ELECTROLYSIS ARRAY 1 ELECTROLYZER SYSTEM MODULE GROUP 6 CONTROL UNITS CELL VOLTAGE MEASUREMENT SITOP PSU6200 24 V/20 A VOLTAGE SUPPLY FAIL 230/24V DC</v>
      </c>
      <c r="G444" s="29" t="s">
        <v>1614</v>
      </c>
      <c r="H444" s="29" t="s">
        <v>1615</v>
      </c>
      <c r="I444" s="29" t="str">
        <f t="shared" si="34"/>
        <v>01</v>
      </c>
      <c r="J444" s="29" t="s">
        <v>1616</v>
      </c>
      <c r="K444" s="29" t="s">
        <v>1976</v>
      </c>
      <c r="L444" s="29" t="s">
        <v>1977</v>
      </c>
      <c r="M444" s="29" t="s">
        <v>1922</v>
      </c>
      <c r="N444" s="29" t="s">
        <v>2278</v>
      </c>
      <c r="O444" s="29" t="s">
        <v>1771</v>
      </c>
      <c r="P444" s="29" t="s">
        <v>2055</v>
      </c>
      <c r="Q444" s="29" t="s">
        <v>1623</v>
      </c>
      <c r="R444" s="29" t="s">
        <v>2056</v>
      </c>
      <c r="S444" s="29" t="s">
        <v>2870</v>
      </c>
      <c r="T444" s="29" t="s">
        <v>2871</v>
      </c>
      <c r="U444" s="29" t="s">
        <v>1360</v>
      </c>
      <c r="V444" s="29" t="s">
        <v>3258</v>
      </c>
      <c r="W444" s="35" t="s">
        <v>1628</v>
      </c>
      <c r="X444" s="35" t="s">
        <v>2279</v>
      </c>
      <c r="Y444" s="35" t="s">
        <v>1775</v>
      </c>
      <c r="Z444" s="35" t="s">
        <v>2872</v>
      </c>
      <c r="AA444" s="35" t="s">
        <v>2670</v>
      </c>
      <c r="AB444" s="29" t="s">
        <v>2653</v>
      </c>
      <c r="AC444" s="35" t="s">
        <v>1633</v>
      </c>
      <c r="AD444" s="35" t="s">
        <v>1634</v>
      </c>
      <c r="AE444" s="35" t="s">
        <v>1634</v>
      </c>
      <c r="AF444" s="35" t="s">
        <v>1635</v>
      </c>
      <c r="AG444" s="35" t="s">
        <v>1670</v>
      </c>
      <c r="AI444" s="35"/>
      <c r="AJ444" s="35" t="s">
        <v>1637</v>
      </c>
      <c r="AK444" s="35" t="s">
        <v>1672</v>
      </c>
      <c r="AL444" s="29" t="s">
        <v>2715</v>
      </c>
      <c r="AM444" s="35"/>
      <c r="AN444" s="35"/>
      <c r="AO444" s="35"/>
      <c r="AP444" s="35"/>
      <c r="AQ444" s="35"/>
      <c r="AS444" s="35"/>
      <c r="AU444" s="35"/>
      <c r="AW444" s="35"/>
      <c r="AY444" s="35"/>
      <c r="AZ444" s="35"/>
      <c r="BA444" s="35"/>
      <c r="BB444" s="29" t="s">
        <v>2346</v>
      </c>
      <c r="BC444" s="29" t="s">
        <v>2347</v>
      </c>
      <c r="BD444" s="29" t="s">
        <v>2671</v>
      </c>
      <c r="BE444" s="29" t="s">
        <v>1805</v>
      </c>
      <c r="BF444" s="29" t="s">
        <v>1905</v>
      </c>
      <c r="BG444" s="29" t="s">
        <v>3300</v>
      </c>
      <c r="BI444" s="35"/>
      <c r="BJ444" s="35"/>
      <c r="BK444" s="29" t="str" cm="1">
        <f t="array" ref="BK444">_xlfn.UNIQUE(MID(BB444,16,14))</f>
        <v>U012UNA01UH100</v>
      </c>
    </row>
    <row r="445" spans="1:63" x14ac:dyDescent="0.3">
      <c r="A445" s="29" t="s">
        <v>3301</v>
      </c>
      <c r="B445" s="36" t="str">
        <f t="shared" si="30"/>
        <v>G01NHB06KF002-FC01</v>
      </c>
      <c r="C445" s="33" t="s">
        <v>3302</v>
      </c>
      <c r="D445" s="34" t="str">
        <f t="shared" si="31"/>
        <v>ELY1 GRP6 CTRL U2 24V MON1 AL/FLT CODE</v>
      </c>
      <c r="E445" s="31">
        <f t="shared" si="32"/>
        <v>38</v>
      </c>
      <c r="F445" s="32" t="str">
        <f t="shared" si="33"/>
        <v>ELECTROLYSIS SYSTEM ELECTROLYSIS ARRAY 1 ELECTROLYZER SYSTEM MODULE GROUP 6 CONTROL UNITS MODULE GROUP CONTROL UNIT SITOP SEL1200 SELECTIVITY MODULE 8-CHANNEL VOLTAGE SUPPLY FAIL 8X 24VDC</v>
      </c>
      <c r="G445" s="29" t="s">
        <v>1614</v>
      </c>
      <c r="H445" s="29" t="s">
        <v>1615</v>
      </c>
      <c r="I445" s="29" t="str">
        <f t="shared" si="34"/>
        <v>01</v>
      </c>
      <c r="J445" s="29" t="s">
        <v>1616</v>
      </c>
      <c r="K445" s="29" t="s">
        <v>1976</v>
      </c>
      <c r="L445" s="29" t="s">
        <v>1977</v>
      </c>
      <c r="M445" s="29" t="s">
        <v>1922</v>
      </c>
      <c r="N445" s="29" t="s">
        <v>2278</v>
      </c>
      <c r="O445" s="29" t="s">
        <v>1771</v>
      </c>
      <c r="P445" s="29" t="s">
        <v>2055</v>
      </c>
      <c r="Q445" s="29" t="s">
        <v>1872</v>
      </c>
      <c r="R445" s="29" t="s">
        <v>3262</v>
      </c>
      <c r="S445" s="29" t="s">
        <v>2657</v>
      </c>
      <c r="T445" s="29" t="s">
        <v>3254</v>
      </c>
      <c r="U445" s="29" t="s">
        <v>1360</v>
      </c>
      <c r="V445" s="29" t="s">
        <v>3255</v>
      </c>
      <c r="W445" s="35" t="s">
        <v>1628</v>
      </c>
      <c r="X445" s="35" t="s">
        <v>2279</v>
      </c>
      <c r="Y445" s="35" t="s">
        <v>2881</v>
      </c>
      <c r="Z445" s="35" t="s">
        <v>2659</v>
      </c>
      <c r="AA445" s="35" t="s">
        <v>2670</v>
      </c>
      <c r="AB445" s="29" t="s">
        <v>2653</v>
      </c>
      <c r="AC445" s="35" t="s">
        <v>1633</v>
      </c>
      <c r="AD445" s="35" t="s">
        <v>1634</v>
      </c>
      <c r="AE445" s="35" t="s">
        <v>1634</v>
      </c>
      <c r="AF445" s="35" t="s">
        <v>1635</v>
      </c>
      <c r="AG445" s="35" t="s">
        <v>2660</v>
      </c>
      <c r="AI445" s="35"/>
      <c r="AJ445" s="35" t="s">
        <v>1637</v>
      </c>
      <c r="AK445" s="35" t="s">
        <v>1672</v>
      </c>
      <c r="AL445" s="29" t="s">
        <v>2715</v>
      </c>
      <c r="AM445" s="35"/>
      <c r="AN445" s="35"/>
      <c r="AO445" s="35"/>
      <c r="AP445" s="35"/>
      <c r="AQ445" s="35"/>
      <c r="AS445" s="35"/>
      <c r="AU445" s="35"/>
      <c r="AW445" s="35"/>
      <c r="AY445" s="35"/>
      <c r="AZ445" s="35"/>
      <c r="BA445" s="35"/>
      <c r="BB445" s="29" t="s">
        <v>1643</v>
      </c>
      <c r="BC445" s="29" t="s">
        <v>2347</v>
      </c>
      <c r="BD445" s="29" t="s">
        <v>2671</v>
      </c>
      <c r="BE445" s="29" t="s">
        <v>1805</v>
      </c>
      <c r="BF445" s="29" t="s">
        <v>2388</v>
      </c>
      <c r="BG445" s="29" t="s">
        <v>3303</v>
      </c>
      <c r="BI445" s="35"/>
      <c r="BJ445" s="35"/>
      <c r="BK445" s="29" t="str" cm="1">
        <f t="array" ref="BK445">_xlfn.UNIQUE(MID(BB445,16,14))</f>
        <v>U012UNA01UH100</v>
      </c>
    </row>
    <row r="446" spans="1:63" x14ac:dyDescent="0.3">
      <c r="A446" s="29" t="s">
        <v>1612</v>
      </c>
      <c r="B446" s="36" t="str">
        <f t="shared" si="30"/>
        <v>G01NHC01BQ001-BP10</v>
      </c>
      <c r="C446" s="33" t="s">
        <v>3304</v>
      </c>
      <c r="D446" s="34" t="str">
        <f t="shared" si="31"/>
        <v>ELY1 H2 TRT QUAL PRES SW CB ON/OPN/MAX1</v>
      </c>
      <c r="E446" s="31">
        <f t="shared" si="32"/>
        <v>39</v>
      </c>
      <c r="F446" s="32" t="str">
        <f t="shared" si="33"/>
        <v>ELECTROLYSIS SYSTEM ELECTROLYSIS ARRAY 1 H2 TREATMENT H2 TREATMENT SYSTEM QUALITY MEASURING SYSTEM O2 IN H2 MEASURING SYSTEM PRESSURE SWITCH CHECK BACK ON/OPEN // LIMIT VALUE &gt;MAX 1</v>
      </c>
      <c r="G446" s="29" t="s">
        <v>1614</v>
      </c>
      <c r="H446" s="29" t="s">
        <v>1615</v>
      </c>
      <c r="I446" s="29" t="str">
        <f t="shared" si="34"/>
        <v>01</v>
      </c>
      <c r="J446" s="29" t="s">
        <v>1616</v>
      </c>
      <c r="K446" s="29" t="s">
        <v>1617</v>
      </c>
      <c r="L446" s="29" t="s">
        <v>1618</v>
      </c>
      <c r="M446" s="29" t="s">
        <v>1619</v>
      </c>
      <c r="N446" s="29" t="s">
        <v>1620</v>
      </c>
      <c r="O446" s="29" t="s">
        <v>1621</v>
      </c>
      <c r="P446" s="29" t="s">
        <v>1622</v>
      </c>
      <c r="Q446" s="29" t="s">
        <v>1623</v>
      </c>
      <c r="R446" s="29" t="s">
        <v>1624</v>
      </c>
      <c r="S446" s="29" t="s">
        <v>3305</v>
      </c>
      <c r="T446" s="29" t="s">
        <v>3306</v>
      </c>
      <c r="U446" s="29" t="s">
        <v>573</v>
      </c>
      <c r="V446" s="29" t="s">
        <v>2344</v>
      </c>
      <c r="W446" s="35" t="s">
        <v>1628</v>
      </c>
      <c r="X446" s="35" t="s">
        <v>1629</v>
      </c>
      <c r="Y446" s="35" t="s">
        <v>1630</v>
      </c>
      <c r="Z446" s="35" t="s">
        <v>3307</v>
      </c>
      <c r="AA446" s="35" t="s">
        <v>2345</v>
      </c>
      <c r="AB446" s="29" t="s">
        <v>3305</v>
      </c>
      <c r="AC446" s="35" t="s">
        <v>1633</v>
      </c>
      <c r="AD446" s="35" t="s">
        <v>2642</v>
      </c>
      <c r="AE446" s="35" t="s">
        <v>2642</v>
      </c>
      <c r="AF446" s="35" t="s">
        <v>1635</v>
      </c>
      <c r="AG446" s="35" t="s">
        <v>2634</v>
      </c>
      <c r="AI446" s="35"/>
      <c r="AJ446" s="35" t="s">
        <v>1637</v>
      </c>
      <c r="AK446" s="35" t="s">
        <v>1672</v>
      </c>
      <c r="AL446" s="29" t="s">
        <v>3308</v>
      </c>
      <c r="AM446" s="35"/>
      <c r="AN446" s="35"/>
      <c r="AO446" s="35"/>
      <c r="AP446" s="35"/>
      <c r="AQ446" s="35"/>
      <c r="AS446" s="35"/>
      <c r="AU446" s="35"/>
      <c r="AV446" s="29" t="s">
        <v>1641</v>
      </c>
      <c r="AW446" s="35"/>
      <c r="AY446" s="35"/>
      <c r="AZ446" s="35"/>
      <c r="BA446" s="35"/>
      <c r="BB446" s="29" t="s">
        <v>2346</v>
      </c>
      <c r="BC446" s="29" t="s">
        <v>2347</v>
      </c>
      <c r="BD446" s="29" t="s">
        <v>2348</v>
      </c>
      <c r="BE446" s="29" t="s">
        <v>1805</v>
      </c>
      <c r="BF446" s="29" t="s">
        <v>1931</v>
      </c>
      <c r="BG446" s="29" t="s">
        <v>3309</v>
      </c>
      <c r="BH446" s="29" t="s">
        <v>1648</v>
      </c>
      <c r="BI446" s="35"/>
      <c r="BJ446" s="35"/>
      <c r="BK446" s="29" t="str" cm="1">
        <f t="array" ref="BK446">_xlfn.UNIQUE(MID(BB446,16,14))</f>
        <v>U012UNA01UH100</v>
      </c>
    </row>
    <row r="447" spans="1:63" hidden="1" x14ac:dyDescent="0.3">
      <c r="A447" s="29" t="s">
        <v>1612</v>
      </c>
      <c r="B447" s="36" t="str">
        <f t="shared" si="30"/>
        <v>G01NHC01BQ001-BQ01</v>
      </c>
      <c r="C447" s="33" t="s">
        <v>3310</v>
      </c>
      <c r="D447" s="34" t="str">
        <f t="shared" si="31"/>
        <v>ELY1 H2 TRT QUAL QUAL1 AL1</v>
      </c>
      <c r="E447" s="31">
        <f t="shared" si="32"/>
        <v>26</v>
      </c>
      <c r="F447" s="32" t="str">
        <f t="shared" si="33"/>
        <v>ELECTROLYSIS SYSTEM ELECTROLYSIS ARRAY 1 H2 TREATMENT H2 TREATMENT SYSTEM QUALITY MEASURING SYSTEM O2 IN H2 MEASURING SYSTEM 11012; O2-MEASURING SENSOR FAULT</v>
      </c>
      <c r="G447" s="29" t="s">
        <v>1614</v>
      </c>
      <c r="H447" s="29" t="s">
        <v>1615</v>
      </c>
      <c r="I447" s="29" t="str">
        <f t="shared" si="34"/>
        <v>01</v>
      </c>
      <c r="J447" s="29" t="s">
        <v>1616</v>
      </c>
      <c r="K447" s="29" t="s">
        <v>1617</v>
      </c>
      <c r="L447" s="29" t="s">
        <v>1618</v>
      </c>
      <c r="M447" s="29" t="s">
        <v>1619</v>
      </c>
      <c r="N447" s="29" t="s">
        <v>1620</v>
      </c>
      <c r="O447" s="29" t="s">
        <v>1621</v>
      </c>
      <c r="P447" s="29" t="s">
        <v>1622</v>
      </c>
      <c r="Q447" s="29" t="s">
        <v>1623</v>
      </c>
      <c r="R447" s="29" t="s">
        <v>1624</v>
      </c>
      <c r="S447" s="29" t="s">
        <v>1687</v>
      </c>
      <c r="T447" s="29" t="s">
        <v>3311</v>
      </c>
      <c r="U447" s="29" t="s">
        <v>148</v>
      </c>
      <c r="V447" s="29" t="s">
        <v>3312</v>
      </c>
      <c r="W447" s="35" t="s">
        <v>1628</v>
      </c>
      <c r="X447" s="35" t="s">
        <v>1629</v>
      </c>
      <c r="Y447" s="35" t="s">
        <v>1630</v>
      </c>
      <c r="Z447" s="35" t="s">
        <v>1689</v>
      </c>
      <c r="AA447" s="35" t="s">
        <v>2714</v>
      </c>
      <c r="AB447" s="29" t="s">
        <v>1687</v>
      </c>
      <c r="AC447" s="35" t="s">
        <v>1633</v>
      </c>
      <c r="AD447" s="35" t="s">
        <v>2642</v>
      </c>
      <c r="AE447" s="35" t="s">
        <v>2642</v>
      </c>
      <c r="AF447" s="35" t="s">
        <v>1635</v>
      </c>
      <c r="AG447" s="35" t="s">
        <v>2634</v>
      </c>
      <c r="AI447" s="35"/>
      <c r="AJ447" s="35" t="s">
        <v>3313</v>
      </c>
      <c r="AK447" s="35" t="s">
        <v>1672</v>
      </c>
      <c r="AL447" s="29" t="s">
        <v>3087</v>
      </c>
      <c r="AM447" s="35"/>
      <c r="AN447" s="35"/>
      <c r="AO447" s="35"/>
      <c r="AP447" s="35"/>
      <c r="AQ447" s="35"/>
      <c r="AS447" s="35"/>
      <c r="AU447" s="35"/>
      <c r="AW447" s="35"/>
      <c r="AY447" s="35"/>
      <c r="AZ447" s="35"/>
      <c r="BA447" s="35"/>
      <c r="BB447" s="29" t="s">
        <v>2346</v>
      </c>
      <c r="BC447" s="29" t="s">
        <v>2347</v>
      </c>
      <c r="BD447" s="29" t="s">
        <v>2716</v>
      </c>
      <c r="BE447" s="29" t="s">
        <v>1805</v>
      </c>
      <c r="BF447" s="29" t="s">
        <v>2035</v>
      </c>
      <c r="BG447" s="29" t="s">
        <v>3314</v>
      </c>
      <c r="BH447" s="29" t="s">
        <v>1648</v>
      </c>
      <c r="BI447" s="35"/>
      <c r="BJ447" s="35"/>
      <c r="BK447" s="29" t="str" cm="1">
        <f t="array" ref="BK447">_xlfn.UNIQUE(MID(BB447,16,14))</f>
        <v>U012UNA01UH100</v>
      </c>
    </row>
    <row r="448" spans="1:63" x14ac:dyDescent="0.3">
      <c r="A448" s="29" t="s">
        <v>1612</v>
      </c>
      <c r="B448" s="36" t="str">
        <f t="shared" si="30"/>
        <v>G01NHC01BQ001-BQ01</v>
      </c>
      <c r="C448" s="33" t="s">
        <v>3315</v>
      </c>
      <c r="D448" s="34" t="str">
        <f t="shared" si="31"/>
        <v>ELY1 H2 TRT QUAL QUAL1 ANALOG1</v>
      </c>
      <c r="E448" s="31">
        <f t="shared" si="32"/>
        <v>30</v>
      </c>
      <c r="F448" s="32" t="str">
        <f t="shared" si="33"/>
        <v>ELECTROLYSIS SYSTEM ELECTROLYSIS ARRAY 1 H2 TREATMENT H2 TREATMENT SYSTEM QUALITY MEASURING SYSTEM O2 IN H2 MEASURING SYSTEM 11012; O2-MEASURING SENSOR ANALOG PROCESS SIGNAL</v>
      </c>
      <c r="G448" s="29" t="s">
        <v>1614</v>
      </c>
      <c r="H448" s="29" t="s">
        <v>1615</v>
      </c>
      <c r="I448" s="29" t="str">
        <f t="shared" si="34"/>
        <v>01</v>
      </c>
      <c r="J448" s="29" t="s">
        <v>1616</v>
      </c>
      <c r="K448" s="29" t="s">
        <v>1617</v>
      </c>
      <c r="L448" s="29" t="s">
        <v>1618</v>
      </c>
      <c r="M448" s="29" t="s">
        <v>1619</v>
      </c>
      <c r="N448" s="29" t="s">
        <v>1620</v>
      </c>
      <c r="O448" s="29" t="s">
        <v>1621</v>
      </c>
      <c r="P448" s="29" t="s">
        <v>1622</v>
      </c>
      <c r="Q448" s="29" t="s">
        <v>1623</v>
      </c>
      <c r="R448" s="29" t="s">
        <v>1624</v>
      </c>
      <c r="S448" s="29" t="s">
        <v>1687</v>
      </c>
      <c r="T448" s="29" t="s">
        <v>3311</v>
      </c>
      <c r="U448" s="29" t="s">
        <v>193</v>
      </c>
      <c r="V448" s="29" t="s">
        <v>1083</v>
      </c>
      <c r="W448" s="35" t="s">
        <v>1628</v>
      </c>
      <c r="X448" s="35" t="s">
        <v>1629</v>
      </c>
      <c r="Y448" s="35" t="s">
        <v>1630</v>
      </c>
      <c r="Z448" s="35" t="s">
        <v>1689</v>
      </c>
      <c r="AA448" s="35" t="s">
        <v>1666</v>
      </c>
      <c r="AB448" s="29" t="s">
        <v>1687</v>
      </c>
      <c r="AC448" s="35" t="s">
        <v>1633</v>
      </c>
      <c r="AD448" s="35" t="s">
        <v>1668</v>
      </c>
      <c r="AE448" s="35" t="s">
        <v>1668</v>
      </c>
      <c r="AF448" s="35" t="s">
        <v>1635</v>
      </c>
      <c r="AG448" s="35" t="s">
        <v>1670</v>
      </c>
      <c r="AI448" s="35"/>
      <c r="AJ448" s="35" t="s">
        <v>1671</v>
      </c>
      <c r="AK448" s="35" t="s">
        <v>1638</v>
      </c>
      <c r="AL448" s="29" t="s">
        <v>1671</v>
      </c>
      <c r="AM448" s="35"/>
      <c r="AN448" s="35"/>
      <c r="AO448" s="35"/>
      <c r="AP448" s="35"/>
      <c r="AQ448" s="35"/>
      <c r="AR448" s="29" t="s">
        <v>1756</v>
      </c>
      <c r="AS448" s="35"/>
      <c r="AT448" s="29" t="s">
        <v>1640</v>
      </c>
      <c r="AU448" s="35"/>
      <c r="AW448" s="35"/>
      <c r="AY448" s="35"/>
      <c r="AZ448" s="35" t="s">
        <v>1642</v>
      </c>
      <c r="BA448" s="35" t="s">
        <v>2002</v>
      </c>
      <c r="BB448" s="29" t="s">
        <v>2333</v>
      </c>
      <c r="BC448" s="29" t="s">
        <v>2004</v>
      </c>
      <c r="BD448" s="29" t="s">
        <v>3316</v>
      </c>
      <c r="BE448" s="29" t="s">
        <v>3317</v>
      </c>
      <c r="BF448" s="29" t="s">
        <v>1905</v>
      </c>
      <c r="BG448" s="29" t="s">
        <v>3314</v>
      </c>
      <c r="BH448" s="29" t="s">
        <v>1648</v>
      </c>
      <c r="BI448" s="35"/>
      <c r="BJ448" s="35"/>
      <c r="BK448" s="29" t="str" cm="1">
        <f t="array" ref="BK448">_xlfn.UNIQUE(MID(BB448,16,14))</f>
        <v>U012UNA01UH100</v>
      </c>
    </row>
    <row r="449" spans="1:63" x14ac:dyDescent="0.3">
      <c r="A449" s="29" t="s">
        <v>1612</v>
      </c>
      <c r="B449" s="36" t="str">
        <f t="shared" si="30"/>
        <v>G01NHC01BQ001-BQ01</v>
      </c>
      <c r="C449" s="33" t="s">
        <v>3318</v>
      </c>
      <c r="D449" s="34" t="str">
        <f t="shared" si="31"/>
        <v>ELY1 H2 TRT QUAL QUAL1 RDY F OP</v>
      </c>
      <c r="E449" s="31">
        <f t="shared" si="32"/>
        <v>31</v>
      </c>
      <c r="F449" s="32" t="str">
        <f t="shared" si="33"/>
        <v>ELECTROLYSIS SYSTEM ELECTROLYSIS ARRAY 1 H2 TREATMENT H2 TREATMENT SYSTEM QUALITY MEASURING SYSTEM O2 IN H2 MEASURING SYSTEM 11012; O2-MEASURING SENSOR FUNCTIONAL CHECK</v>
      </c>
      <c r="G449" s="29" t="s">
        <v>1614</v>
      </c>
      <c r="H449" s="29" t="s">
        <v>1615</v>
      </c>
      <c r="I449" s="29" t="str">
        <f t="shared" si="34"/>
        <v>01</v>
      </c>
      <c r="J449" s="29" t="s">
        <v>1616</v>
      </c>
      <c r="K449" s="29" t="s">
        <v>1617</v>
      </c>
      <c r="L449" s="29" t="s">
        <v>1618</v>
      </c>
      <c r="M449" s="29" t="s">
        <v>1619</v>
      </c>
      <c r="N449" s="29" t="s">
        <v>1620</v>
      </c>
      <c r="O449" s="29" t="s">
        <v>1621</v>
      </c>
      <c r="P449" s="29" t="s">
        <v>1622</v>
      </c>
      <c r="Q449" s="29" t="s">
        <v>1623</v>
      </c>
      <c r="R449" s="29" t="s">
        <v>1624</v>
      </c>
      <c r="S449" s="29" t="s">
        <v>1687</v>
      </c>
      <c r="T449" s="29" t="s">
        <v>3311</v>
      </c>
      <c r="U449" s="29" t="s">
        <v>1019</v>
      </c>
      <c r="V449" s="29" t="s">
        <v>3319</v>
      </c>
      <c r="W449" s="35" t="s">
        <v>1628</v>
      </c>
      <c r="X449" s="35" t="s">
        <v>1629</v>
      </c>
      <c r="Y449" s="35" t="s">
        <v>1630</v>
      </c>
      <c r="Z449" s="35" t="s">
        <v>1689</v>
      </c>
      <c r="AA449" s="35" t="s">
        <v>3320</v>
      </c>
      <c r="AB449" s="29" t="s">
        <v>1687</v>
      </c>
      <c r="AC449" s="35" t="s">
        <v>1633</v>
      </c>
      <c r="AD449" s="35" t="s">
        <v>2642</v>
      </c>
      <c r="AE449" s="35" t="s">
        <v>2642</v>
      </c>
      <c r="AF449" s="35" t="s">
        <v>1635</v>
      </c>
      <c r="AG449" s="35" t="s">
        <v>2634</v>
      </c>
      <c r="AI449" s="35"/>
      <c r="AJ449" s="35" t="s">
        <v>1637</v>
      </c>
      <c r="AK449" s="35" t="s">
        <v>1672</v>
      </c>
      <c r="AL449" s="29" t="s">
        <v>3087</v>
      </c>
      <c r="AM449" s="35"/>
      <c r="AN449" s="35"/>
      <c r="AO449" s="35"/>
      <c r="AP449" s="35"/>
      <c r="AQ449" s="35"/>
      <c r="AS449" s="35"/>
      <c r="AU449" s="35"/>
      <c r="AW449" s="35"/>
      <c r="AY449" s="35"/>
      <c r="AZ449" s="35"/>
      <c r="BA449" s="35"/>
      <c r="BB449" s="29" t="s">
        <v>2346</v>
      </c>
      <c r="BC449" s="29" t="s">
        <v>2347</v>
      </c>
      <c r="BD449" s="29" t="s">
        <v>3321</v>
      </c>
      <c r="BE449" s="29" t="s">
        <v>1805</v>
      </c>
      <c r="BF449" s="29" t="s">
        <v>1936</v>
      </c>
      <c r="BG449" s="29" t="s">
        <v>3314</v>
      </c>
      <c r="BH449" s="29" t="s">
        <v>1648</v>
      </c>
      <c r="BI449" s="35"/>
      <c r="BJ449" s="35"/>
      <c r="BK449" s="29" t="str" cm="1">
        <f t="array" ref="BK449">_xlfn.UNIQUE(MID(BB449,16,14))</f>
        <v>U012UNA01UH100</v>
      </c>
    </row>
    <row r="450" spans="1:63" x14ac:dyDescent="0.3">
      <c r="A450" s="29" t="s">
        <v>1612</v>
      </c>
      <c r="B450" s="36" t="str">
        <f t="shared" ref="B450:B513" si="35">RIGHT(A450,LEN(A450)-1)&amp;S450</f>
        <v>G01NHC01BQ001-BQ02</v>
      </c>
      <c r="C450" s="33" t="s">
        <v>3322</v>
      </c>
      <c r="D450" s="34" t="str">
        <f t="shared" ref="D450:D513" si="36">UPPER(W450&amp;" "&amp;X450&amp;" "&amp;Y450&amp;" "&amp;Z450&amp;" "&amp;AA450)</f>
        <v>ELY1 H2 TRT QUAL QUAL2 ANALOG1</v>
      </c>
      <c r="E450" s="31">
        <f t="shared" ref="E450:E513" si="37">LEN(D450)</f>
        <v>30</v>
      </c>
      <c r="F450" s="32" t="str">
        <f t="shared" ref="F450:F513" si="38">UPPER(H450&amp;" "&amp;J450&amp;" "&amp;L450&amp;" "&amp;N450&amp;" "&amp;P450&amp;" "&amp;R450&amp;" "&amp;T450&amp;" "&amp;V450)</f>
        <v>ELECTROLYSIS SYSTEM ELECTROLYSIS ARRAY 1 H2 TREATMENT H2 TREATMENT SYSTEM QUALITY MEASURING SYSTEM O2 IN H2 MEASURING SYSTEM 11012; O2-MEASURING SENSOR ANALOG PROCESS SIGNAL</v>
      </c>
      <c r="G450" s="29" t="s">
        <v>1614</v>
      </c>
      <c r="H450" s="29" t="s">
        <v>1615</v>
      </c>
      <c r="I450" s="29" t="str">
        <f t="shared" ref="I450:I513" si="39">RIGHT(LEFT(A450,4),2)</f>
        <v>01</v>
      </c>
      <c r="J450" s="29" t="s">
        <v>1616</v>
      </c>
      <c r="K450" s="29" t="s">
        <v>1617</v>
      </c>
      <c r="L450" s="29" t="s">
        <v>1618</v>
      </c>
      <c r="M450" s="29" t="s">
        <v>1619</v>
      </c>
      <c r="N450" s="29" t="s">
        <v>1620</v>
      </c>
      <c r="O450" s="29" t="s">
        <v>1621</v>
      </c>
      <c r="P450" s="29" t="s">
        <v>1622</v>
      </c>
      <c r="Q450" s="29" t="s">
        <v>1623</v>
      </c>
      <c r="R450" s="29" t="s">
        <v>1624</v>
      </c>
      <c r="S450" s="29" t="s">
        <v>1990</v>
      </c>
      <c r="T450" s="29" t="s">
        <v>3311</v>
      </c>
      <c r="U450" s="29" t="s">
        <v>193</v>
      </c>
      <c r="V450" s="29" t="s">
        <v>1083</v>
      </c>
      <c r="W450" s="35" t="s">
        <v>1628</v>
      </c>
      <c r="X450" s="35" t="s">
        <v>1629</v>
      </c>
      <c r="Y450" s="35" t="s">
        <v>1630</v>
      </c>
      <c r="Z450" s="35" t="s">
        <v>1992</v>
      </c>
      <c r="AA450" s="35" t="s">
        <v>1666</v>
      </c>
      <c r="AB450" s="29" t="s">
        <v>1990</v>
      </c>
      <c r="AC450" s="35" t="s">
        <v>1633</v>
      </c>
      <c r="AD450" s="35" t="s">
        <v>1668</v>
      </c>
      <c r="AE450" s="35" t="s">
        <v>1668</v>
      </c>
      <c r="AF450" s="35" t="s">
        <v>1635</v>
      </c>
      <c r="AG450" s="35" t="s">
        <v>1670</v>
      </c>
      <c r="AI450" s="35"/>
      <c r="AJ450" s="35" t="s">
        <v>1671</v>
      </c>
      <c r="AK450" s="35" t="s">
        <v>1638</v>
      </c>
      <c r="AL450" s="29" t="s">
        <v>1671</v>
      </c>
      <c r="AM450" s="35"/>
      <c r="AN450" s="35"/>
      <c r="AO450" s="35"/>
      <c r="AP450" s="35"/>
      <c r="AQ450" s="35"/>
      <c r="AR450" s="29" t="s">
        <v>1756</v>
      </c>
      <c r="AS450" s="35"/>
      <c r="AT450" s="29" t="s">
        <v>1640</v>
      </c>
      <c r="AU450" s="35"/>
      <c r="AW450" s="35"/>
      <c r="AY450" s="35"/>
      <c r="AZ450" s="35" t="s">
        <v>1642</v>
      </c>
      <c r="BA450" s="35" t="s">
        <v>2002</v>
      </c>
      <c r="BB450" s="29" t="s">
        <v>2333</v>
      </c>
      <c r="BC450" s="29" t="s">
        <v>2004</v>
      </c>
      <c r="BD450" s="29" t="s">
        <v>3323</v>
      </c>
      <c r="BE450" s="29" t="s">
        <v>2521</v>
      </c>
      <c r="BF450" s="29" t="s">
        <v>1909</v>
      </c>
      <c r="BG450" s="29" t="s">
        <v>3324</v>
      </c>
      <c r="BH450" s="29" t="s">
        <v>1648</v>
      </c>
      <c r="BI450" s="35"/>
      <c r="BJ450" s="35"/>
      <c r="BK450" s="29" t="str" cm="1">
        <f t="array" ref="BK450">_xlfn.UNIQUE(MID(BB450,16,14))</f>
        <v>U012UNA01UH100</v>
      </c>
    </row>
    <row r="451" spans="1:63" x14ac:dyDescent="0.3">
      <c r="A451" s="29" t="s">
        <v>1612</v>
      </c>
      <c r="B451" s="36" t="str">
        <f t="shared" si="35"/>
        <v>G01NHC01BQ001-BQ02</v>
      </c>
      <c r="C451" s="33" t="s">
        <v>3325</v>
      </c>
      <c r="D451" s="34" t="str">
        <f t="shared" si="36"/>
        <v>ELY1 H2 TRT QUAL QUAL2 AL1</v>
      </c>
      <c r="E451" s="31">
        <f t="shared" si="37"/>
        <v>26</v>
      </c>
      <c r="F451" s="32" t="str">
        <f t="shared" si="38"/>
        <v>ELECTROLYSIS SYSTEM ELECTROLYSIS ARRAY 1 H2 TREATMENT H2 TREATMENT SYSTEM QUALITY MEASURING SYSTEM O2 IN H2 MEASURING SYSTEM 11012; O2-MEASURING SENSOR FAULT</v>
      </c>
      <c r="G451" s="29" t="s">
        <v>1614</v>
      </c>
      <c r="H451" s="29" t="s">
        <v>1615</v>
      </c>
      <c r="I451" s="29" t="str">
        <f t="shared" si="39"/>
        <v>01</v>
      </c>
      <c r="J451" s="29" t="s">
        <v>1616</v>
      </c>
      <c r="K451" s="29" t="s">
        <v>1617</v>
      </c>
      <c r="L451" s="29" t="s">
        <v>1618</v>
      </c>
      <c r="M451" s="29" t="s">
        <v>1619</v>
      </c>
      <c r="N451" s="29" t="s">
        <v>1620</v>
      </c>
      <c r="O451" s="29" t="s">
        <v>1621</v>
      </c>
      <c r="P451" s="29" t="s">
        <v>1622</v>
      </c>
      <c r="Q451" s="29" t="s">
        <v>1623</v>
      </c>
      <c r="R451" s="29" t="s">
        <v>1624</v>
      </c>
      <c r="S451" s="29" t="s">
        <v>1990</v>
      </c>
      <c r="T451" s="29" t="s">
        <v>3311</v>
      </c>
      <c r="U451" s="29" t="s">
        <v>148</v>
      </c>
      <c r="V451" s="29" t="s">
        <v>3312</v>
      </c>
      <c r="W451" s="35" t="s">
        <v>1628</v>
      </c>
      <c r="X451" s="35" t="s">
        <v>1629</v>
      </c>
      <c r="Y451" s="35" t="s">
        <v>1630</v>
      </c>
      <c r="Z451" s="35" t="s">
        <v>1992</v>
      </c>
      <c r="AA451" s="35" t="s">
        <v>2714</v>
      </c>
      <c r="AB451" s="29" t="s">
        <v>1990</v>
      </c>
      <c r="AC451" s="35" t="s">
        <v>1633</v>
      </c>
      <c r="AD451" s="35" t="s">
        <v>2642</v>
      </c>
      <c r="AE451" s="35" t="s">
        <v>2642</v>
      </c>
      <c r="AF451" s="35" t="s">
        <v>1635</v>
      </c>
      <c r="AG451" s="35" t="s">
        <v>2634</v>
      </c>
      <c r="AI451" s="35"/>
      <c r="AJ451" s="35" t="s">
        <v>1637</v>
      </c>
      <c r="AK451" s="35" t="s">
        <v>1672</v>
      </c>
      <c r="AL451" s="29" t="s">
        <v>3087</v>
      </c>
      <c r="AM451" s="35"/>
      <c r="AN451" s="35"/>
      <c r="AO451" s="35"/>
      <c r="AP451" s="35"/>
      <c r="AQ451" s="35"/>
      <c r="AS451" s="35"/>
      <c r="AU451" s="35"/>
      <c r="AW451" s="35"/>
      <c r="AY451" s="35"/>
      <c r="AZ451" s="35"/>
      <c r="BA451" s="35"/>
      <c r="BB451" s="29" t="s">
        <v>2346</v>
      </c>
      <c r="BC451" s="29" t="s">
        <v>2347</v>
      </c>
      <c r="BD451" s="29" t="s">
        <v>2716</v>
      </c>
      <c r="BE451" s="29" t="s">
        <v>1805</v>
      </c>
      <c r="BF451" s="29" t="s">
        <v>1973</v>
      </c>
      <c r="BG451" s="29" t="s">
        <v>3324</v>
      </c>
      <c r="BH451" s="29" t="s">
        <v>1648</v>
      </c>
      <c r="BI451" s="35"/>
      <c r="BJ451" s="35"/>
      <c r="BK451" s="29" t="str" cm="1">
        <f t="array" ref="BK451">_xlfn.UNIQUE(MID(BB451,16,14))</f>
        <v>U012UNA01UH100</v>
      </c>
    </row>
    <row r="452" spans="1:63" x14ac:dyDescent="0.3">
      <c r="A452" s="29" t="s">
        <v>1612</v>
      </c>
      <c r="B452" s="36" t="str">
        <f t="shared" si="35"/>
        <v>G01NHC01BQ001-BQ02</v>
      </c>
      <c r="C452" s="33" t="s">
        <v>3326</v>
      </c>
      <c r="D452" s="34" t="str">
        <f t="shared" si="36"/>
        <v>ELY1 H2 TRT QUAL QUAL2 RDY F OP</v>
      </c>
      <c r="E452" s="31">
        <f t="shared" si="37"/>
        <v>31</v>
      </c>
      <c r="F452" s="32" t="str">
        <f t="shared" si="38"/>
        <v>ELECTROLYSIS SYSTEM ELECTROLYSIS ARRAY 1 H2 TREATMENT H2 TREATMENT SYSTEM QUALITY MEASURING SYSTEM O2 IN H2 MEASURING SYSTEM 11012; O2-MEASURING SENSOR FUNCTIONAL CHECK</v>
      </c>
      <c r="G452" s="29" t="s">
        <v>1614</v>
      </c>
      <c r="H452" s="29" t="s">
        <v>1615</v>
      </c>
      <c r="I452" s="29" t="str">
        <f t="shared" si="39"/>
        <v>01</v>
      </c>
      <c r="J452" s="29" t="s">
        <v>1616</v>
      </c>
      <c r="K452" s="29" t="s">
        <v>1617</v>
      </c>
      <c r="L452" s="29" t="s">
        <v>1618</v>
      </c>
      <c r="M452" s="29" t="s">
        <v>1619</v>
      </c>
      <c r="N452" s="29" t="s">
        <v>1620</v>
      </c>
      <c r="O452" s="29" t="s">
        <v>1621</v>
      </c>
      <c r="P452" s="29" t="s">
        <v>1622</v>
      </c>
      <c r="Q452" s="29" t="s">
        <v>1623</v>
      </c>
      <c r="R452" s="29" t="s">
        <v>1624</v>
      </c>
      <c r="S452" s="29" t="s">
        <v>1990</v>
      </c>
      <c r="T452" s="29" t="s">
        <v>3311</v>
      </c>
      <c r="U452" s="29" t="s">
        <v>1019</v>
      </c>
      <c r="V452" s="29" t="s">
        <v>3319</v>
      </c>
      <c r="W452" s="35" t="s">
        <v>1628</v>
      </c>
      <c r="X452" s="35" t="s">
        <v>1629</v>
      </c>
      <c r="Y452" s="35" t="s">
        <v>1630</v>
      </c>
      <c r="Z452" s="35" t="s">
        <v>1992</v>
      </c>
      <c r="AA452" s="35" t="s">
        <v>3320</v>
      </c>
      <c r="AB452" s="29" t="s">
        <v>1990</v>
      </c>
      <c r="AC452" s="35" t="s">
        <v>1633</v>
      </c>
      <c r="AD452" s="35" t="s">
        <v>2642</v>
      </c>
      <c r="AE452" s="35" t="s">
        <v>2642</v>
      </c>
      <c r="AF452" s="35" t="s">
        <v>1635</v>
      </c>
      <c r="AG452" s="35" t="s">
        <v>2634</v>
      </c>
      <c r="AI452" s="35"/>
      <c r="AJ452" s="35" t="s">
        <v>1637</v>
      </c>
      <c r="AK452" s="35" t="s">
        <v>1672</v>
      </c>
      <c r="AL452" s="29" t="s">
        <v>3087</v>
      </c>
      <c r="AM452" s="35"/>
      <c r="AN452" s="35"/>
      <c r="AO452" s="35"/>
      <c r="AP452" s="35"/>
      <c r="AQ452" s="35"/>
      <c r="AS452" s="35"/>
      <c r="AU452" s="35"/>
      <c r="AW452" s="35"/>
      <c r="AY452" s="35"/>
      <c r="AZ452" s="35"/>
      <c r="BA452" s="35"/>
      <c r="BB452" s="29" t="s">
        <v>2346</v>
      </c>
      <c r="BC452" s="29" t="s">
        <v>2347</v>
      </c>
      <c r="BD452" s="29" t="s">
        <v>3321</v>
      </c>
      <c r="BE452" s="29" t="s">
        <v>1805</v>
      </c>
      <c r="BF452" s="29" t="s">
        <v>1969</v>
      </c>
      <c r="BG452" s="29" t="s">
        <v>3324</v>
      </c>
      <c r="BH452" s="29" t="s">
        <v>1648</v>
      </c>
      <c r="BI452" s="35"/>
      <c r="BJ452" s="35"/>
      <c r="BK452" s="29" t="str" cm="1">
        <f t="array" ref="BK452">_xlfn.UNIQUE(MID(BB452,16,14))</f>
        <v>U012UNA01UH100</v>
      </c>
    </row>
    <row r="453" spans="1:63" x14ac:dyDescent="0.3">
      <c r="A453" s="29" t="s">
        <v>1612</v>
      </c>
      <c r="B453" s="36" t="str">
        <f t="shared" si="35"/>
        <v>G01NHC01BQ001-EQ01</v>
      </c>
      <c r="C453" s="33" t="s">
        <v>3327</v>
      </c>
      <c r="D453" s="34" t="str">
        <f t="shared" si="36"/>
        <v>ELY1 H2 TRT QUAL GAS COOL GRP FLT</v>
      </c>
      <c r="E453" s="31">
        <f t="shared" si="37"/>
        <v>33</v>
      </c>
      <c r="F453" s="32" t="str">
        <f t="shared" si="38"/>
        <v>ELECTROLYSIS SYSTEM ELECTROLYSIS ARRAY 1 H2 TREATMENT H2 TREATMENT SYSTEM QUALITY MEASURING SYSTEM O2 IN H2 MEASURING SYSTEM GAS COOLER H2 GROUP FAULT ALARM</v>
      </c>
      <c r="G453" s="29" t="s">
        <v>1614</v>
      </c>
      <c r="H453" s="29" t="s">
        <v>1615</v>
      </c>
      <c r="I453" s="29" t="str">
        <f t="shared" si="39"/>
        <v>01</v>
      </c>
      <c r="J453" s="29" t="s">
        <v>1616</v>
      </c>
      <c r="K453" s="29" t="s">
        <v>1617</v>
      </c>
      <c r="L453" s="29" t="s">
        <v>1618</v>
      </c>
      <c r="M453" s="29" t="s">
        <v>1619</v>
      </c>
      <c r="N453" s="29" t="s">
        <v>1620</v>
      </c>
      <c r="O453" s="29" t="s">
        <v>1621</v>
      </c>
      <c r="P453" s="29" t="s">
        <v>1622</v>
      </c>
      <c r="Q453" s="29" t="s">
        <v>1623</v>
      </c>
      <c r="R453" s="29" t="s">
        <v>1624</v>
      </c>
      <c r="S453" s="29" t="s">
        <v>3328</v>
      </c>
      <c r="T453" s="29" t="s">
        <v>3329</v>
      </c>
      <c r="U453" s="29" t="s">
        <v>1033</v>
      </c>
      <c r="V453" s="29" t="s">
        <v>1288</v>
      </c>
      <c r="W453" s="35" t="s">
        <v>1628</v>
      </c>
      <c r="X453" s="35" t="s">
        <v>1629</v>
      </c>
      <c r="Y453" s="35" t="s">
        <v>1630</v>
      </c>
      <c r="Z453" s="35" t="s">
        <v>3330</v>
      </c>
      <c r="AA453" s="35" t="s">
        <v>2633</v>
      </c>
      <c r="AB453" s="29" t="s">
        <v>3331</v>
      </c>
      <c r="AC453" s="35" t="s">
        <v>1633</v>
      </c>
      <c r="AD453" s="35" t="s">
        <v>2642</v>
      </c>
      <c r="AE453" s="35" t="s">
        <v>2642</v>
      </c>
      <c r="AF453" s="35" t="s">
        <v>1635</v>
      </c>
      <c r="AG453" s="35" t="s">
        <v>2634</v>
      </c>
      <c r="AI453" s="35"/>
      <c r="AJ453" s="35" t="s">
        <v>1637</v>
      </c>
      <c r="AK453" s="35" t="s">
        <v>1672</v>
      </c>
      <c r="AL453" s="29" t="s">
        <v>3087</v>
      </c>
      <c r="AM453" s="35"/>
      <c r="AN453" s="35"/>
      <c r="AO453" s="35"/>
      <c r="AP453" s="35"/>
      <c r="AQ453" s="35"/>
      <c r="AS453" s="35"/>
      <c r="AU453" s="35"/>
      <c r="AW453" s="35"/>
      <c r="AY453" s="35"/>
      <c r="AZ453" s="35"/>
      <c r="BA453" s="35"/>
      <c r="BB453" s="29" t="s">
        <v>2346</v>
      </c>
      <c r="BC453" s="29" t="s">
        <v>2347</v>
      </c>
      <c r="BD453" s="29" t="s">
        <v>2635</v>
      </c>
      <c r="BE453" s="29" t="s">
        <v>1805</v>
      </c>
      <c r="BF453" s="29" t="s">
        <v>2051</v>
      </c>
      <c r="BG453" s="29" t="s">
        <v>3332</v>
      </c>
      <c r="BH453" s="29" t="s">
        <v>1648</v>
      </c>
      <c r="BI453" s="35"/>
      <c r="BJ453" s="35"/>
      <c r="BK453" s="29" t="str" cm="1">
        <f t="array" ref="BK453">_xlfn.UNIQUE(MID(BB453,16,14))</f>
        <v>U012UNA01UH100</v>
      </c>
    </row>
    <row r="454" spans="1:63" x14ac:dyDescent="0.3">
      <c r="A454" s="29" t="s">
        <v>1612</v>
      </c>
      <c r="B454" s="36" t="str">
        <f t="shared" si="35"/>
        <v>G01NHC01BQ001-EQ01</v>
      </c>
      <c r="C454" s="33" t="s">
        <v>3333</v>
      </c>
      <c r="D454" s="34" t="str">
        <f t="shared" si="36"/>
        <v>ELY1 H2 TRT QUAL GAS COOL CHECK CMD</v>
      </c>
      <c r="E454" s="31">
        <f t="shared" si="37"/>
        <v>35</v>
      </c>
      <c r="F454" s="32" t="str">
        <f t="shared" si="38"/>
        <v>ELECTROLYSIS SYSTEM ELECTROLYSIS ARRAY 1 H2 TREATMENT H2 TREATMENT SYSTEM QUALITY MEASURING SYSTEM O2 IN H2 MEASURING SYSTEM GAS COOLER H2 CHECK COMMAND</v>
      </c>
      <c r="G454" s="29" t="s">
        <v>1614</v>
      </c>
      <c r="H454" s="29" t="s">
        <v>1615</v>
      </c>
      <c r="I454" s="29" t="str">
        <f t="shared" si="39"/>
        <v>01</v>
      </c>
      <c r="J454" s="29" t="s">
        <v>1616</v>
      </c>
      <c r="K454" s="29" t="s">
        <v>1617</v>
      </c>
      <c r="L454" s="29" t="s">
        <v>1618</v>
      </c>
      <c r="M454" s="29" t="s">
        <v>1619</v>
      </c>
      <c r="N454" s="29" t="s">
        <v>1620</v>
      </c>
      <c r="O454" s="29" t="s">
        <v>1621</v>
      </c>
      <c r="P454" s="29" t="s">
        <v>1622</v>
      </c>
      <c r="Q454" s="29" t="s">
        <v>1623</v>
      </c>
      <c r="R454" s="29" t="s">
        <v>1624</v>
      </c>
      <c r="S454" s="29" t="s">
        <v>3328</v>
      </c>
      <c r="T454" s="29" t="s">
        <v>3329</v>
      </c>
      <c r="U454" s="29" t="s">
        <v>1105</v>
      </c>
      <c r="V454" s="29" t="s">
        <v>1107</v>
      </c>
      <c r="W454" s="35" t="s">
        <v>1628</v>
      </c>
      <c r="X454" s="35" t="s">
        <v>1629</v>
      </c>
      <c r="Y454" s="35" t="s">
        <v>1630</v>
      </c>
      <c r="Z454" s="35" t="s">
        <v>3330</v>
      </c>
      <c r="AA454" s="35" t="s">
        <v>2697</v>
      </c>
      <c r="AB454" s="29" t="s">
        <v>2653</v>
      </c>
      <c r="AC454" s="35" t="s">
        <v>1633</v>
      </c>
      <c r="AD454" s="35" t="s">
        <v>1634</v>
      </c>
      <c r="AE454" s="35" t="s">
        <v>1634</v>
      </c>
      <c r="AF454" s="35" t="s">
        <v>1635</v>
      </c>
      <c r="AG454" s="35" t="s">
        <v>1636</v>
      </c>
      <c r="AI454" s="35"/>
      <c r="AJ454" s="35" t="s">
        <v>1637</v>
      </c>
      <c r="AK454" s="35" t="s">
        <v>1672</v>
      </c>
      <c r="AL454" s="29" t="s">
        <v>1729</v>
      </c>
      <c r="AM454" s="35"/>
      <c r="AN454" s="35"/>
      <c r="AO454" s="35"/>
      <c r="AP454" s="35"/>
      <c r="AQ454" s="35"/>
      <c r="AS454" s="35"/>
      <c r="AU454" s="35"/>
      <c r="AW454" s="35"/>
      <c r="AY454" s="35"/>
      <c r="AZ454" s="35"/>
      <c r="BA454" s="35"/>
      <c r="BB454" s="29" t="s">
        <v>2346</v>
      </c>
      <c r="BC454" s="29" t="s">
        <v>2347</v>
      </c>
      <c r="BD454" s="29" t="s">
        <v>3334</v>
      </c>
      <c r="BE454" s="29" t="s">
        <v>1805</v>
      </c>
      <c r="BF454" s="29" t="s">
        <v>2048</v>
      </c>
      <c r="BG454" s="29" t="s">
        <v>3335</v>
      </c>
      <c r="BH454" s="29" t="s">
        <v>1648</v>
      </c>
      <c r="BI454" s="35"/>
      <c r="BJ454" s="35"/>
      <c r="BK454" s="29" t="str" cm="1">
        <f t="array" ref="BK454">_xlfn.UNIQUE(MID(BB454,16,14))</f>
        <v>U012UNA01UH100</v>
      </c>
    </row>
    <row r="455" spans="1:63" hidden="1" x14ac:dyDescent="0.3">
      <c r="A455" s="29" t="s">
        <v>1612</v>
      </c>
      <c r="B455" s="36" t="str">
        <f t="shared" si="35"/>
        <v>G01NHC01BQ001-EQ01</v>
      </c>
      <c r="C455" s="33" t="s">
        <v>3336</v>
      </c>
      <c r="D455" s="34" t="str">
        <f t="shared" si="36"/>
        <v>ELY1 H2 TRT QUAL GAS COOL CMD ON/OP</v>
      </c>
      <c r="E455" s="31">
        <f t="shared" si="37"/>
        <v>35</v>
      </c>
      <c r="F455" s="32" t="str">
        <f t="shared" si="38"/>
        <v>ELECTROLYSIS SYSTEM ELECTROLYSIS ARRAY 1 H2 TREATMENT H2 TREATMENT SYSTEM QUALITY MEASURING SYSTEM O2 IN H2 MEASURING SYSTEM GAS COOLER H2 MANUAL COMMAND ON/OPEN</v>
      </c>
      <c r="G455" s="29" t="s">
        <v>1614</v>
      </c>
      <c r="H455" s="29" t="s">
        <v>1615</v>
      </c>
      <c r="I455" s="29" t="str">
        <f t="shared" si="39"/>
        <v>01</v>
      </c>
      <c r="J455" s="29" t="s">
        <v>1616</v>
      </c>
      <c r="K455" s="29" t="s">
        <v>1617</v>
      </c>
      <c r="L455" s="29" t="s">
        <v>1618</v>
      </c>
      <c r="M455" s="29" t="s">
        <v>1619</v>
      </c>
      <c r="N455" s="29" t="s">
        <v>1620</v>
      </c>
      <c r="O455" s="29" t="s">
        <v>1621</v>
      </c>
      <c r="P455" s="29" t="s">
        <v>1622</v>
      </c>
      <c r="Q455" s="29" t="s">
        <v>1623</v>
      </c>
      <c r="R455" s="29" t="s">
        <v>1624</v>
      </c>
      <c r="S455" s="29" t="s">
        <v>3328</v>
      </c>
      <c r="T455" s="29" t="s">
        <v>3329</v>
      </c>
      <c r="U455" s="29" t="s">
        <v>3337</v>
      </c>
      <c r="V455" s="29" t="s">
        <v>3338</v>
      </c>
      <c r="W455" s="35" t="s">
        <v>1628</v>
      </c>
      <c r="X455" s="35" t="s">
        <v>1629</v>
      </c>
      <c r="Y455" s="35" t="s">
        <v>1630</v>
      </c>
      <c r="Z455" s="35" t="s">
        <v>3330</v>
      </c>
      <c r="AA455" s="35" t="s">
        <v>3339</v>
      </c>
      <c r="AB455" s="29" t="s">
        <v>2653</v>
      </c>
      <c r="AC455" s="35" t="s">
        <v>1633</v>
      </c>
      <c r="AD455" s="35" t="s">
        <v>2642</v>
      </c>
      <c r="AE455" s="35" t="s">
        <v>2642</v>
      </c>
      <c r="AF455" s="35" t="s">
        <v>1635</v>
      </c>
      <c r="AG455" s="35" t="s">
        <v>2634</v>
      </c>
      <c r="AI455" s="35"/>
      <c r="AJ455" s="35" t="s">
        <v>3340</v>
      </c>
      <c r="AK455" s="35" t="s">
        <v>1672</v>
      </c>
      <c r="AL455" s="29" t="s">
        <v>1729</v>
      </c>
      <c r="AM455" s="35"/>
      <c r="AN455" s="35"/>
      <c r="AO455" s="35"/>
      <c r="AP455" s="35"/>
      <c r="AQ455" s="35"/>
      <c r="AS455" s="35"/>
      <c r="AU455" s="35"/>
      <c r="AW455" s="35"/>
      <c r="AY455" s="35"/>
      <c r="AZ455" s="35"/>
      <c r="BA455" s="35"/>
      <c r="BB455" s="29" t="s">
        <v>3341</v>
      </c>
      <c r="BC455" s="29" t="s">
        <v>3342</v>
      </c>
      <c r="BD455" s="29" t="s">
        <v>3343</v>
      </c>
      <c r="BE455" s="29" t="s">
        <v>1805</v>
      </c>
      <c r="BF455" s="29" t="s">
        <v>1905</v>
      </c>
      <c r="BG455" s="29" t="s">
        <v>3335</v>
      </c>
      <c r="BH455" s="29" t="s">
        <v>1648</v>
      </c>
      <c r="BI455" s="35"/>
      <c r="BJ455" s="35"/>
      <c r="BK455" s="29" t="str" cm="1">
        <f t="array" ref="BK455">_xlfn.UNIQUE(MID(BB455,16,14))</f>
        <v>U012UNA01UH100</v>
      </c>
    </row>
    <row r="456" spans="1:63" x14ac:dyDescent="0.3">
      <c r="A456" s="29" t="s">
        <v>1612</v>
      </c>
      <c r="B456" s="36" t="str">
        <f t="shared" si="35"/>
        <v>G01NHC01BQ001-FC01</v>
      </c>
      <c r="C456" s="33" t="s">
        <v>3344</v>
      </c>
      <c r="D456" s="34" t="str">
        <f t="shared" si="36"/>
        <v>ELY1 H2 TRT QUAL 24V MON1 GRP FLT</v>
      </c>
      <c r="E456" s="31">
        <f t="shared" si="37"/>
        <v>33</v>
      </c>
      <c r="F456" s="32" t="str">
        <f t="shared" si="38"/>
        <v>ELECTROLYSIS SYSTEM ELECTROLYSIS ARRAY 1 H2 TREATMENT H2 TREATMENT SYSTEM QUALITY MEASURING SYSTEM O2 IN H2 MEASURING SYSTEM GENERAL FEEDBACK - POWER SUPPLY GROUP FAULT ALARM</v>
      </c>
      <c r="G456" s="29" t="s">
        <v>1614</v>
      </c>
      <c r="H456" s="29" t="s">
        <v>1615</v>
      </c>
      <c r="I456" s="29" t="str">
        <f t="shared" si="39"/>
        <v>01</v>
      </c>
      <c r="J456" s="29" t="s">
        <v>1616</v>
      </c>
      <c r="K456" s="29" t="s">
        <v>1617</v>
      </c>
      <c r="L456" s="29" t="s">
        <v>1618</v>
      </c>
      <c r="M456" s="29" t="s">
        <v>1619</v>
      </c>
      <c r="N456" s="29" t="s">
        <v>1620</v>
      </c>
      <c r="O456" s="29" t="s">
        <v>1621</v>
      </c>
      <c r="P456" s="29" t="s">
        <v>1622</v>
      </c>
      <c r="Q456" s="29" t="s">
        <v>1623</v>
      </c>
      <c r="R456" s="29" t="s">
        <v>1624</v>
      </c>
      <c r="S456" s="29" t="s">
        <v>2657</v>
      </c>
      <c r="T456" s="29" t="s">
        <v>3345</v>
      </c>
      <c r="U456" s="29" t="s">
        <v>1033</v>
      </c>
      <c r="V456" s="29" t="s">
        <v>1288</v>
      </c>
      <c r="W456" s="35" t="s">
        <v>1628</v>
      </c>
      <c r="X456" s="35" t="s">
        <v>1629</v>
      </c>
      <c r="Y456" s="35" t="s">
        <v>1630</v>
      </c>
      <c r="Z456" s="35" t="s">
        <v>2659</v>
      </c>
      <c r="AA456" s="35" t="s">
        <v>2633</v>
      </c>
      <c r="AB456" s="29" t="s">
        <v>2653</v>
      </c>
      <c r="AC456" s="35" t="s">
        <v>1633</v>
      </c>
      <c r="AD456" s="35" t="s">
        <v>2642</v>
      </c>
      <c r="AE456" s="35" t="s">
        <v>2642</v>
      </c>
      <c r="AF456" s="35" t="s">
        <v>1635</v>
      </c>
      <c r="AG456" s="35" t="s">
        <v>2634</v>
      </c>
      <c r="AI456" s="35"/>
      <c r="AJ456" s="35" t="s">
        <v>1637</v>
      </c>
      <c r="AK456" s="35" t="s">
        <v>1672</v>
      </c>
      <c r="AL456" s="29" t="s">
        <v>3087</v>
      </c>
      <c r="AM456" s="35"/>
      <c r="AN456" s="35"/>
      <c r="AO456" s="35"/>
      <c r="AP456" s="35"/>
      <c r="AQ456" s="35"/>
      <c r="AS456" s="35"/>
      <c r="AU456" s="35"/>
      <c r="AW456" s="35"/>
      <c r="AY456" s="35"/>
      <c r="AZ456" s="35"/>
      <c r="BA456" s="35"/>
      <c r="BB456" s="29" t="s">
        <v>2346</v>
      </c>
      <c r="BC456" s="29" t="s">
        <v>2347</v>
      </c>
      <c r="BD456" s="29" t="s">
        <v>2635</v>
      </c>
      <c r="BE456" s="29" t="s">
        <v>1805</v>
      </c>
      <c r="BF456" s="29" t="s">
        <v>2016</v>
      </c>
      <c r="BG456" s="29" t="s">
        <v>3346</v>
      </c>
      <c r="BI456" s="35"/>
      <c r="BJ456" s="35"/>
      <c r="BK456" s="29" t="str" cm="1">
        <f t="array" ref="BK456">_xlfn.UNIQUE(MID(BB456,16,14))</f>
        <v>U012UNA01UH100</v>
      </c>
    </row>
    <row r="457" spans="1:63" x14ac:dyDescent="0.3">
      <c r="A457" s="29" t="s">
        <v>1612</v>
      </c>
      <c r="B457" s="36" t="str">
        <f t="shared" si="35"/>
        <v>G01NHC01BQ001-GP01</v>
      </c>
      <c r="C457" s="33" t="s">
        <v>3347</v>
      </c>
      <c r="D457" s="34" t="str">
        <f t="shared" si="36"/>
        <v>ELY1 H2 TRT QUAL PMP1 CHECK CMD</v>
      </c>
      <c r="E457" s="31">
        <f t="shared" si="37"/>
        <v>31</v>
      </c>
      <c r="F457" s="32" t="str">
        <f t="shared" si="38"/>
        <v>ELECTROLYSIS SYSTEM ELECTROLYSIS ARRAY 1 H2 TREATMENT H2 TREATMENT SYSTEM QUALITY MEASURING SYSTEM O2 IN H2 MEASURING SYSTEM GAS ANALYTIC PUMP, H2 CHECK COMMAND</v>
      </c>
      <c r="G457" s="29" t="s">
        <v>1614</v>
      </c>
      <c r="H457" s="29" t="s">
        <v>1615</v>
      </c>
      <c r="I457" s="29" t="str">
        <f t="shared" si="39"/>
        <v>01</v>
      </c>
      <c r="J457" s="29" t="s">
        <v>1616</v>
      </c>
      <c r="K457" s="29" t="s">
        <v>1617</v>
      </c>
      <c r="L457" s="29" t="s">
        <v>1618</v>
      </c>
      <c r="M457" s="29" t="s">
        <v>1619</v>
      </c>
      <c r="N457" s="29" t="s">
        <v>1620</v>
      </c>
      <c r="O457" s="29" t="s">
        <v>1621</v>
      </c>
      <c r="P457" s="29" t="s">
        <v>1622</v>
      </c>
      <c r="Q457" s="29" t="s">
        <v>1623</v>
      </c>
      <c r="R457" s="29" t="s">
        <v>1624</v>
      </c>
      <c r="S457" s="29" t="s">
        <v>2695</v>
      </c>
      <c r="T457" s="29" t="s">
        <v>3348</v>
      </c>
      <c r="U457" s="29" t="s">
        <v>1105</v>
      </c>
      <c r="V457" s="29" t="s">
        <v>1107</v>
      </c>
      <c r="W457" s="35" t="s">
        <v>1628</v>
      </c>
      <c r="X457" s="35" t="s">
        <v>1629</v>
      </c>
      <c r="Y457" s="35" t="s">
        <v>1630</v>
      </c>
      <c r="Z457" s="35" t="s">
        <v>1683</v>
      </c>
      <c r="AA457" s="35" t="s">
        <v>2697</v>
      </c>
      <c r="AB457" s="29" t="s">
        <v>2653</v>
      </c>
      <c r="AC457" s="35" t="s">
        <v>1633</v>
      </c>
      <c r="AD457" s="35" t="s">
        <v>1634</v>
      </c>
      <c r="AE457" s="35" t="s">
        <v>1634</v>
      </c>
      <c r="AF457" s="35" t="s">
        <v>1635</v>
      </c>
      <c r="AG457" s="35" t="s">
        <v>1636</v>
      </c>
      <c r="AI457" s="35"/>
      <c r="AJ457" s="35" t="s">
        <v>1637</v>
      </c>
      <c r="AK457" s="35" t="s">
        <v>1672</v>
      </c>
      <c r="AL457" s="29" t="s">
        <v>1729</v>
      </c>
      <c r="AM457" s="35"/>
      <c r="AN457" s="35"/>
      <c r="AO457" s="35"/>
      <c r="AP457" s="35"/>
      <c r="AQ457" s="35"/>
      <c r="AS457" s="35"/>
      <c r="AU457" s="35"/>
      <c r="AW457" s="35"/>
      <c r="AY457" s="35"/>
      <c r="AZ457" s="35"/>
      <c r="BA457" s="35"/>
      <c r="BB457" s="29" t="s">
        <v>2346</v>
      </c>
      <c r="BC457" s="29" t="s">
        <v>2347</v>
      </c>
      <c r="BD457" s="29" t="s">
        <v>3334</v>
      </c>
      <c r="BE457" s="29" t="s">
        <v>1805</v>
      </c>
      <c r="BF457" s="29" t="s">
        <v>2341</v>
      </c>
      <c r="BG457" s="29" t="s">
        <v>3349</v>
      </c>
      <c r="BH457" s="29" t="s">
        <v>1648</v>
      </c>
      <c r="BI457" s="35"/>
      <c r="BJ457" s="35"/>
      <c r="BK457" s="29" t="str" cm="1">
        <f t="array" ref="BK457">_xlfn.UNIQUE(MID(BB457,16,14))</f>
        <v>U012UNA01UH100</v>
      </c>
    </row>
    <row r="458" spans="1:63" hidden="1" x14ac:dyDescent="0.3">
      <c r="A458" s="29" t="s">
        <v>1612</v>
      </c>
      <c r="B458" s="36" t="str">
        <f t="shared" si="35"/>
        <v>G01NHC01BQ001-GP01</v>
      </c>
      <c r="C458" s="33" t="s">
        <v>3350</v>
      </c>
      <c r="D458" s="34" t="str">
        <f t="shared" si="36"/>
        <v>ELY1 H2 TRT QUAL PMP1 CMD ON/OP</v>
      </c>
      <c r="E458" s="31">
        <f t="shared" si="37"/>
        <v>31</v>
      </c>
      <c r="F458" s="32" t="str">
        <f t="shared" si="38"/>
        <v>ELECTROLYSIS SYSTEM ELECTROLYSIS ARRAY 1 H2 TREATMENT H2 TREATMENT SYSTEM QUALITY MEASURING SYSTEM O2 IN H2 MEASURING SYSTEM GAS ANALYTIC PUMP, H2 MANUAL COMMAND ON/OPEN</v>
      </c>
      <c r="G458" s="29" t="s">
        <v>1614</v>
      </c>
      <c r="H458" s="29" t="s">
        <v>1615</v>
      </c>
      <c r="I458" s="29" t="str">
        <f t="shared" si="39"/>
        <v>01</v>
      </c>
      <c r="J458" s="29" t="s">
        <v>1616</v>
      </c>
      <c r="K458" s="29" t="s">
        <v>1617</v>
      </c>
      <c r="L458" s="29" t="s">
        <v>1618</v>
      </c>
      <c r="M458" s="29" t="s">
        <v>1619</v>
      </c>
      <c r="N458" s="29" t="s">
        <v>1620</v>
      </c>
      <c r="O458" s="29" t="s">
        <v>1621</v>
      </c>
      <c r="P458" s="29" t="s">
        <v>1622</v>
      </c>
      <c r="Q458" s="29" t="s">
        <v>1623</v>
      </c>
      <c r="R458" s="29" t="s">
        <v>1624</v>
      </c>
      <c r="S458" s="29" t="s">
        <v>2695</v>
      </c>
      <c r="T458" s="29" t="s">
        <v>3348</v>
      </c>
      <c r="U458" s="29" t="s">
        <v>3337</v>
      </c>
      <c r="V458" s="29" t="s">
        <v>3338</v>
      </c>
      <c r="W458" s="35" t="s">
        <v>1628</v>
      </c>
      <c r="X458" s="35" t="s">
        <v>1629</v>
      </c>
      <c r="Y458" s="35" t="s">
        <v>1630</v>
      </c>
      <c r="Z458" s="35" t="s">
        <v>1683</v>
      </c>
      <c r="AA458" s="35" t="s">
        <v>3339</v>
      </c>
      <c r="AB458" s="29" t="s">
        <v>2653</v>
      </c>
      <c r="AC458" s="35" t="s">
        <v>1633</v>
      </c>
      <c r="AD458" s="35" t="s">
        <v>1634</v>
      </c>
      <c r="AE458" s="35" t="s">
        <v>1634</v>
      </c>
      <c r="AF458" s="35" t="s">
        <v>1635</v>
      </c>
      <c r="AG458" s="35" t="s">
        <v>1636</v>
      </c>
      <c r="AI458" s="35"/>
      <c r="AJ458" s="35" t="s">
        <v>3340</v>
      </c>
      <c r="AK458" s="35" t="s">
        <v>1672</v>
      </c>
      <c r="AL458" s="29" t="s">
        <v>1729</v>
      </c>
      <c r="AM458" s="35"/>
      <c r="AN458" s="35"/>
      <c r="AO458" s="35"/>
      <c r="AP458" s="35"/>
      <c r="AQ458" s="35"/>
      <c r="AS458" s="35"/>
      <c r="AU458" s="35"/>
      <c r="AW458" s="35"/>
      <c r="AY458" s="35"/>
      <c r="AZ458" s="35"/>
      <c r="BA458" s="35"/>
      <c r="BB458" s="29" t="s">
        <v>3341</v>
      </c>
      <c r="BC458" s="29" t="s">
        <v>3342</v>
      </c>
      <c r="BD458" s="29" t="s">
        <v>3343</v>
      </c>
      <c r="BE458" s="29" t="s">
        <v>1805</v>
      </c>
      <c r="BF458" s="29" t="s">
        <v>1619</v>
      </c>
      <c r="BG458" s="29" t="s">
        <v>3349</v>
      </c>
      <c r="BH458" s="29" t="s">
        <v>1648</v>
      </c>
      <c r="BI458" s="35"/>
      <c r="BJ458" s="35"/>
      <c r="BK458" s="29" t="str" cm="1">
        <f t="array" ref="BK458">_xlfn.UNIQUE(MID(BB458,16,14))</f>
        <v>U012UNA01UH100</v>
      </c>
    </row>
    <row r="459" spans="1:63" x14ac:dyDescent="0.3">
      <c r="A459" s="29" t="s">
        <v>1612</v>
      </c>
      <c r="B459" s="36" t="str">
        <f t="shared" si="35"/>
        <v>G01NHC01BQ001-QM11</v>
      </c>
      <c r="C459" s="33" t="s">
        <v>3351</v>
      </c>
      <c r="D459" s="34" t="str">
        <f t="shared" si="36"/>
        <v>ELY1 H2 TRT QUAL SV11 CB ON/OPN</v>
      </c>
      <c r="E459" s="31">
        <f t="shared" si="37"/>
        <v>31</v>
      </c>
      <c r="F459" s="32" t="str">
        <f t="shared" si="38"/>
        <v>ELECTROLYSIS SYSTEM ELECTROLYSIS ARRAY 1 H2 TREATMENT H2 TREATMENT SYSTEM QUALITY MEASURING SYSTEM O2 IN H2 MEASURING SYSTEM SOLENOID VALVE CHECK BACK ON/OPEN</v>
      </c>
      <c r="G459" s="29" t="s">
        <v>1614</v>
      </c>
      <c r="H459" s="29" t="s">
        <v>1615</v>
      </c>
      <c r="I459" s="29" t="str">
        <f t="shared" si="39"/>
        <v>01</v>
      </c>
      <c r="J459" s="29" t="s">
        <v>1616</v>
      </c>
      <c r="K459" s="29" t="s">
        <v>1617</v>
      </c>
      <c r="L459" s="29" t="s">
        <v>1618</v>
      </c>
      <c r="M459" s="29" t="s">
        <v>1619</v>
      </c>
      <c r="N459" s="29" t="s">
        <v>1620</v>
      </c>
      <c r="O459" s="29" t="s">
        <v>1621</v>
      </c>
      <c r="P459" s="29" t="s">
        <v>1622</v>
      </c>
      <c r="Q459" s="29" t="s">
        <v>1623</v>
      </c>
      <c r="R459" s="29" t="s">
        <v>1624</v>
      </c>
      <c r="S459" s="29" t="s">
        <v>2637</v>
      </c>
      <c r="T459" s="29" t="s">
        <v>3352</v>
      </c>
      <c r="U459" s="29" t="s">
        <v>790</v>
      </c>
      <c r="V459" s="29" t="s">
        <v>2639</v>
      </c>
      <c r="W459" s="35" t="s">
        <v>1628</v>
      </c>
      <c r="X459" s="35" t="s">
        <v>1629</v>
      </c>
      <c r="Y459" s="35" t="s">
        <v>1630</v>
      </c>
      <c r="Z459" s="35" t="s">
        <v>2640</v>
      </c>
      <c r="AA459" s="35" t="s">
        <v>2641</v>
      </c>
      <c r="AB459" s="29" t="s">
        <v>3353</v>
      </c>
      <c r="AC459" s="35" t="s">
        <v>1633</v>
      </c>
      <c r="AD459" s="35" t="s">
        <v>1634</v>
      </c>
      <c r="AE459" s="35" t="s">
        <v>1634</v>
      </c>
      <c r="AF459" s="35" t="s">
        <v>1635</v>
      </c>
      <c r="AG459" s="35" t="s">
        <v>1636</v>
      </c>
      <c r="AI459" s="35"/>
      <c r="AJ459" s="35" t="s">
        <v>1637</v>
      </c>
      <c r="AK459" s="35" t="s">
        <v>1638</v>
      </c>
      <c r="AL459" s="29" t="s">
        <v>2866</v>
      </c>
      <c r="AM459" s="35"/>
      <c r="AN459" s="35"/>
      <c r="AO459" s="35"/>
      <c r="AP459" s="35"/>
      <c r="AQ459" s="35"/>
      <c r="AS459" s="35"/>
      <c r="AU459" s="35"/>
      <c r="AW459" s="35"/>
      <c r="AY459" s="35"/>
      <c r="AZ459" s="35" t="s">
        <v>1642</v>
      </c>
      <c r="BA459" s="35" t="s">
        <v>2002</v>
      </c>
      <c r="BB459" s="29" t="s">
        <v>1643</v>
      </c>
      <c r="BC459" s="29" t="s">
        <v>1644</v>
      </c>
      <c r="BD459" s="29" t="s">
        <v>3354</v>
      </c>
      <c r="BE459" s="29" t="s">
        <v>3355</v>
      </c>
      <c r="BF459" s="29" t="s">
        <v>1905</v>
      </c>
      <c r="BG459" s="29" t="s">
        <v>3356</v>
      </c>
      <c r="BH459" s="29" t="s">
        <v>1648</v>
      </c>
      <c r="BI459" s="35"/>
      <c r="BJ459" s="35"/>
      <c r="BK459" s="29" t="str" cm="1">
        <f t="array" ref="BK459">_xlfn.UNIQUE(MID(BB459,16,14))</f>
        <v>U012UNA01UH100</v>
      </c>
    </row>
    <row r="460" spans="1:63" x14ac:dyDescent="0.3">
      <c r="A460" s="29" t="s">
        <v>1612</v>
      </c>
      <c r="B460" s="36" t="str">
        <f t="shared" si="35"/>
        <v>G01NHC01BQ001-QM11</v>
      </c>
      <c r="C460" s="33" t="s">
        <v>3357</v>
      </c>
      <c r="D460" s="34" t="str">
        <f t="shared" si="36"/>
        <v>ELY1 H2 TRT QUAL SV11 CB OFF/CLD</v>
      </c>
      <c r="E460" s="31">
        <f t="shared" si="37"/>
        <v>32</v>
      </c>
      <c r="F460" s="32" t="str">
        <f t="shared" si="38"/>
        <v>ELECTROLYSIS SYSTEM ELECTROLYSIS ARRAY 1 H2 TREATMENT H2 TREATMENT SYSTEM QUALITY MEASURING SYSTEM O2 IN H2 MEASURING SYSTEM SOLENOID VALVE CHECK BACK OFF/CLOSED</v>
      </c>
      <c r="G460" s="29" t="s">
        <v>1614</v>
      </c>
      <c r="H460" s="29" t="s">
        <v>1615</v>
      </c>
      <c r="I460" s="29" t="str">
        <f t="shared" si="39"/>
        <v>01</v>
      </c>
      <c r="J460" s="29" t="s">
        <v>1616</v>
      </c>
      <c r="K460" s="29" t="s">
        <v>1617</v>
      </c>
      <c r="L460" s="29" t="s">
        <v>1618</v>
      </c>
      <c r="M460" s="29" t="s">
        <v>1619</v>
      </c>
      <c r="N460" s="29" t="s">
        <v>1620</v>
      </c>
      <c r="O460" s="29" t="s">
        <v>1621</v>
      </c>
      <c r="P460" s="29" t="s">
        <v>1622</v>
      </c>
      <c r="Q460" s="29" t="s">
        <v>1623</v>
      </c>
      <c r="R460" s="29" t="s">
        <v>1624</v>
      </c>
      <c r="S460" s="29" t="s">
        <v>2637</v>
      </c>
      <c r="T460" s="29" t="s">
        <v>3352</v>
      </c>
      <c r="U460" s="29" t="s">
        <v>363</v>
      </c>
      <c r="V460" s="29" t="s">
        <v>2645</v>
      </c>
      <c r="W460" s="35" t="s">
        <v>1628</v>
      </c>
      <c r="X460" s="35" t="s">
        <v>1629</v>
      </c>
      <c r="Y460" s="35" t="s">
        <v>1630</v>
      </c>
      <c r="Z460" s="35" t="s">
        <v>2640</v>
      </c>
      <c r="AA460" s="35" t="s">
        <v>2646</v>
      </c>
      <c r="AB460" s="29" t="s">
        <v>2653</v>
      </c>
      <c r="AC460" s="35" t="s">
        <v>1633</v>
      </c>
      <c r="AD460" s="35" t="s">
        <v>1634</v>
      </c>
      <c r="AE460" s="35" t="s">
        <v>1634</v>
      </c>
      <c r="AF460" s="35" t="s">
        <v>1635</v>
      </c>
      <c r="AG460" s="35" t="s">
        <v>1636</v>
      </c>
      <c r="AI460" s="35"/>
      <c r="AJ460" s="35" t="s">
        <v>1637</v>
      </c>
      <c r="AK460" s="35" t="s">
        <v>1638</v>
      </c>
      <c r="AL460" s="29" t="s">
        <v>2866</v>
      </c>
      <c r="AM460" s="35"/>
      <c r="AN460" s="35"/>
      <c r="AO460" s="35"/>
      <c r="AP460" s="35"/>
      <c r="AQ460" s="35"/>
      <c r="AS460" s="35"/>
      <c r="AU460" s="35"/>
      <c r="AW460" s="35"/>
      <c r="AY460" s="35"/>
      <c r="AZ460" s="35" t="s">
        <v>1642</v>
      </c>
      <c r="BA460" s="35" t="s">
        <v>2002</v>
      </c>
      <c r="BB460" s="29" t="s">
        <v>1643</v>
      </c>
      <c r="BC460" s="29" t="s">
        <v>1644</v>
      </c>
      <c r="BD460" s="29" t="s">
        <v>3358</v>
      </c>
      <c r="BE460" s="29" t="s">
        <v>3359</v>
      </c>
      <c r="BF460" s="29" t="s">
        <v>2016</v>
      </c>
      <c r="BG460" s="29" t="s">
        <v>3356</v>
      </c>
      <c r="BH460" s="29" t="s">
        <v>1648</v>
      </c>
      <c r="BI460" s="35"/>
      <c r="BJ460" s="35"/>
      <c r="BK460" s="29" t="str" cm="1">
        <f t="array" ref="BK460">_xlfn.UNIQUE(MID(BB460,16,14))</f>
        <v>U012UNA01UH100</v>
      </c>
    </row>
    <row r="461" spans="1:63" hidden="1" x14ac:dyDescent="0.3">
      <c r="A461" s="29" t="s">
        <v>1612</v>
      </c>
      <c r="B461" s="36" t="str">
        <f t="shared" si="35"/>
        <v>G01NHC01BQ001-QM11</v>
      </c>
      <c r="C461" s="33" t="s">
        <v>3360</v>
      </c>
      <c r="D461" s="34" t="str">
        <f t="shared" si="36"/>
        <v>ELY1 H2 TRT QUAL SV11 CMD ON/OP</v>
      </c>
      <c r="E461" s="31">
        <f t="shared" si="37"/>
        <v>31</v>
      </c>
      <c r="F461" s="32" t="str">
        <f t="shared" si="38"/>
        <v>ELECTROLYSIS SYSTEM ELECTROLYSIS ARRAY 1 H2 TREATMENT H2 TREATMENT SYSTEM QUALITY MEASURING SYSTEM O2 IN H2 MEASURING SYSTEM SOLENOID VALVE MANUAL COMMAND ON/OPEN</v>
      </c>
      <c r="G461" s="29" t="s">
        <v>1614</v>
      </c>
      <c r="H461" s="29" t="s">
        <v>1615</v>
      </c>
      <c r="I461" s="29" t="str">
        <f t="shared" si="39"/>
        <v>01</v>
      </c>
      <c r="J461" s="29" t="s">
        <v>1616</v>
      </c>
      <c r="K461" s="29" t="s">
        <v>1617</v>
      </c>
      <c r="L461" s="29" t="s">
        <v>1618</v>
      </c>
      <c r="M461" s="29" t="s">
        <v>1619</v>
      </c>
      <c r="N461" s="29" t="s">
        <v>1620</v>
      </c>
      <c r="O461" s="29" t="s">
        <v>1621</v>
      </c>
      <c r="P461" s="29" t="s">
        <v>1622</v>
      </c>
      <c r="Q461" s="29" t="s">
        <v>1623</v>
      </c>
      <c r="R461" s="29" t="s">
        <v>1624</v>
      </c>
      <c r="S461" s="29" t="s">
        <v>2637</v>
      </c>
      <c r="T461" s="29" t="s">
        <v>3352</v>
      </c>
      <c r="U461" s="29" t="s">
        <v>3337</v>
      </c>
      <c r="V461" s="29" t="s">
        <v>3338</v>
      </c>
      <c r="W461" s="35" t="s">
        <v>1628</v>
      </c>
      <c r="X461" s="35" t="s">
        <v>1629</v>
      </c>
      <c r="Y461" s="35" t="s">
        <v>1630</v>
      </c>
      <c r="Z461" s="35" t="s">
        <v>2640</v>
      </c>
      <c r="AA461" s="35" t="s">
        <v>3339</v>
      </c>
      <c r="AB461" s="29" t="s">
        <v>3361</v>
      </c>
      <c r="AC461" s="35" t="s">
        <v>1633</v>
      </c>
      <c r="AD461" s="35" t="s">
        <v>1634</v>
      </c>
      <c r="AE461" s="35" t="s">
        <v>1634</v>
      </c>
      <c r="AF461" s="35" t="s">
        <v>1635</v>
      </c>
      <c r="AG461" s="35" t="s">
        <v>2634</v>
      </c>
      <c r="AI461" s="35"/>
      <c r="AJ461" s="35" t="s">
        <v>3340</v>
      </c>
      <c r="AK461" s="35" t="s">
        <v>1672</v>
      </c>
      <c r="AL461" s="29" t="s">
        <v>3362</v>
      </c>
      <c r="AM461" s="35"/>
      <c r="AN461" s="35"/>
      <c r="AO461" s="35"/>
      <c r="AP461" s="35"/>
      <c r="AQ461" s="35"/>
      <c r="AS461" s="35"/>
      <c r="AU461" s="35"/>
      <c r="AW461" s="35"/>
      <c r="AY461" s="35"/>
      <c r="AZ461" s="35"/>
      <c r="BA461" s="35" t="s">
        <v>3139</v>
      </c>
      <c r="BB461" s="29" t="s">
        <v>3341</v>
      </c>
      <c r="BC461" s="29" t="s">
        <v>3342</v>
      </c>
      <c r="BD461" s="29" t="s">
        <v>3363</v>
      </c>
      <c r="BE461" s="29" t="s">
        <v>1805</v>
      </c>
      <c r="BF461" s="29" t="s">
        <v>1909</v>
      </c>
      <c r="BG461" s="29" t="s">
        <v>3364</v>
      </c>
      <c r="BH461" s="29" t="s">
        <v>1648</v>
      </c>
      <c r="BI461" s="35"/>
      <c r="BJ461" s="35"/>
      <c r="BK461" s="29" t="str" cm="1">
        <f t="array" ref="BK461">_xlfn.UNIQUE(MID(BB461,16,14))</f>
        <v>U012UNA01UH100</v>
      </c>
    </row>
    <row r="462" spans="1:63" x14ac:dyDescent="0.3">
      <c r="A462" s="29" t="s">
        <v>1612</v>
      </c>
      <c r="B462" s="36" t="str">
        <f t="shared" si="35"/>
        <v>G01NHC01BQ001-QM12</v>
      </c>
      <c r="C462" s="33" t="s">
        <v>3365</v>
      </c>
      <c r="D462" s="34" t="str">
        <f t="shared" si="36"/>
        <v>ELY1 H2 TRT QUAL SV12 CB ON/OPN</v>
      </c>
      <c r="E462" s="31">
        <f t="shared" si="37"/>
        <v>31</v>
      </c>
      <c r="F462" s="32" t="str">
        <f t="shared" si="38"/>
        <v>ELECTROLYSIS SYSTEM ELECTROLYSIS ARRAY 1 H2 TREATMENT H2 TREATMENT SYSTEM QUALITY MEASURING SYSTEM O2 IN H2 MEASURING SYSTEM SOLENOID VALVE CHECK BACK ON/OPEN</v>
      </c>
      <c r="G462" s="29" t="s">
        <v>1614</v>
      </c>
      <c r="H462" s="29" t="s">
        <v>1615</v>
      </c>
      <c r="I462" s="29" t="str">
        <f t="shared" si="39"/>
        <v>01</v>
      </c>
      <c r="J462" s="29" t="s">
        <v>1616</v>
      </c>
      <c r="K462" s="29" t="s">
        <v>1617</v>
      </c>
      <c r="L462" s="29" t="s">
        <v>1618</v>
      </c>
      <c r="M462" s="29" t="s">
        <v>1619</v>
      </c>
      <c r="N462" s="29" t="s">
        <v>1620</v>
      </c>
      <c r="O462" s="29" t="s">
        <v>1621</v>
      </c>
      <c r="P462" s="29" t="s">
        <v>1622</v>
      </c>
      <c r="Q462" s="29" t="s">
        <v>1623</v>
      </c>
      <c r="R462" s="29" t="s">
        <v>1624</v>
      </c>
      <c r="S462" s="29" t="s">
        <v>3366</v>
      </c>
      <c r="T462" s="29" t="s">
        <v>3352</v>
      </c>
      <c r="U462" s="29" t="s">
        <v>790</v>
      </c>
      <c r="V462" s="29" t="s">
        <v>2639</v>
      </c>
      <c r="W462" s="35" t="s">
        <v>1628</v>
      </c>
      <c r="X462" s="35" t="s">
        <v>1629</v>
      </c>
      <c r="Y462" s="35" t="s">
        <v>1630</v>
      </c>
      <c r="Z462" s="35" t="s">
        <v>3367</v>
      </c>
      <c r="AA462" s="35" t="s">
        <v>2641</v>
      </c>
      <c r="AB462" s="29" t="s">
        <v>3368</v>
      </c>
      <c r="AC462" s="35" t="s">
        <v>1633</v>
      </c>
      <c r="AD462" s="35" t="s">
        <v>1634</v>
      </c>
      <c r="AE462" s="35" t="s">
        <v>1634</v>
      </c>
      <c r="AF462" s="35" t="s">
        <v>1635</v>
      </c>
      <c r="AG462" s="35" t="s">
        <v>1636</v>
      </c>
      <c r="AI462" s="35"/>
      <c r="AJ462" s="35" t="s">
        <v>1637</v>
      </c>
      <c r="AK462" s="35" t="s">
        <v>1638</v>
      </c>
      <c r="AL462" s="29" t="s">
        <v>2866</v>
      </c>
      <c r="AM462" s="35"/>
      <c r="AN462" s="35"/>
      <c r="AO462" s="35"/>
      <c r="AP462" s="35"/>
      <c r="AQ462" s="35"/>
      <c r="AS462" s="35"/>
      <c r="AU462" s="35"/>
      <c r="AW462" s="35"/>
      <c r="AY462" s="35"/>
      <c r="AZ462" s="35" t="s">
        <v>1642</v>
      </c>
      <c r="BA462" s="35" t="s">
        <v>2002</v>
      </c>
      <c r="BB462" s="29" t="s">
        <v>1643</v>
      </c>
      <c r="BC462" s="29" t="s">
        <v>1644</v>
      </c>
      <c r="BD462" s="29" t="s">
        <v>3369</v>
      </c>
      <c r="BE462" s="29" t="s">
        <v>3370</v>
      </c>
      <c r="BF462" s="29" t="s">
        <v>1909</v>
      </c>
      <c r="BG462" s="29" t="s">
        <v>3371</v>
      </c>
      <c r="BH462" s="29" t="s">
        <v>1648</v>
      </c>
      <c r="BI462" s="35"/>
      <c r="BJ462" s="35"/>
      <c r="BK462" s="29" t="str" cm="1">
        <f t="array" ref="BK462">_xlfn.UNIQUE(MID(BB462,16,14))</f>
        <v>U012UNA01UH100</v>
      </c>
    </row>
    <row r="463" spans="1:63" x14ac:dyDescent="0.3">
      <c r="A463" s="29" t="s">
        <v>1612</v>
      </c>
      <c r="B463" s="36" t="str">
        <f t="shared" si="35"/>
        <v>G01NHC01BQ001-QM12</v>
      </c>
      <c r="C463" s="33" t="s">
        <v>3372</v>
      </c>
      <c r="D463" s="34" t="str">
        <f t="shared" si="36"/>
        <v>ELY1 H2 TRT QUAL SV12 CB OFF/CLD</v>
      </c>
      <c r="E463" s="31">
        <f t="shared" si="37"/>
        <v>32</v>
      </c>
      <c r="F463" s="32" t="str">
        <f t="shared" si="38"/>
        <v>ELECTROLYSIS SYSTEM ELECTROLYSIS ARRAY 1 H2 TREATMENT H2 TREATMENT SYSTEM QUALITY MEASURING SYSTEM O2 IN H2 MEASURING SYSTEM SOLENOID VALVE CHECK BACK OFF/CLOSED</v>
      </c>
      <c r="G463" s="29" t="s">
        <v>1614</v>
      </c>
      <c r="H463" s="29" t="s">
        <v>1615</v>
      </c>
      <c r="I463" s="29" t="str">
        <f t="shared" si="39"/>
        <v>01</v>
      </c>
      <c r="J463" s="29" t="s">
        <v>1616</v>
      </c>
      <c r="K463" s="29" t="s">
        <v>1617</v>
      </c>
      <c r="L463" s="29" t="s">
        <v>1618</v>
      </c>
      <c r="M463" s="29" t="s">
        <v>1619</v>
      </c>
      <c r="N463" s="29" t="s">
        <v>1620</v>
      </c>
      <c r="O463" s="29" t="s">
        <v>1621</v>
      </c>
      <c r="P463" s="29" t="s">
        <v>1622</v>
      </c>
      <c r="Q463" s="29" t="s">
        <v>1623</v>
      </c>
      <c r="R463" s="29" t="s">
        <v>1624</v>
      </c>
      <c r="S463" s="29" t="s">
        <v>3366</v>
      </c>
      <c r="T463" s="29" t="s">
        <v>3352</v>
      </c>
      <c r="U463" s="29" t="s">
        <v>363</v>
      </c>
      <c r="V463" s="29" t="s">
        <v>2645</v>
      </c>
      <c r="W463" s="35" t="s">
        <v>1628</v>
      </c>
      <c r="X463" s="35" t="s">
        <v>1629</v>
      </c>
      <c r="Y463" s="35" t="s">
        <v>1630</v>
      </c>
      <c r="Z463" s="35" t="s">
        <v>3367</v>
      </c>
      <c r="AA463" s="35" t="s">
        <v>2646</v>
      </c>
      <c r="AB463" s="29" t="s">
        <v>2653</v>
      </c>
      <c r="AC463" s="35" t="s">
        <v>1633</v>
      </c>
      <c r="AD463" s="35" t="s">
        <v>1634</v>
      </c>
      <c r="AE463" s="35" t="s">
        <v>1634</v>
      </c>
      <c r="AF463" s="35" t="s">
        <v>1635</v>
      </c>
      <c r="AG463" s="35" t="s">
        <v>1636</v>
      </c>
      <c r="AI463" s="35"/>
      <c r="AJ463" s="35" t="s">
        <v>1637</v>
      </c>
      <c r="AK463" s="35" t="s">
        <v>1638</v>
      </c>
      <c r="AL463" s="29" t="s">
        <v>2866</v>
      </c>
      <c r="AM463" s="35"/>
      <c r="AN463" s="35"/>
      <c r="AO463" s="35"/>
      <c r="AP463" s="35"/>
      <c r="AQ463" s="35"/>
      <c r="AS463" s="35"/>
      <c r="AU463" s="35"/>
      <c r="AW463" s="35"/>
      <c r="AY463" s="35"/>
      <c r="AZ463" s="35" t="s">
        <v>1642</v>
      </c>
      <c r="BA463" s="35" t="s">
        <v>2002</v>
      </c>
      <c r="BB463" s="29" t="s">
        <v>1643</v>
      </c>
      <c r="BC463" s="29" t="s">
        <v>1644</v>
      </c>
      <c r="BD463" s="29" t="s">
        <v>3373</v>
      </c>
      <c r="BE463" s="29" t="s">
        <v>3374</v>
      </c>
      <c r="BF463" s="29" t="s">
        <v>2341</v>
      </c>
      <c r="BG463" s="29" t="s">
        <v>3371</v>
      </c>
      <c r="BH463" s="29" t="s">
        <v>1648</v>
      </c>
      <c r="BI463" s="35"/>
      <c r="BJ463" s="35"/>
      <c r="BK463" s="29" t="str" cm="1">
        <f t="array" ref="BK463">_xlfn.UNIQUE(MID(BB463,16,14))</f>
        <v>U012UNA01UH100</v>
      </c>
    </row>
    <row r="464" spans="1:63" hidden="1" x14ac:dyDescent="0.3">
      <c r="A464" s="29" t="s">
        <v>1612</v>
      </c>
      <c r="B464" s="36" t="str">
        <f t="shared" si="35"/>
        <v>G01NHC01BQ001-QM12</v>
      </c>
      <c r="C464" s="33" t="s">
        <v>3375</v>
      </c>
      <c r="D464" s="34" t="str">
        <f t="shared" si="36"/>
        <v>ELY1 H2 TRT QUAL SV12 CMD ON/OP</v>
      </c>
      <c r="E464" s="31">
        <f t="shared" si="37"/>
        <v>31</v>
      </c>
      <c r="F464" s="32" t="str">
        <f t="shared" si="38"/>
        <v>ELECTROLYSIS SYSTEM ELECTROLYSIS ARRAY 1 H2 TREATMENT H2 TREATMENT SYSTEM QUALITY MEASURING SYSTEM O2 IN H2 MEASURING SYSTEM SOLENOID VALVE MANUAL COMMAND ON/OPEN</v>
      </c>
      <c r="G464" s="29" t="s">
        <v>1614</v>
      </c>
      <c r="H464" s="29" t="s">
        <v>1615</v>
      </c>
      <c r="I464" s="29" t="str">
        <f t="shared" si="39"/>
        <v>01</v>
      </c>
      <c r="J464" s="29" t="s">
        <v>1616</v>
      </c>
      <c r="K464" s="29" t="s">
        <v>1617</v>
      </c>
      <c r="L464" s="29" t="s">
        <v>1618</v>
      </c>
      <c r="M464" s="29" t="s">
        <v>1619</v>
      </c>
      <c r="N464" s="29" t="s">
        <v>1620</v>
      </c>
      <c r="O464" s="29" t="s">
        <v>1621</v>
      </c>
      <c r="P464" s="29" t="s">
        <v>1622</v>
      </c>
      <c r="Q464" s="29" t="s">
        <v>1623</v>
      </c>
      <c r="R464" s="29" t="s">
        <v>1624</v>
      </c>
      <c r="S464" s="29" t="s">
        <v>3366</v>
      </c>
      <c r="T464" s="29" t="s">
        <v>3352</v>
      </c>
      <c r="U464" s="29" t="s">
        <v>3337</v>
      </c>
      <c r="V464" s="29" t="s">
        <v>3338</v>
      </c>
      <c r="W464" s="35" t="s">
        <v>1628</v>
      </c>
      <c r="X464" s="35" t="s">
        <v>1629</v>
      </c>
      <c r="Y464" s="35" t="s">
        <v>1630</v>
      </c>
      <c r="Z464" s="35" t="s">
        <v>3367</v>
      </c>
      <c r="AA464" s="35" t="s">
        <v>3339</v>
      </c>
      <c r="AB464" s="29" t="s">
        <v>3376</v>
      </c>
      <c r="AC464" s="35" t="s">
        <v>1633</v>
      </c>
      <c r="AD464" s="35" t="s">
        <v>1634</v>
      </c>
      <c r="AE464" s="35" t="s">
        <v>1634</v>
      </c>
      <c r="AF464" s="35" t="s">
        <v>1635</v>
      </c>
      <c r="AG464" s="35" t="s">
        <v>2634</v>
      </c>
      <c r="AI464" s="35"/>
      <c r="AJ464" s="35" t="s">
        <v>3340</v>
      </c>
      <c r="AK464" s="35" t="s">
        <v>1672</v>
      </c>
      <c r="AL464" s="29" t="s">
        <v>3362</v>
      </c>
      <c r="AM464" s="35"/>
      <c r="AN464" s="35"/>
      <c r="AO464" s="35"/>
      <c r="AP464" s="35"/>
      <c r="AQ464" s="35"/>
      <c r="AS464" s="35"/>
      <c r="AU464" s="35"/>
      <c r="AW464" s="35"/>
      <c r="AY464" s="35"/>
      <c r="AZ464" s="35"/>
      <c r="BA464" s="35" t="s">
        <v>3139</v>
      </c>
      <c r="BB464" s="29" t="s">
        <v>3341</v>
      </c>
      <c r="BC464" s="29" t="s">
        <v>3342</v>
      </c>
      <c r="BD464" s="29" t="s">
        <v>3363</v>
      </c>
      <c r="BE464" s="29" t="s">
        <v>1805</v>
      </c>
      <c r="BF464" s="29" t="s">
        <v>1915</v>
      </c>
      <c r="BG464" s="29" t="s">
        <v>3377</v>
      </c>
      <c r="BH464" s="29" t="s">
        <v>1648</v>
      </c>
      <c r="BI464" s="35"/>
      <c r="BJ464" s="35"/>
      <c r="BK464" s="29" t="str" cm="1">
        <f t="array" ref="BK464">_xlfn.UNIQUE(MID(BB464,16,14))</f>
        <v>U012UNA01UH100</v>
      </c>
    </row>
    <row r="465" spans="1:63" x14ac:dyDescent="0.3">
      <c r="A465" s="29" t="s">
        <v>1612</v>
      </c>
      <c r="B465" s="36" t="str">
        <f t="shared" si="35"/>
        <v>G01NHC01BQ001-QM13</v>
      </c>
      <c r="C465" s="33" t="s">
        <v>3378</v>
      </c>
      <c r="D465" s="34" t="str">
        <f t="shared" si="36"/>
        <v>ELY1 H2 TRT QUAL SV13 CB ON/OPN</v>
      </c>
      <c r="E465" s="31">
        <f t="shared" si="37"/>
        <v>31</v>
      </c>
      <c r="F465" s="32" t="str">
        <f t="shared" si="38"/>
        <v>ELECTROLYSIS SYSTEM ELECTROLYSIS ARRAY 1 H2 TREATMENT H2 TREATMENT SYSTEM QUALITY MEASURING SYSTEM O2 IN H2 MEASURING SYSTEM SOLENOID VALVE CHECK BACK ON/OPEN</v>
      </c>
      <c r="G465" s="29" t="s">
        <v>1614</v>
      </c>
      <c r="H465" s="29" t="s">
        <v>1615</v>
      </c>
      <c r="I465" s="29" t="str">
        <f t="shared" si="39"/>
        <v>01</v>
      </c>
      <c r="J465" s="29" t="s">
        <v>1616</v>
      </c>
      <c r="K465" s="29" t="s">
        <v>1617</v>
      </c>
      <c r="L465" s="29" t="s">
        <v>1618</v>
      </c>
      <c r="M465" s="29" t="s">
        <v>1619</v>
      </c>
      <c r="N465" s="29" t="s">
        <v>1620</v>
      </c>
      <c r="O465" s="29" t="s">
        <v>1621</v>
      </c>
      <c r="P465" s="29" t="s">
        <v>1622</v>
      </c>
      <c r="Q465" s="29" t="s">
        <v>1623</v>
      </c>
      <c r="R465" s="29" t="s">
        <v>1624</v>
      </c>
      <c r="S465" s="29" t="s">
        <v>3379</v>
      </c>
      <c r="T465" s="29" t="s">
        <v>3352</v>
      </c>
      <c r="U465" s="29" t="s">
        <v>790</v>
      </c>
      <c r="V465" s="29" t="s">
        <v>2639</v>
      </c>
      <c r="W465" s="35" t="s">
        <v>1628</v>
      </c>
      <c r="X465" s="35" t="s">
        <v>1629</v>
      </c>
      <c r="Y465" s="35" t="s">
        <v>1630</v>
      </c>
      <c r="Z465" s="35" t="s">
        <v>3380</v>
      </c>
      <c r="AA465" s="35" t="s">
        <v>2641</v>
      </c>
      <c r="AB465" s="29" t="s">
        <v>3381</v>
      </c>
      <c r="AC465" s="35" t="s">
        <v>1633</v>
      </c>
      <c r="AD465" s="35" t="s">
        <v>1634</v>
      </c>
      <c r="AE465" s="35" t="s">
        <v>1634</v>
      </c>
      <c r="AF465" s="35" t="s">
        <v>1635</v>
      </c>
      <c r="AG465" s="35" t="s">
        <v>1636</v>
      </c>
      <c r="AI465" s="35"/>
      <c r="AJ465" s="35" t="s">
        <v>1637</v>
      </c>
      <c r="AK465" s="35" t="s">
        <v>1638</v>
      </c>
      <c r="AL465" s="29" t="s">
        <v>2866</v>
      </c>
      <c r="AM465" s="35"/>
      <c r="AN465" s="35"/>
      <c r="AO465" s="35"/>
      <c r="AP465" s="35"/>
      <c r="AQ465" s="35"/>
      <c r="AS465" s="35"/>
      <c r="AU465" s="35"/>
      <c r="AW465" s="35"/>
      <c r="AY465" s="35"/>
      <c r="AZ465" s="35" t="s">
        <v>1642</v>
      </c>
      <c r="BA465" s="35" t="s">
        <v>2002</v>
      </c>
      <c r="BB465" s="29" t="s">
        <v>1643</v>
      </c>
      <c r="BC465" s="29" t="s">
        <v>1644</v>
      </c>
      <c r="BD465" s="29" t="s">
        <v>3382</v>
      </c>
      <c r="BE465" s="29" t="s">
        <v>3383</v>
      </c>
      <c r="BF465" s="29" t="s">
        <v>1915</v>
      </c>
      <c r="BG465" s="29" t="s">
        <v>3384</v>
      </c>
      <c r="BH465" s="29" t="s">
        <v>1648</v>
      </c>
      <c r="BI465" s="35"/>
      <c r="BJ465" s="35"/>
      <c r="BK465" s="29" t="str" cm="1">
        <f t="array" ref="BK465">_xlfn.UNIQUE(MID(BB465,16,14))</f>
        <v>U012UNA01UH100</v>
      </c>
    </row>
    <row r="466" spans="1:63" x14ac:dyDescent="0.3">
      <c r="A466" s="29" t="s">
        <v>1612</v>
      </c>
      <c r="B466" s="36" t="str">
        <f t="shared" si="35"/>
        <v>G01NHC01BQ001-QM13</v>
      </c>
      <c r="C466" s="33" t="s">
        <v>3385</v>
      </c>
      <c r="D466" s="34" t="str">
        <f t="shared" si="36"/>
        <v>ELY1 H2 TRT QUAL SV13 CB OFF/CLD</v>
      </c>
      <c r="E466" s="31">
        <f t="shared" si="37"/>
        <v>32</v>
      </c>
      <c r="F466" s="32" t="str">
        <f t="shared" si="38"/>
        <v>ELECTROLYSIS SYSTEM ELECTROLYSIS ARRAY 1 H2 TREATMENT H2 TREATMENT SYSTEM QUALITY MEASURING SYSTEM O2 IN H2 MEASURING SYSTEM SOLENOID VALVE CHECK BACK OFF/CLOSED</v>
      </c>
      <c r="G466" s="29" t="s">
        <v>1614</v>
      </c>
      <c r="H466" s="29" t="s">
        <v>1615</v>
      </c>
      <c r="I466" s="29" t="str">
        <f t="shared" si="39"/>
        <v>01</v>
      </c>
      <c r="J466" s="29" t="s">
        <v>1616</v>
      </c>
      <c r="K466" s="29" t="s">
        <v>1617</v>
      </c>
      <c r="L466" s="29" t="s">
        <v>1618</v>
      </c>
      <c r="M466" s="29" t="s">
        <v>1619</v>
      </c>
      <c r="N466" s="29" t="s">
        <v>1620</v>
      </c>
      <c r="O466" s="29" t="s">
        <v>1621</v>
      </c>
      <c r="P466" s="29" t="s">
        <v>1622</v>
      </c>
      <c r="Q466" s="29" t="s">
        <v>1623</v>
      </c>
      <c r="R466" s="29" t="s">
        <v>1624</v>
      </c>
      <c r="S466" s="29" t="s">
        <v>3379</v>
      </c>
      <c r="T466" s="29" t="s">
        <v>3352</v>
      </c>
      <c r="U466" s="29" t="s">
        <v>363</v>
      </c>
      <c r="V466" s="29" t="s">
        <v>2645</v>
      </c>
      <c r="W466" s="35" t="s">
        <v>1628</v>
      </c>
      <c r="X466" s="35" t="s">
        <v>1629</v>
      </c>
      <c r="Y466" s="35" t="s">
        <v>1630</v>
      </c>
      <c r="Z466" s="35" t="s">
        <v>3380</v>
      </c>
      <c r="AA466" s="35" t="s">
        <v>2646</v>
      </c>
      <c r="AB466" s="29" t="s">
        <v>2653</v>
      </c>
      <c r="AC466" s="35" t="s">
        <v>1633</v>
      </c>
      <c r="AD466" s="35" t="s">
        <v>1634</v>
      </c>
      <c r="AE466" s="35" t="s">
        <v>1634</v>
      </c>
      <c r="AF466" s="35" t="s">
        <v>1635</v>
      </c>
      <c r="AG466" s="35" t="s">
        <v>1636</v>
      </c>
      <c r="AI466" s="35"/>
      <c r="AJ466" s="35" t="s">
        <v>1637</v>
      </c>
      <c r="AK466" s="35" t="s">
        <v>1638</v>
      </c>
      <c r="AL466" s="29" t="s">
        <v>2866</v>
      </c>
      <c r="AM466" s="35"/>
      <c r="AN466" s="35"/>
      <c r="AO466" s="35"/>
      <c r="AP466" s="35"/>
      <c r="AQ466" s="35"/>
      <c r="AS466" s="35"/>
      <c r="AU466" s="35"/>
      <c r="AW466" s="35"/>
      <c r="AY466" s="35"/>
      <c r="AZ466" s="35" t="s">
        <v>1642</v>
      </c>
      <c r="BA466" s="35" t="s">
        <v>2002</v>
      </c>
      <c r="BB466" s="29" t="s">
        <v>1643</v>
      </c>
      <c r="BC466" s="29" t="s">
        <v>1644</v>
      </c>
      <c r="BD466" s="29" t="s">
        <v>3386</v>
      </c>
      <c r="BE466" s="29" t="s">
        <v>3387</v>
      </c>
      <c r="BF466" s="29" t="s">
        <v>2388</v>
      </c>
      <c r="BG466" s="29" t="s">
        <v>3384</v>
      </c>
      <c r="BH466" s="29" t="s">
        <v>1648</v>
      </c>
      <c r="BI466" s="35"/>
      <c r="BJ466" s="35"/>
      <c r="BK466" s="29" t="str" cm="1">
        <f t="array" ref="BK466">_xlfn.UNIQUE(MID(BB466,16,14))</f>
        <v>U012UNA01UH100</v>
      </c>
    </row>
    <row r="467" spans="1:63" hidden="1" x14ac:dyDescent="0.3">
      <c r="A467" s="29" t="s">
        <v>1612</v>
      </c>
      <c r="B467" s="36" t="str">
        <f t="shared" si="35"/>
        <v>G01NHC01BQ001-QM13</v>
      </c>
      <c r="C467" s="33" t="s">
        <v>3388</v>
      </c>
      <c r="D467" s="34" t="str">
        <f t="shared" si="36"/>
        <v>ELY1 H2 TRT QUAL SV13 CMD ON/OP</v>
      </c>
      <c r="E467" s="31">
        <f t="shared" si="37"/>
        <v>31</v>
      </c>
      <c r="F467" s="32" t="str">
        <f t="shared" si="38"/>
        <v>ELECTROLYSIS SYSTEM ELECTROLYSIS ARRAY 1 H2 TREATMENT H2 TREATMENT SYSTEM QUALITY MEASURING SYSTEM O2 IN H2 MEASURING SYSTEM SOLENOID VALVE MANUAL COMMAND ON/OPEN</v>
      </c>
      <c r="G467" s="29" t="s">
        <v>1614</v>
      </c>
      <c r="H467" s="29" t="s">
        <v>1615</v>
      </c>
      <c r="I467" s="29" t="str">
        <f t="shared" si="39"/>
        <v>01</v>
      </c>
      <c r="J467" s="29" t="s">
        <v>1616</v>
      </c>
      <c r="K467" s="29" t="s">
        <v>1617</v>
      </c>
      <c r="L467" s="29" t="s">
        <v>1618</v>
      </c>
      <c r="M467" s="29" t="s">
        <v>1619</v>
      </c>
      <c r="N467" s="29" t="s">
        <v>1620</v>
      </c>
      <c r="O467" s="29" t="s">
        <v>1621</v>
      </c>
      <c r="P467" s="29" t="s">
        <v>1622</v>
      </c>
      <c r="Q467" s="29" t="s">
        <v>1623</v>
      </c>
      <c r="R467" s="29" t="s">
        <v>1624</v>
      </c>
      <c r="S467" s="29" t="s">
        <v>3379</v>
      </c>
      <c r="T467" s="29" t="s">
        <v>3352</v>
      </c>
      <c r="U467" s="29" t="s">
        <v>3337</v>
      </c>
      <c r="V467" s="29" t="s">
        <v>3338</v>
      </c>
      <c r="W467" s="35" t="s">
        <v>1628</v>
      </c>
      <c r="X467" s="35" t="s">
        <v>1629</v>
      </c>
      <c r="Y467" s="35" t="s">
        <v>1630</v>
      </c>
      <c r="Z467" s="35" t="s">
        <v>3380</v>
      </c>
      <c r="AA467" s="35" t="s">
        <v>3339</v>
      </c>
      <c r="AB467" s="29" t="s">
        <v>3389</v>
      </c>
      <c r="AC467" s="35" t="s">
        <v>1633</v>
      </c>
      <c r="AD467" s="35" t="s">
        <v>1634</v>
      </c>
      <c r="AE467" s="35" t="s">
        <v>1634</v>
      </c>
      <c r="AF467" s="35" t="s">
        <v>1635</v>
      </c>
      <c r="AG467" s="35" t="s">
        <v>2634</v>
      </c>
      <c r="AI467" s="35"/>
      <c r="AJ467" s="35" t="s">
        <v>3340</v>
      </c>
      <c r="AK467" s="35" t="s">
        <v>1672</v>
      </c>
      <c r="AL467" s="29" t="s">
        <v>3362</v>
      </c>
      <c r="AM467" s="35"/>
      <c r="AN467" s="35"/>
      <c r="AO467" s="35"/>
      <c r="AP467" s="35"/>
      <c r="AQ467" s="35"/>
      <c r="AS467" s="35"/>
      <c r="AU467" s="35"/>
      <c r="AW467" s="35"/>
      <c r="AY467" s="35"/>
      <c r="AZ467" s="35"/>
      <c r="BA467" s="35" t="s">
        <v>3139</v>
      </c>
      <c r="BB467" s="29" t="s">
        <v>3341</v>
      </c>
      <c r="BC467" s="29" t="s">
        <v>3342</v>
      </c>
      <c r="BD467" s="29" t="s">
        <v>3363</v>
      </c>
      <c r="BE467" s="29" t="s">
        <v>1805</v>
      </c>
      <c r="BF467" s="29" t="s">
        <v>1919</v>
      </c>
      <c r="BG467" s="29" t="s">
        <v>3390</v>
      </c>
      <c r="BH467" s="29" t="s">
        <v>1648</v>
      </c>
      <c r="BI467" s="35"/>
      <c r="BJ467" s="35"/>
      <c r="BK467" s="29" t="str" cm="1">
        <f t="array" ref="BK467">_xlfn.UNIQUE(MID(BB467,16,14))</f>
        <v>U012UNA01UH100</v>
      </c>
    </row>
    <row r="468" spans="1:63" x14ac:dyDescent="0.3">
      <c r="A468" s="29" t="s">
        <v>1612</v>
      </c>
      <c r="B468" s="36" t="str">
        <f t="shared" si="35"/>
        <v>G01NHC01BQ001-QM14</v>
      </c>
      <c r="C468" s="33" t="s">
        <v>3391</v>
      </c>
      <c r="D468" s="34" t="str">
        <f t="shared" si="36"/>
        <v>ELY1 H2 TRT QUAL SV14 CB ON/OPN</v>
      </c>
      <c r="E468" s="31">
        <f t="shared" si="37"/>
        <v>31</v>
      </c>
      <c r="F468" s="32" t="str">
        <f t="shared" si="38"/>
        <v>ELECTROLYSIS SYSTEM ELECTROLYSIS ARRAY 1 H2 TREATMENT H2 TREATMENT SYSTEM QUALITY MEASURING SYSTEM O2 IN H2 MEASURING SYSTEM SOLENOID VALVE CHECK BACK ON/OPEN</v>
      </c>
      <c r="G468" s="29" t="s">
        <v>1614</v>
      </c>
      <c r="H468" s="29" t="s">
        <v>1615</v>
      </c>
      <c r="I468" s="29" t="str">
        <f t="shared" si="39"/>
        <v>01</v>
      </c>
      <c r="J468" s="29" t="s">
        <v>1616</v>
      </c>
      <c r="K468" s="29" t="s">
        <v>1617</v>
      </c>
      <c r="L468" s="29" t="s">
        <v>1618</v>
      </c>
      <c r="M468" s="29" t="s">
        <v>1619</v>
      </c>
      <c r="N468" s="29" t="s">
        <v>1620</v>
      </c>
      <c r="O468" s="29" t="s">
        <v>1621</v>
      </c>
      <c r="P468" s="29" t="s">
        <v>1622</v>
      </c>
      <c r="Q468" s="29" t="s">
        <v>1623</v>
      </c>
      <c r="R468" s="29" t="s">
        <v>1624</v>
      </c>
      <c r="S468" s="29" t="s">
        <v>3392</v>
      </c>
      <c r="T468" s="29" t="s">
        <v>3352</v>
      </c>
      <c r="U468" s="29" t="s">
        <v>790</v>
      </c>
      <c r="V468" s="29" t="s">
        <v>2639</v>
      </c>
      <c r="W468" s="35" t="s">
        <v>1628</v>
      </c>
      <c r="X468" s="35" t="s">
        <v>1629</v>
      </c>
      <c r="Y468" s="35" t="s">
        <v>1630</v>
      </c>
      <c r="Z468" s="35" t="s">
        <v>3393</v>
      </c>
      <c r="AA468" s="35" t="s">
        <v>2641</v>
      </c>
      <c r="AB468" s="29" t="s">
        <v>3394</v>
      </c>
      <c r="AC468" s="35" t="s">
        <v>1633</v>
      </c>
      <c r="AD468" s="35" t="s">
        <v>1634</v>
      </c>
      <c r="AE468" s="35" t="s">
        <v>1634</v>
      </c>
      <c r="AF468" s="35" t="s">
        <v>1635</v>
      </c>
      <c r="AG468" s="35" t="s">
        <v>1636</v>
      </c>
      <c r="AI468" s="35"/>
      <c r="AJ468" s="35" t="s">
        <v>1637</v>
      </c>
      <c r="AK468" s="35" t="s">
        <v>1638</v>
      </c>
      <c r="AL468" s="29" t="s">
        <v>2866</v>
      </c>
      <c r="AM468" s="35"/>
      <c r="AN468" s="35"/>
      <c r="AO468" s="35"/>
      <c r="AP468" s="35"/>
      <c r="AQ468" s="35"/>
      <c r="AS468" s="35"/>
      <c r="AU468" s="35"/>
      <c r="AW468" s="35"/>
      <c r="AY468" s="35"/>
      <c r="AZ468" s="35" t="s">
        <v>1642</v>
      </c>
      <c r="BA468" s="35" t="s">
        <v>2002</v>
      </c>
      <c r="BB468" s="29" t="s">
        <v>1643</v>
      </c>
      <c r="BC468" s="29" t="s">
        <v>1644</v>
      </c>
      <c r="BD468" s="29" t="s">
        <v>3395</v>
      </c>
      <c r="BE468" s="29" t="s">
        <v>3396</v>
      </c>
      <c r="BF468" s="29" t="s">
        <v>1919</v>
      </c>
      <c r="BG468" s="29" t="s">
        <v>3397</v>
      </c>
      <c r="BH468" s="29" t="s">
        <v>1648</v>
      </c>
      <c r="BI468" s="35"/>
      <c r="BJ468" s="35"/>
      <c r="BK468" s="29" t="str" cm="1">
        <f t="array" ref="BK468">_xlfn.UNIQUE(MID(BB468,16,14))</f>
        <v>U012UNA01UH100</v>
      </c>
    </row>
    <row r="469" spans="1:63" x14ac:dyDescent="0.3">
      <c r="A469" s="29" t="s">
        <v>1612</v>
      </c>
      <c r="B469" s="36" t="str">
        <f t="shared" si="35"/>
        <v>G01NHC01BQ001-QM14</v>
      </c>
      <c r="C469" s="33" t="s">
        <v>3398</v>
      </c>
      <c r="D469" s="34" t="str">
        <f t="shared" si="36"/>
        <v>ELY1 H2 TRT QUAL SV14 CB OFF/CLD</v>
      </c>
      <c r="E469" s="31">
        <f t="shared" si="37"/>
        <v>32</v>
      </c>
      <c r="F469" s="32" t="str">
        <f t="shared" si="38"/>
        <v>ELECTROLYSIS SYSTEM ELECTROLYSIS ARRAY 1 H2 TREATMENT H2 TREATMENT SYSTEM QUALITY MEASURING SYSTEM O2 IN H2 MEASURING SYSTEM SOLENOID VALVE CHECK BACK OFF/CLOSED</v>
      </c>
      <c r="G469" s="29" t="s">
        <v>1614</v>
      </c>
      <c r="H469" s="29" t="s">
        <v>1615</v>
      </c>
      <c r="I469" s="29" t="str">
        <f t="shared" si="39"/>
        <v>01</v>
      </c>
      <c r="J469" s="29" t="s">
        <v>1616</v>
      </c>
      <c r="K469" s="29" t="s">
        <v>1617</v>
      </c>
      <c r="L469" s="29" t="s">
        <v>1618</v>
      </c>
      <c r="M469" s="29" t="s">
        <v>1619</v>
      </c>
      <c r="N469" s="29" t="s">
        <v>1620</v>
      </c>
      <c r="O469" s="29" t="s">
        <v>1621</v>
      </c>
      <c r="P469" s="29" t="s">
        <v>1622</v>
      </c>
      <c r="Q469" s="29" t="s">
        <v>1623</v>
      </c>
      <c r="R469" s="29" t="s">
        <v>1624</v>
      </c>
      <c r="S469" s="29" t="s">
        <v>3392</v>
      </c>
      <c r="T469" s="29" t="s">
        <v>3352</v>
      </c>
      <c r="U469" s="29" t="s">
        <v>363</v>
      </c>
      <c r="V469" s="29" t="s">
        <v>2645</v>
      </c>
      <c r="W469" s="35" t="s">
        <v>1628</v>
      </c>
      <c r="X469" s="35" t="s">
        <v>1629</v>
      </c>
      <c r="Y469" s="35" t="s">
        <v>1630</v>
      </c>
      <c r="Z469" s="35" t="s">
        <v>3393</v>
      </c>
      <c r="AA469" s="35" t="s">
        <v>2646</v>
      </c>
      <c r="AB469" s="29" t="s">
        <v>2653</v>
      </c>
      <c r="AC469" s="35" t="s">
        <v>1633</v>
      </c>
      <c r="AD469" s="35" t="s">
        <v>1634</v>
      </c>
      <c r="AE469" s="35" t="s">
        <v>1634</v>
      </c>
      <c r="AF469" s="35" t="s">
        <v>1635</v>
      </c>
      <c r="AG469" s="35" t="s">
        <v>1636</v>
      </c>
      <c r="AI469" s="35"/>
      <c r="AJ469" s="35" t="s">
        <v>1637</v>
      </c>
      <c r="AK469" s="35" t="s">
        <v>1638</v>
      </c>
      <c r="AL469" s="29" t="s">
        <v>2866</v>
      </c>
      <c r="AM469" s="35"/>
      <c r="AN469" s="35"/>
      <c r="AO469" s="35"/>
      <c r="AP469" s="35"/>
      <c r="AQ469" s="35"/>
      <c r="AS469" s="35"/>
      <c r="AU469" s="35"/>
      <c r="AW469" s="35"/>
      <c r="AY469" s="35"/>
      <c r="AZ469" s="35" t="s">
        <v>1642</v>
      </c>
      <c r="BA469" s="35" t="s">
        <v>2002</v>
      </c>
      <c r="BB469" s="29" t="s">
        <v>1643</v>
      </c>
      <c r="BC469" s="29" t="s">
        <v>1644</v>
      </c>
      <c r="BD469" s="29" t="s">
        <v>3399</v>
      </c>
      <c r="BE469" s="29" t="s">
        <v>3400</v>
      </c>
      <c r="BF469" s="29" t="s">
        <v>2978</v>
      </c>
      <c r="BG469" s="29" t="s">
        <v>3397</v>
      </c>
      <c r="BH469" s="29" t="s">
        <v>1648</v>
      </c>
      <c r="BI469" s="35"/>
      <c r="BJ469" s="35"/>
      <c r="BK469" s="29" t="str" cm="1">
        <f t="array" ref="BK469">_xlfn.UNIQUE(MID(BB469,16,14))</f>
        <v>U012UNA01UH100</v>
      </c>
    </row>
    <row r="470" spans="1:63" hidden="1" x14ac:dyDescent="0.3">
      <c r="A470" s="29" t="s">
        <v>1612</v>
      </c>
      <c r="B470" s="36" t="str">
        <f t="shared" si="35"/>
        <v>G01NHC01BQ001-QM14</v>
      </c>
      <c r="C470" s="33" t="s">
        <v>3401</v>
      </c>
      <c r="D470" s="34" t="str">
        <f t="shared" si="36"/>
        <v>ELY1 H2 TRT QUAL SV14 CMD ON/OP</v>
      </c>
      <c r="E470" s="31">
        <f t="shared" si="37"/>
        <v>31</v>
      </c>
      <c r="F470" s="32" t="str">
        <f t="shared" si="38"/>
        <v>ELECTROLYSIS SYSTEM ELECTROLYSIS ARRAY 1 H2 TREATMENT H2 TREATMENT SYSTEM QUALITY MEASURING SYSTEM O2 IN H2 MEASURING SYSTEM SOLENOID VALVE MANUAL COMMAND ON/OPEN</v>
      </c>
      <c r="G470" s="29" t="s">
        <v>1614</v>
      </c>
      <c r="H470" s="29" t="s">
        <v>1615</v>
      </c>
      <c r="I470" s="29" t="str">
        <f t="shared" si="39"/>
        <v>01</v>
      </c>
      <c r="J470" s="29" t="s">
        <v>1616</v>
      </c>
      <c r="K470" s="29" t="s">
        <v>1617</v>
      </c>
      <c r="L470" s="29" t="s">
        <v>1618</v>
      </c>
      <c r="M470" s="29" t="s">
        <v>1619</v>
      </c>
      <c r="N470" s="29" t="s">
        <v>1620</v>
      </c>
      <c r="O470" s="29" t="s">
        <v>1621</v>
      </c>
      <c r="P470" s="29" t="s">
        <v>1622</v>
      </c>
      <c r="Q470" s="29" t="s">
        <v>1623</v>
      </c>
      <c r="R470" s="29" t="s">
        <v>1624</v>
      </c>
      <c r="S470" s="29" t="s">
        <v>3392</v>
      </c>
      <c r="T470" s="29" t="s">
        <v>3352</v>
      </c>
      <c r="U470" s="29" t="s">
        <v>3337</v>
      </c>
      <c r="V470" s="29" t="s">
        <v>3338</v>
      </c>
      <c r="W470" s="35" t="s">
        <v>1628</v>
      </c>
      <c r="X470" s="35" t="s">
        <v>1629</v>
      </c>
      <c r="Y470" s="35" t="s">
        <v>1630</v>
      </c>
      <c r="Z470" s="35" t="s">
        <v>3393</v>
      </c>
      <c r="AA470" s="35" t="s">
        <v>3339</v>
      </c>
      <c r="AB470" s="29" t="s">
        <v>3402</v>
      </c>
      <c r="AC470" s="35" t="s">
        <v>1633</v>
      </c>
      <c r="AD470" s="35" t="s">
        <v>1634</v>
      </c>
      <c r="AE470" s="35" t="s">
        <v>1634</v>
      </c>
      <c r="AF470" s="35" t="s">
        <v>1635</v>
      </c>
      <c r="AG470" s="35" t="s">
        <v>2634</v>
      </c>
      <c r="AI470" s="35"/>
      <c r="AJ470" s="35" t="s">
        <v>3340</v>
      </c>
      <c r="AK470" s="35" t="s">
        <v>1672</v>
      </c>
      <c r="AL470" s="29" t="s">
        <v>3362</v>
      </c>
      <c r="AM470" s="35"/>
      <c r="AN470" s="35"/>
      <c r="AO470" s="35"/>
      <c r="AP470" s="35"/>
      <c r="AQ470" s="35"/>
      <c r="AS470" s="35"/>
      <c r="AU470" s="35"/>
      <c r="AW470" s="35"/>
      <c r="AY470" s="35"/>
      <c r="AZ470" s="35"/>
      <c r="BA470" s="35" t="s">
        <v>3139</v>
      </c>
      <c r="BB470" s="29" t="s">
        <v>3341</v>
      </c>
      <c r="BC470" s="29" t="s">
        <v>3342</v>
      </c>
      <c r="BD470" s="29" t="s">
        <v>3363</v>
      </c>
      <c r="BE470" s="29" t="s">
        <v>1805</v>
      </c>
      <c r="BF470" s="29" t="s">
        <v>1922</v>
      </c>
      <c r="BG470" s="29" t="s">
        <v>3403</v>
      </c>
      <c r="BH470" s="29" t="s">
        <v>1648</v>
      </c>
      <c r="BI470" s="35"/>
      <c r="BJ470" s="35"/>
      <c r="BK470" s="29" t="str" cm="1">
        <f t="array" ref="BK470">_xlfn.UNIQUE(MID(BB470,16,14))</f>
        <v>U012UNA01UH100</v>
      </c>
    </row>
    <row r="471" spans="1:63" x14ac:dyDescent="0.3">
      <c r="A471" s="29" t="s">
        <v>1612</v>
      </c>
      <c r="B471" s="36" t="str">
        <f t="shared" si="35"/>
        <v>G01NHC01BQ001-QM15</v>
      </c>
      <c r="C471" s="33" t="s">
        <v>3404</v>
      </c>
      <c r="D471" s="34" t="str">
        <f t="shared" si="36"/>
        <v>ELY1 H2 TRT QUAL SV15 CB ON/OPN</v>
      </c>
      <c r="E471" s="31">
        <f t="shared" si="37"/>
        <v>31</v>
      </c>
      <c r="F471" s="32" t="str">
        <f t="shared" si="38"/>
        <v>ELECTROLYSIS SYSTEM ELECTROLYSIS ARRAY 1 H2 TREATMENT H2 TREATMENT SYSTEM QUALITY MEASURING SYSTEM O2 IN H2 MEASURING SYSTEM SOLENOID VALVE CHECK BACK ON/OPEN</v>
      </c>
      <c r="G471" s="29" t="s">
        <v>1614</v>
      </c>
      <c r="H471" s="29" t="s">
        <v>1615</v>
      </c>
      <c r="I471" s="29" t="str">
        <f t="shared" si="39"/>
        <v>01</v>
      </c>
      <c r="J471" s="29" t="s">
        <v>1616</v>
      </c>
      <c r="K471" s="29" t="s">
        <v>1617</v>
      </c>
      <c r="L471" s="29" t="s">
        <v>1618</v>
      </c>
      <c r="M471" s="29" t="s">
        <v>1619</v>
      </c>
      <c r="N471" s="29" t="s">
        <v>1620</v>
      </c>
      <c r="O471" s="29" t="s">
        <v>1621</v>
      </c>
      <c r="P471" s="29" t="s">
        <v>1622</v>
      </c>
      <c r="Q471" s="29" t="s">
        <v>1623</v>
      </c>
      <c r="R471" s="29" t="s">
        <v>1624</v>
      </c>
      <c r="S471" s="29" t="s">
        <v>3405</v>
      </c>
      <c r="T471" s="29" t="s">
        <v>3352</v>
      </c>
      <c r="U471" s="29" t="s">
        <v>790</v>
      </c>
      <c r="V471" s="29" t="s">
        <v>2639</v>
      </c>
      <c r="W471" s="35" t="s">
        <v>1628</v>
      </c>
      <c r="X471" s="35" t="s">
        <v>1629</v>
      </c>
      <c r="Y471" s="35" t="s">
        <v>1630</v>
      </c>
      <c r="Z471" s="35" t="s">
        <v>3406</v>
      </c>
      <c r="AA471" s="35" t="s">
        <v>2641</v>
      </c>
      <c r="AB471" s="29" t="s">
        <v>3407</v>
      </c>
      <c r="AC471" s="35" t="s">
        <v>1633</v>
      </c>
      <c r="AD471" s="35" t="s">
        <v>1634</v>
      </c>
      <c r="AE471" s="35" t="s">
        <v>1634</v>
      </c>
      <c r="AF471" s="35" t="s">
        <v>1635</v>
      </c>
      <c r="AG471" s="35" t="s">
        <v>1636</v>
      </c>
      <c r="AI471" s="35"/>
      <c r="AJ471" s="35" t="s">
        <v>1637</v>
      </c>
      <c r="AK471" s="35" t="s">
        <v>1638</v>
      </c>
      <c r="AL471" s="29" t="s">
        <v>2866</v>
      </c>
      <c r="AM471" s="35"/>
      <c r="AN471" s="35"/>
      <c r="AO471" s="35"/>
      <c r="AP471" s="35"/>
      <c r="AQ471" s="35"/>
      <c r="AS471" s="35"/>
      <c r="AU471" s="35"/>
      <c r="AW471" s="35"/>
      <c r="AY471" s="35"/>
      <c r="AZ471" s="35" t="s">
        <v>1642</v>
      </c>
      <c r="BA471" s="35" t="s">
        <v>2002</v>
      </c>
      <c r="BB471" s="29" t="s">
        <v>1643</v>
      </c>
      <c r="BC471" s="29" t="s">
        <v>1644</v>
      </c>
      <c r="BD471" s="29" t="s">
        <v>3408</v>
      </c>
      <c r="BE471" s="29" t="s">
        <v>3409</v>
      </c>
      <c r="BF471" s="29" t="s">
        <v>1922</v>
      </c>
      <c r="BG471" s="29" t="s">
        <v>3410</v>
      </c>
      <c r="BH471" s="29" t="s">
        <v>1648</v>
      </c>
      <c r="BI471" s="35"/>
      <c r="BJ471" s="35"/>
      <c r="BK471" s="29" t="str" cm="1">
        <f t="array" ref="BK471">_xlfn.UNIQUE(MID(BB471,16,14))</f>
        <v>U012UNA01UH100</v>
      </c>
    </row>
    <row r="472" spans="1:63" x14ac:dyDescent="0.3">
      <c r="A472" s="29" t="s">
        <v>1612</v>
      </c>
      <c r="B472" s="36" t="str">
        <f t="shared" si="35"/>
        <v>G01NHC01BQ001-QM15</v>
      </c>
      <c r="C472" s="33" t="s">
        <v>3411</v>
      </c>
      <c r="D472" s="34" t="str">
        <f t="shared" si="36"/>
        <v>ELY1 H2 TRT QUAL SV15 CB OFF/CLD</v>
      </c>
      <c r="E472" s="31">
        <f t="shared" si="37"/>
        <v>32</v>
      </c>
      <c r="F472" s="32" t="str">
        <f t="shared" si="38"/>
        <v>ELECTROLYSIS SYSTEM ELECTROLYSIS ARRAY 1 H2 TREATMENT H2 TREATMENT SYSTEM QUALITY MEASURING SYSTEM O2 IN H2 MEASURING SYSTEM SOLENOID VALVE CHECK BACK OFF/CLOSED</v>
      </c>
      <c r="G472" s="29" t="s">
        <v>1614</v>
      </c>
      <c r="H472" s="29" t="s">
        <v>1615</v>
      </c>
      <c r="I472" s="29" t="str">
        <f t="shared" si="39"/>
        <v>01</v>
      </c>
      <c r="J472" s="29" t="s">
        <v>1616</v>
      </c>
      <c r="K472" s="29" t="s">
        <v>1617</v>
      </c>
      <c r="L472" s="29" t="s">
        <v>1618</v>
      </c>
      <c r="M472" s="29" t="s">
        <v>1619</v>
      </c>
      <c r="N472" s="29" t="s">
        <v>1620</v>
      </c>
      <c r="O472" s="29" t="s">
        <v>1621</v>
      </c>
      <c r="P472" s="29" t="s">
        <v>1622</v>
      </c>
      <c r="Q472" s="29" t="s">
        <v>1623</v>
      </c>
      <c r="R472" s="29" t="s">
        <v>1624</v>
      </c>
      <c r="S472" s="29" t="s">
        <v>3405</v>
      </c>
      <c r="T472" s="29" t="s">
        <v>3352</v>
      </c>
      <c r="U472" s="29" t="s">
        <v>363</v>
      </c>
      <c r="V472" s="29" t="s">
        <v>2645</v>
      </c>
      <c r="W472" s="35" t="s">
        <v>1628</v>
      </c>
      <c r="X472" s="35" t="s">
        <v>1629</v>
      </c>
      <c r="Y472" s="35" t="s">
        <v>1630</v>
      </c>
      <c r="Z472" s="35" t="s">
        <v>3406</v>
      </c>
      <c r="AA472" s="35" t="s">
        <v>2646</v>
      </c>
      <c r="AB472" s="29" t="s">
        <v>2653</v>
      </c>
      <c r="AC472" s="35" t="s">
        <v>1633</v>
      </c>
      <c r="AD472" s="35" t="s">
        <v>1634</v>
      </c>
      <c r="AE472" s="35" t="s">
        <v>1634</v>
      </c>
      <c r="AF472" s="35" t="s">
        <v>1635</v>
      </c>
      <c r="AG472" s="35" t="s">
        <v>1636</v>
      </c>
      <c r="AI472" s="35"/>
      <c r="AJ472" s="35" t="s">
        <v>1637</v>
      </c>
      <c r="AK472" s="35" t="s">
        <v>1638</v>
      </c>
      <c r="AL472" s="29" t="s">
        <v>2866</v>
      </c>
      <c r="AM472" s="35"/>
      <c r="AN472" s="35"/>
      <c r="AO472" s="35"/>
      <c r="AP472" s="35"/>
      <c r="AQ472" s="35"/>
      <c r="AS472" s="35"/>
      <c r="AU472" s="35"/>
      <c r="AW472" s="35"/>
      <c r="AY472" s="35"/>
      <c r="AZ472" s="35" t="s">
        <v>1642</v>
      </c>
      <c r="BA472" s="35" t="s">
        <v>2002</v>
      </c>
      <c r="BB472" s="29" t="s">
        <v>1643</v>
      </c>
      <c r="BC472" s="29" t="s">
        <v>1644</v>
      </c>
      <c r="BD472" s="29" t="s">
        <v>3412</v>
      </c>
      <c r="BE472" s="29" t="s">
        <v>3413</v>
      </c>
      <c r="BF472" s="29" t="s">
        <v>3414</v>
      </c>
      <c r="BG472" s="29" t="s">
        <v>3410</v>
      </c>
      <c r="BH472" s="29" t="s">
        <v>1648</v>
      </c>
      <c r="BI472" s="35"/>
      <c r="BJ472" s="35"/>
      <c r="BK472" s="29" t="str" cm="1">
        <f t="array" ref="BK472">_xlfn.UNIQUE(MID(BB472,16,14))</f>
        <v>U012UNA01UH100</v>
      </c>
    </row>
    <row r="473" spans="1:63" hidden="1" x14ac:dyDescent="0.3">
      <c r="A473" s="29" t="s">
        <v>1612</v>
      </c>
      <c r="B473" s="36" t="str">
        <f t="shared" si="35"/>
        <v>G01NHC01BQ001-QM15</v>
      </c>
      <c r="C473" s="33" t="s">
        <v>3415</v>
      </c>
      <c r="D473" s="34" t="str">
        <f t="shared" si="36"/>
        <v>ELY1 H2 TRT QUAL SV15 CMD ON/OP</v>
      </c>
      <c r="E473" s="31">
        <f t="shared" si="37"/>
        <v>31</v>
      </c>
      <c r="F473" s="32" t="str">
        <f t="shared" si="38"/>
        <v>ELECTROLYSIS SYSTEM ELECTROLYSIS ARRAY 1 H2 TREATMENT H2 TREATMENT SYSTEM QUALITY MEASURING SYSTEM O2 IN H2 MEASURING SYSTEM SOLENOID VALVE MANUAL COMMAND ON/OPEN</v>
      </c>
      <c r="G473" s="29" t="s">
        <v>1614</v>
      </c>
      <c r="H473" s="29" t="s">
        <v>1615</v>
      </c>
      <c r="I473" s="29" t="str">
        <f t="shared" si="39"/>
        <v>01</v>
      </c>
      <c r="J473" s="29" t="s">
        <v>1616</v>
      </c>
      <c r="K473" s="29" t="s">
        <v>1617</v>
      </c>
      <c r="L473" s="29" t="s">
        <v>1618</v>
      </c>
      <c r="M473" s="29" t="s">
        <v>1619</v>
      </c>
      <c r="N473" s="29" t="s">
        <v>1620</v>
      </c>
      <c r="O473" s="29" t="s">
        <v>1621</v>
      </c>
      <c r="P473" s="29" t="s">
        <v>1622</v>
      </c>
      <c r="Q473" s="29" t="s">
        <v>1623</v>
      </c>
      <c r="R473" s="29" t="s">
        <v>1624</v>
      </c>
      <c r="S473" s="29" t="s">
        <v>3405</v>
      </c>
      <c r="T473" s="29" t="s">
        <v>3352</v>
      </c>
      <c r="U473" s="29" t="s">
        <v>3337</v>
      </c>
      <c r="V473" s="29" t="s">
        <v>3338</v>
      </c>
      <c r="W473" s="35" t="s">
        <v>1628</v>
      </c>
      <c r="X473" s="35" t="s">
        <v>1629</v>
      </c>
      <c r="Y473" s="35" t="s">
        <v>1630</v>
      </c>
      <c r="Z473" s="35" t="s">
        <v>3406</v>
      </c>
      <c r="AA473" s="35" t="s">
        <v>3339</v>
      </c>
      <c r="AB473" s="29" t="s">
        <v>3416</v>
      </c>
      <c r="AC473" s="35" t="s">
        <v>1633</v>
      </c>
      <c r="AD473" s="35" t="s">
        <v>1634</v>
      </c>
      <c r="AE473" s="35" t="s">
        <v>1634</v>
      </c>
      <c r="AF473" s="35" t="s">
        <v>1635</v>
      </c>
      <c r="AG473" s="35" t="s">
        <v>2634</v>
      </c>
      <c r="AI473" s="35"/>
      <c r="AJ473" s="35" t="s">
        <v>3340</v>
      </c>
      <c r="AK473" s="35" t="s">
        <v>1672</v>
      </c>
      <c r="AL473" s="29" t="s">
        <v>3362</v>
      </c>
      <c r="AM473" s="35"/>
      <c r="AN473" s="35"/>
      <c r="AO473" s="35"/>
      <c r="AP473" s="35"/>
      <c r="AQ473" s="35"/>
      <c r="AS473" s="35"/>
      <c r="AU473" s="35"/>
      <c r="AW473" s="35"/>
      <c r="AY473" s="35"/>
      <c r="AZ473" s="35"/>
      <c r="BA473" s="35" t="s">
        <v>3139</v>
      </c>
      <c r="BB473" s="29" t="s">
        <v>3341</v>
      </c>
      <c r="BC473" s="29" t="s">
        <v>3342</v>
      </c>
      <c r="BD473" s="29" t="s">
        <v>3363</v>
      </c>
      <c r="BE473" s="29" t="s">
        <v>1805</v>
      </c>
      <c r="BF473" s="29" t="s">
        <v>1931</v>
      </c>
      <c r="BG473" s="29" t="s">
        <v>3417</v>
      </c>
      <c r="BH473" s="29" t="s">
        <v>1648</v>
      </c>
      <c r="BI473" s="35"/>
      <c r="BJ473" s="35"/>
      <c r="BK473" s="29" t="str" cm="1">
        <f t="array" ref="BK473">_xlfn.UNIQUE(MID(BB473,16,14))</f>
        <v>U012UNA01UH100</v>
      </c>
    </row>
    <row r="474" spans="1:63" x14ac:dyDescent="0.3">
      <c r="A474" s="29" t="s">
        <v>1612</v>
      </c>
      <c r="B474" s="36" t="str">
        <f t="shared" si="35"/>
        <v>G01NHC01BQ001-QM16</v>
      </c>
      <c r="C474" s="33" t="s">
        <v>3418</v>
      </c>
      <c r="D474" s="34" t="str">
        <f t="shared" si="36"/>
        <v>ELY1 H2 TRT QUAL SV16 CB ON/OPN</v>
      </c>
      <c r="E474" s="31">
        <f t="shared" si="37"/>
        <v>31</v>
      </c>
      <c r="F474" s="32" t="str">
        <f t="shared" si="38"/>
        <v>ELECTROLYSIS SYSTEM ELECTROLYSIS ARRAY 1 H2 TREATMENT H2 TREATMENT SYSTEM QUALITY MEASURING SYSTEM O2 IN H2 MEASURING SYSTEM SOLENOID VALVE CHECK BACK ON/OPEN</v>
      </c>
      <c r="G474" s="29" t="s">
        <v>1614</v>
      </c>
      <c r="H474" s="29" t="s">
        <v>1615</v>
      </c>
      <c r="I474" s="29" t="str">
        <f t="shared" si="39"/>
        <v>01</v>
      </c>
      <c r="J474" s="29" t="s">
        <v>1616</v>
      </c>
      <c r="K474" s="29" t="s">
        <v>1617</v>
      </c>
      <c r="L474" s="29" t="s">
        <v>1618</v>
      </c>
      <c r="M474" s="29" t="s">
        <v>1619</v>
      </c>
      <c r="N474" s="29" t="s">
        <v>1620</v>
      </c>
      <c r="O474" s="29" t="s">
        <v>1621</v>
      </c>
      <c r="P474" s="29" t="s">
        <v>1622</v>
      </c>
      <c r="Q474" s="29" t="s">
        <v>1623</v>
      </c>
      <c r="R474" s="29" t="s">
        <v>1624</v>
      </c>
      <c r="S474" s="29" t="s">
        <v>3419</v>
      </c>
      <c r="T474" s="29" t="s">
        <v>3352</v>
      </c>
      <c r="U474" s="29" t="s">
        <v>790</v>
      </c>
      <c r="V474" s="29" t="s">
        <v>2639</v>
      </c>
      <c r="W474" s="35" t="s">
        <v>1628</v>
      </c>
      <c r="X474" s="35" t="s">
        <v>1629</v>
      </c>
      <c r="Y474" s="35" t="s">
        <v>1630</v>
      </c>
      <c r="Z474" s="35" t="s">
        <v>3420</v>
      </c>
      <c r="AA474" s="35" t="s">
        <v>2641</v>
      </c>
      <c r="AB474" s="29" t="s">
        <v>3421</v>
      </c>
      <c r="AC474" s="35" t="s">
        <v>1633</v>
      </c>
      <c r="AD474" s="35" t="s">
        <v>1634</v>
      </c>
      <c r="AE474" s="35" t="s">
        <v>1634</v>
      </c>
      <c r="AF474" s="35" t="s">
        <v>1635</v>
      </c>
      <c r="AG474" s="35" t="s">
        <v>1636</v>
      </c>
      <c r="AI474" s="35"/>
      <c r="AJ474" s="35" t="s">
        <v>1637</v>
      </c>
      <c r="AK474" s="35" t="s">
        <v>1638</v>
      </c>
      <c r="AL474" s="29" t="s">
        <v>2866</v>
      </c>
      <c r="AM474" s="35"/>
      <c r="AN474" s="35"/>
      <c r="AO474" s="35"/>
      <c r="AP474" s="35"/>
      <c r="AQ474" s="35"/>
      <c r="AS474" s="35"/>
      <c r="AU474" s="35"/>
      <c r="AW474" s="35"/>
      <c r="AY474" s="35"/>
      <c r="AZ474" s="35" t="s">
        <v>1642</v>
      </c>
      <c r="BA474" s="35" t="s">
        <v>2002</v>
      </c>
      <c r="BB474" s="29" t="s">
        <v>1643</v>
      </c>
      <c r="BC474" s="29" t="s">
        <v>1644</v>
      </c>
      <c r="BD474" s="29" t="s">
        <v>3422</v>
      </c>
      <c r="BE474" s="29" t="s">
        <v>3423</v>
      </c>
      <c r="BF474" s="29" t="s">
        <v>1931</v>
      </c>
      <c r="BG474" s="29" t="s">
        <v>3424</v>
      </c>
      <c r="BH474" s="29" t="s">
        <v>1648</v>
      </c>
      <c r="BI474" s="35"/>
      <c r="BJ474" s="35"/>
      <c r="BK474" s="29" t="str" cm="1">
        <f t="array" ref="BK474">_xlfn.UNIQUE(MID(BB474,16,14))</f>
        <v>U012UNA01UH100</v>
      </c>
    </row>
    <row r="475" spans="1:63" x14ac:dyDescent="0.3">
      <c r="A475" s="29" t="s">
        <v>1612</v>
      </c>
      <c r="B475" s="36" t="str">
        <f t="shared" si="35"/>
        <v>G01NHC01BQ001-QM16</v>
      </c>
      <c r="C475" s="33" t="s">
        <v>3425</v>
      </c>
      <c r="D475" s="34" t="str">
        <f t="shared" si="36"/>
        <v>ELY1 H2 TRT QUAL SV16 CB OFF/CLD</v>
      </c>
      <c r="E475" s="31">
        <f t="shared" si="37"/>
        <v>32</v>
      </c>
      <c r="F475" s="32" t="str">
        <f t="shared" si="38"/>
        <v>ELECTROLYSIS SYSTEM ELECTROLYSIS ARRAY 1 H2 TREATMENT H2 TREATMENT SYSTEM QUALITY MEASURING SYSTEM O2 IN H2 MEASURING SYSTEM SOLENOID VALVE CHECK BACK OFF/CLOSED</v>
      </c>
      <c r="G475" s="29" t="s">
        <v>1614</v>
      </c>
      <c r="H475" s="29" t="s">
        <v>1615</v>
      </c>
      <c r="I475" s="29" t="str">
        <f t="shared" si="39"/>
        <v>01</v>
      </c>
      <c r="J475" s="29" t="s">
        <v>1616</v>
      </c>
      <c r="K475" s="29" t="s">
        <v>1617</v>
      </c>
      <c r="L475" s="29" t="s">
        <v>1618</v>
      </c>
      <c r="M475" s="29" t="s">
        <v>1619</v>
      </c>
      <c r="N475" s="29" t="s">
        <v>1620</v>
      </c>
      <c r="O475" s="29" t="s">
        <v>1621</v>
      </c>
      <c r="P475" s="29" t="s">
        <v>1622</v>
      </c>
      <c r="Q475" s="29" t="s">
        <v>1623</v>
      </c>
      <c r="R475" s="29" t="s">
        <v>1624</v>
      </c>
      <c r="S475" s="29" t="s">
        <v>3419</v>
      </c>
      <c r="T475" s="29" t="s">
        <v>3352</v>
      </c>
      <c r="U475" s="29" t="s">
        <v>363</v>
      </c>
      <c r="V475" s="29" t="s">
        <v>2645</v>
      </c>
      <c r="W475" s="35" t="s">
        <v>1628</v>
      </c>
      <c r="X475" s="35" t="s">
        <v>1629</v>
      </c>
      <c r="Y475" s="35" t="s">
        <v>1630</v>
      </c>
      <c r="Z475" s="35" t="s">
        <v>3420</v>
      </c>
      <c r="AA475" s="35" t="s">
        <v>2646</v>
      </c>
      <c r="AB475" s="29" t="s">
        <v>2653</v>
      </c>
      <c r="AC475" s="35" t="s">
        <v>1633</v>
      </c>
      <c r="AD475" s="35" t="s">
        <v>1634</v>
      </c>
      <c r="AE475" s="35" t="s">
        <v>1634</v>
      </c>
      <c r="AF475" s="35" t="s">
        <v>1635</v>
      </c>
      <c r="AG475" s="35" t="s">
        <v>1636</v>
      </c>
      <c r="AI475" s="35"/>
      <c r="AJ475" s="35" t="s">
        <v>1637</v>
      </c>
      <c r="AK475" s="35" t="s">
        <v>1638</v>
      </c>
      <c r="AL475" s="29" t="s">
        <v>2866</v>
      </c>
      <c r="AM475" s="35"/>
      <c r="AN475" s="35"/>
      <c r="AO475" s="35"/>
      <c r="AP475" s="35"/>
      <c r="AQ475" s="35"/>
      <c r="AS475" s="35"/>
      <c r="AU475" s="35"/>
      <c r="AW475" s="35"/>
      <c r="AY475" s="35"/>
      <c r="AZ475" s="35" t="s">
        <v>1642</v>
      </c>
      <c r="BA475" s="35" t="s">
        <v>2002</v>
      </c>
      <c r="BB475" s="29" t="s">
        <v>1643</v>
      </c>
      <c r="BC475" s="29" t="s">
        <v>1644</v>
      </c>
      <c r="BD475" s="29" t="s">
        <v>3426</v>
      </c>
      <c r="BE475" s="29" t="s">
        <v>3427</v>
      </c>
      <c r="BF475" s="29" t="s">
        <v>3140</v>
      </c>
      <c r="BG475" s="29" t="s">
        <v>3424</v>
      </c>
      <c r="BH475" s="29" t="s">
        <v>1648</v>
      </c>
      <c r="BI475" s="35"/>
      <c r="BJ475" s="35"/>
      <c r="BK475" s="29" t="str" cm="1">
        <f t="array" ref="BK475">_xlfn.UNIQUE(MID(BB475,16,14))</f>
        <v>U012UNA01UH100</v>
      </c>
    </row>
    <row r="476" spans="1:63" hidden="1" x14ac:dyDescent="0.3">
      <c r="A476" s="29" t="s">
        <v>1612</v>
      </c>
      <c r="B476" s="36" t="str">
        <f t="shared" si="35"/>
        <v>G01NHC01BQ001-QM16</v>
      </c>
      <c r="C476" s="33" t="s">
        <v>3428</v>
      </c>
      <c r="D476" s="34" t="str">
        <f t="shared" si="36"/>
        <v>ELY1 H2 TRT QUAL SV16 CMD ON/OP</v>
      </c>
      <c r="E476" s="31">
        <f t="shared" si="37"/>
        <v>31</v>
      </c>
      <c r="F476" s="32" t="str">
        <f t="shared" si="38"/>
        <v>ELECTROLYSIS SYSTEM ELECTROLYSIS ARRAY 1 H2 TREATMENT H2 TREATMENT SYSTEM QUALITY MEASURING SYSTEM O2 IN H2 MEASURING SYSTEM SOLENOID VALVE MANUAL COMMAND ON/OPEN</v>
      </c>
      <c r="G476" s="29" t="s">
        <v>1614</v>
      </c>
      <c r="H476" s="29" t="s">
        <v>1615</v>
      </c>
      <c r="I476" s="29" t="str">
        <f t="shared" si="39"/>
        <v>01</v>
      </c>
      <c r="J476" s="29" t="s">
        <v>1616</v>
      </c>
      <c r="K476" s="29" t="s">
        <v>1617</v>
      </c>
      <c r="L476" s="29" t="s">
        <v>1618</v>
      </c>
      <c r="M476" s="29" t="s">
        <v>1619</v>
      </c>
      <c r="N476" s="29" t="s">
        <v>1620</v>
      </c>
      <c r="O476" s="29" t="s">
        <v>1621</v>
      </c>
      <c r="P476" s="29" t="s">
        <v>1622</v>
      </c>
      <c r="Q476" s="29" t="s">
        <v>1623</v>
      </c>
      <c r="R476" s="29" t="s">
        <v>1624</v>
      </c>
      <c r="S476" s="29" t="s">
        <v>3419</v>
      </c>
      <c r="T476" s="29" t="s">
        <v>3352</v>
      </c>
      <c r="U476" s="29" t="s">
        <v>3337</v>
      </c>
      <c r="V476" s="29" t="s">
        <v>3338</v>
      </c>
      <c r="W476" s="35" t="s">
        <v>1628</v>
      </c>
      <c r="X476" s="35" t="s">
        <v>1629</v>
      </c>
      <c r="Y476" s="35" t="s">
        <v>1630</v>
      </c>
      <c r="Z476" s="35" t="s">
        <v>3420</v>
      </c>
      <c r="AA476" s="35" t="s">
        <v>3339</v>
      </c>
      <c r="AB476" s="29" t="s">
        <v>3429</v>
      </c>
      <c r="AC476" s="35" t="s">
        <v>1633</v>
      </c>
      <c r="AD476" s="35" t="s">
        <v>1634</v>
      </c>
      <c r="AE476" s="35" t="s">
        <v>1634</v>
      </c>
      <c r="AF476" s="35" t="s">
        <v>1635</v>
      </c>
      <c r="AG476" s="35" t="s">
        <v>2634</v>
      </c>
      <c r="AI476" s="35"/>
      <c r="AJ476" s="35" t="s">
        <v>3340</v>
      </c>
      <c r="AK476" s="35" t="s">
        <v>1672</v>
      </c>
      <c r="AL476" s="29" t="s">
        <v>3362</v>
      </c>
      <c r="AM476" s="35"/>
      <c r="AN476" s="35"/>
      <c r="AO476" s="35"/>
      <c r="AP476" s="35"/>
      <c r="AQ476" s="35"/>
      <c r="AS476" s="35"/>
      <c r="AU476" s="35"/>
      <c r="AW476" s="35"/>
      <c r="AY476" s="35"/>
      <c r="AZ476" s="35"/>
      <c r="BA476" s="35" t="s">
        <v>3139</v>
      </c>
      <c r="BB476" s="29" t="s">
        <v>3341</v>
      </c>
      <c r="BC476" s="29" t="s">
        <v>3342</v>
      </c>
      <c r="BD476" s="29" t="s">
        <v>3363</v>
      </c>
      <c r="BE476" s="29" t="s">
        <v>1805</v>
      </c>
      <c r="BF476" s="29" t="s">
        <v>1936</v>
      </c>
      <c r="BG476" s="29" t="s">
        <v>3430</v>
      </c>
      <c r="BH476" s="29" t="s">
        <v>1648</v>
      </c>
      <c r="BI476" s="35"/>
      <c r="BJ476" s="35"/>
      <c r="BK476" s="29" t="str" cm="1">
        <f t="array" ref="BK476">_xlfn.UNIQUE(MID(BB476,16,14))</f>
        <v>U012UNA01UH100</v>
      </c>
    </row>
    <row r="477" spans="1:63" x14ac:dyDescent="0.3">
      <c r="A477" s="29" t="s">
        <v>1612</v>
      </c>
      <c r="B477" s="36" t="str">
        <f t="shared" si="35"/>
        <v>G01NHC01BQ001-QM17</v>
      </c>
      <c r="C477" s="33" t="s">
        <v>3431</v>
      </c>
      <c r="D477" s="34" t="str">
        <f t="shared" si="36"/>
        <v>ELY1 H2 TRT QUAL SV17 CB ON/OPN</v>
      </c>
      <c r="E477" s="31">
        <f t="shared" si="37"/>
        <v>31</v>
      </c>
      <c r="F477" s="32" t="str">
        <f t="shared" si="38"/>
        <v>ELECTROLYSIS SYSTEM ELECTROLYSIS ARRAY 1 H2 TREATMENT H2 TREATMENT SYSTEM QUALITY MEASURING SYSTEM O2 IN H2 MEASURING SYSTEM SOLENOID VALVE CHECK BACK ON/OPEN</v>
      </c>
      <c r="G477" s="29" t="s">
        <v>1614</v>
      </c>
      <c r="H477" s="29" t="s">
        <v>1615</v>
      </c>
      <c r="I477" s="29" t="str">
        <f t="shared" si="39"/>
        <v>01</v>
      </c>
      <c r="J477" s="29" t="s">
        <v>1616</v>
      </c>
      <c r="K477" s="29" t="s">
        <v>1617</v>
      </c>
      <c r="L477" s="29" t="s">
        <v>1618</v>
      </c>
      <c r="M477" s="29" t="s">
        <v>1619</v>
      </c>
      <c r="N477" s="29" t="s">
        <v>1620</v>
      </c>
      <c r="O477" s="29" t="s">
        <v>1621</v>
      </c>
      <c r="P477" s="29" t="s">
        <v>1622</v>
      </c>
      <c r="Q477" s="29" t="s">
        <v>1623</v>
      </c>
      <c r="R477" s="29" t="s">
        <v>1624</v>
      </c>
      <c r="S477" s="29" t="s">
        <v>3432</v>
      </c>
      <c r="T477" s="29" t="s">
        <v>3352</v>
      </c>
      <c r="U477" s="29" t="s">
        <v>790</v>
      </c>
      <c r="V477" s="29" t="s">
        <v>2639</v>
      </c>
      <c r="W477" s="35" t="s">
        <v>1628</v>
      </c>
      <c r="X477" s="35" t="s">
        <v>1629</v>
      </c>
      <c r="Y477" s="35" t="s">
        <v>1630</v>
      </c>
      <c r="Z477" s="35" t="s">
        <v>3433</v>
      </c>
      <c r="AA477" s="35" t="s">
        <v>2641</v>
      </c>
      <c r="AB477" s="29" t="s">
        <v>3434</v>
      </c>
      <c r="AC477" s="35" t="s">
        <v>1633</v>
      </c>
      <c r="AD477" s="35" t="s">
        <v>1634</v>
      </c>
      <c r="AE477" s="35" t="s">
        <v>1634</v>
      </c>
      <c r="AF477" s="35" t="s">
        <v>1635</v>
      </c>
      <c r="AG477" s="35" t="s">
        <v>1636</v>
      </c>
      <c r="AI477" s="35"/>
      <c r="AJ477" s="35" t="s">
        <v>1637</v>
      </c>
      <c r="AK477" s="35" t="s">
        <v>1638</v>
      </c>
      <c r="AL477" s="29" t="s">
        <v>2866</v>
      </c>
      <c r="AM477" s="35"/>
      <c r="AN477" s="35"/>
      <c r="AO477" s="35"/>
      <c r="AP477" s="35"/>
      <c r="AQ477" s="35"/>
      <c r="AS477" s="35"/>
      <c r="AU477" s="35"/>
      <c r="AW477" s="35"/>
      <c r="AY477" s="35"/>
      <c r="AZ477" s="35" t="s">
        <v>1642</v>
      </c>
      <c r="BA477" s="35" t="s">
        <v>2002</v>
      </c>
      <c r="BB477" s="29" t="s">
        <v>1643</v>
      </c>
      <c r="BC477" s="29" t="s">
        <v>1644</v>
      </c>
      <c r="BD477" s="29" t="s">
        <v>3435</v>
      </c>
      <c r="BE477" s="29" t="s">
        <v>3436</v>
      </c>
      <c r="BF477" s="29" t="s">
        <v>1936</v>
      </c>
      <c r="BG477" s="29" t="s">
        <v>3437</v>
      </c>
      <c r="BH477" s="29" t="s">
        <v>1648</v>
      </c>
      <c r="BI477" s="35"/>
      <c r="BJ477" s="35"/>
      <c r="BK477" s="29" t="str" cm="1">
        <f t="array" ref="BK477">_xlfn.UNIQUE(MID(BB477,16,14))</f>
        <v>U012UNA01UH100</v>
      </c>
    </row>
    <row r="478" spans="1:63" x14ac:dyDescent="0.3">
      <c r="A478" s="29" t="s">
        <v>1612</v>
      </c>
      <c r="B478" s="36" t="str">
        <f t="shared" si="35"/>
        <v>G01NHC01BQ001-QM17</v>
      </c>
      <c r="C478" s="33" t="s">
        <v>3438</v>
      </c>
      <c r="D478" s="34" t="str">
        <f t="shared" si="36"/>
        <v>ELY1 H2 TRT QUAL SV17 CB OFF/CLD</v>
      </c>
      <c r="E478" s="31">
        <f t="shared" si="37"/>
        <v>32</v>
      </c>
      <c r="F478" s="32" t="str">
        <f t="shared" si="38"/>
        <v>ELECTROLYSIS SYSTEM ELECTROLYSIS ARRAY 1 H2 TREATMENT H2 TREATMENT SYSTEM QUALITY MEASURING SYSTEM O2 IN H2 MEASURING SYSTEM SOLENOID VALVE CHECK BACK OFF/CLOSED</v>
      </c>
      <c r="G478" s="29" t="s">
        <v>1614</v>
      </c>
      <c r="H478" s="29" t="s">
        <v>1615</v>
      </c>
      <c r="I478" s="29" t="str">
        <f t="shared" si="39"/>
        <v>01</v>
      </c>
      <c r="J478" s="29" t="s">
        <v>1616</v>
      </c>
      <c r="K478" s="29" t="s">
        <v>1617</v>
      </c>
      <c r="L478" s="29" t="s">
        <v>1618</v>
      </c>
      <c r="M478" s="29" t="s">
        <v>1619</v>
      </c>
      <c r="N478" s="29" t="s">
        <v>1620</v>
      </c>
      <c r="O478" s="29" t="s">
        <v>1621</v>
      </c>
      <c r="P478" s="29" t="s">
        <v>1622</v>
      </c>
      <c r="Q478" s="29" t="s">
        <v>1623</v>
      </c>
      <c r="R478" s="29" t="s">
        <v>1624</v>
      </c>
      <c r="S478" s="29" t="s">
        <v>3432</v>
      </c>
      <c r="T478" s="29" t="s">
        <v>3352</v>
      </c>
      <c r="U478" s="29" t="s">
        <v>363</v>
      </c>
      <c r="V478" s="29" t="s">
        <v>2645</v>
      </c>
      <c r="W478" s="35" t="s">
        <v>1628</v>
      </c>
      <c r="X478" s="35" t="s">
        <v>1629</v>
      </c>
      <c r="Y478" s="35" t="s">
        <v>1630</v>
      </c>
      <c r="Z478" s="35" t="s">
        <v>3433</v>
      </c>
      <c r="AA478" s="35" t="s">
        <v>2646</v>
      </c>
      <c r="AB478" s="29" t="s">
        <v>2653</v>
      </c>
      <c r="AC478" s="35" t="s">
        <v>1633</v>
      </c>
      <c r="AD478" s="35" t="s">
        <v>1634</v>
      </c>
      <c r="AE478" s="35" t="s">
        <v>1634</v>
      </c>
      <c r="AF478" s="35" t="s">
        <v>1635</v>
      </c>
      <c r="AG478" s="35" t="s">
        <v>1636</v>
      </c>
      <c r="AI478" s="35"/>
      <c r="AJ478" s="35" t="s">
        <v>1637</v>
      </c>
      <c r="AK478" s="35" t="s">
        <v>1638</v>
      </c>
      <c r="AL478" s="29" t="s">
        <v>2866</v>
      </c>
      <c r="AM478" s="35"/>
      <c r="AN478" s="35"/>
      <c r="AO478" s="35"/>
      <c r="AP478" s="35"/>
      <c r="AQ478" s="35"/>
      <c r="AS478" s="35"/>
      <c r="AU478" s="35"/>
      <c r="AW478" s="35"/>
      <c r="AY478" s="35"/>
      <c r="AZ478" s="35" t="s">
        <v>1642</v>
      </c>
      <c r="BA478" s="35" t="s">
        <v>2002</v>
      </c>
      <c r="BB478" s="29" t="s">
        <v>1643</v>
      </c>
      <c r="BC478" s="29" t="s">
        <v>1644</v>
      </c>
      <c r="BD478" s="29" t="s">
        <v>3439</v>
      </c>
      <c r="BE478" s="29" t="s">
        <v>3440</v>
      </c>
      <c r="BF478" s="29" t="s">
        <v>2554</v>
      </c>
      <c r="BG478" s="29" t="s">
        <v>3437</v>
      </c>
      <c r="BH478" s="29" t="s">
        <v>1648</v>
      </c>
      <c r="BI478" s="35"/>
      <c r="BJ478" s="35"/>
      <c r="BK478" s="29" t="str" cm="1">
        <f t="array" ref="BK478">_xlfn.UNIQUE(MID(BB478,16,14))</f>
        <v>U012UNA01UH100</v>
      </c>
    </row>
    <row r="479" spans="1:63" hidden="1" x14ac:dyDescent="0.3">
      <c r="A479" s="29" t="s">
        <v>1612</v>
      </c>
      <c r="B479" s="36" t="str">
        <f t="shared" si="35"/>
        <v>G01NHC01BQ001-QM17</v>
      </c>
      <c r="C479" s="33" t="s">
        <v>3441</v>
      </c>
      <c r="D479" s="34" t="str">
        <f t="shared" si="36"/>
        <v>ELY1 H2 TRT QUAL SV17 CMD ON/OP</v>
      </c>
      <c r="E479" s="31">
        <f t="shared" si="37"/>
        <v>31</v>
      </c>
      <c r="F479" s="32" t="str">
        <f t="shared" si="38"/>
        <v>ELECTROLYSIS SYSTEM ELECTROLYSIS ARRAY 1 H2 TREATMENT H2 TREATMENT SYSTEM QUALITY MEASURING SYSTEM O2 IN H2 MEASURING SYSTEM SOLENOID VALVE MANUAL COMMAND ON/OPEN</v>
      </c>
      <c r="G479" s="29" t="s">
        <v>1614</v>
      </c>
      <c r="H479" s="29" t="s">
        <v>1615</v>
      </c>
      <c r="I479" s="29" t="str">
        <f t="shared" si="39"/>
        <v>01</v>
      </c>
      <c r="J479" s="29" t="s">
        <v>1616</v>
      </c>
      <c r="K479" s="29" t="s">
        <v>1617</v>
      </c>
      <c r="L479" s="29" t="s">
        <v>1618</v>
      </c>
      <c r="M479" s="29" t="s">
        <v>1619</v>
      </c>
      <c r="N479" s="29" t="s">
        <v>1620</v>
      </c>
      <c r="O479" s="29" t="s">
        <v>1621</v>
      </c>
      <c r="P479" s="29" t="s">
        <v>1622</v>
      </c>
      <c r="Q479" s="29" t="s">
        <v>1623</v>
      </c>
      <c r="R479" s="29" t="s">
        <v>1624</v>
      </c>
      <c r="S479" s="29" t="s">
        <v>3432</v>
      </c>
      <c r="T479" s="29" t="s">
        <v>3352</v>
      </c>
      <c r="U479" s="29" t="s">
        <v>3337</v>
      </c>
      <c r="V479" s="29" t="s">
        <v>3338</v>
      </c>
      <c r="W479" s="35" t="s">
        <v>1628</v>
      </c>
      <c r="X479" s="35" t="s">
        <v>1629</v>
      </c>
      <c r="Y479" s="35" t="s">
        <v>1630</v>
      </c>
      <c r="Z479" s="35" t="s">
        <v>3433</v>
      </c>
      <c r="AA479" s="35" t="s">
        <v>3339</v>
      </c>
      <c r="AB479" s="29" t="s">
        <v>3442</v>
      </c>
      <c r="AC479" s="35" t="s">
        <v>1633</v>
      </c>
      <c r="AD479" s="35" t="s">
        <v>1634</v>
      </c>
      <c r="AE479" s="35" t="s">
        <v>1634</v>
      </c>
      <c r="AF479" s="35" t="s">
        <v>1635</v>
      </c>
      <c r="AG479" s="35" t="s">
        <v>2634</v>
      </c>
      <c r="AI479" s="35"/>
      <c r="AJ479" s="35" t="s">
        <v>3340</v>
      </c>
      <c r="AK479" s="35" t="s">
        <v>1672</v>
      </c>
      <c r="AL479" s="29" t="s">
        <v>3362</v>
      </c>
      <c r="AM479" s="35"/>
      <c r="AN479" s="35"/>
      <c r="AO479" s="35"/>
      <c r="AP479" s="35"/>
      <c r="AQ479" s="35"/>
      <c r="AS479" s="35"/>
      <c r="AU479" s="35"/>
      <c r="AW479" s="35"/>
      <c r="AY479" s="35"/>
      <c r="AZ479" s="35"/>
      <c r="BA479" s="35" t="s">
        <v>3139</v>
      </c>
      <c r="BB479" s="29" t="s">
        <v>3341</v>
      </c>
      <c r="BC479" s="29" t="s">
        <v>3342</v>
      </c>
      <c r="BD479" s="29" t="s">
        <v>3363</v>
      </c>
      <c r="BE479" s="29" t="s">
        <v>1805</v>
      </c>
      <c r="BF479" s="29" t="s">
        <v>2035</v>
      </c>
      <c r="BG479" s="29" t="s">
        <v>3443</v>
      </c>
      <c r="BH479" s="29" t="s">
        <v>1648</v>
      </c>
      <c r="BI479" s="35"/>
      <c r="BJ479" s="35"/>
      <c r="BK479" s="29" t="str" cm="1">
        <f t="array" ref="BK479">_xlfn.UNIQUE(MID(BB479,16,14))</f>
        <v>U012UNA01UH100</v>
      </c>
    </row>
    <row r="480" spans="1:63" x14ac:dyDescent="0.3">
      <c r="A480" s="29" t="s">
        <v>1612</v>
      </c>
      <c r="B480" s="36" t="str">
        <f t="shared" si="35"/>
        <v>G01NHC01BQ001-QM22</v>
      </c>
      <c r="C480" s="33" t="s">
        <v>3444</v>
      </c>
      <c r="D480" s="34" t="str">
        <f t="shared" si="36"/>
        <v>ELY1 H2 TRT QUAL SV22 CB ON/OPN</v>
      </c>
      <c r="E480" s="31">
        <f t="shared" si="37"/>
        <v>31</v>
      </c>
      <c r="F480" s="32" t="str">
        <f t="shared" si="38"/>
        <v>ELECTROLYSIS SYSTEM ELECTROLYSIS ARRAY 1 H2 TREATMENT H2 TREATMENT SYSTEM QUALITY MEASURING SYSTEM O2 IN H2 MEASURING SYSTEM SOLENOID VALVE CHECK BACK ON/OPEN</v>
      </c>
      <c r="G480" s="29" t="s">
        <v>1614</v>
      </c>
      <c r="H480" s="29" t="s">
        <v>1615</v>
      </c>
      <c r="I480" s="29" t="str">
        <f t="shared" si="39"/>
        <v>01</v>
      </c>
      <c r="J480" s="29" t="s">
        <v>1616</v>
      </c>
      <c r="K480" s="29" t="s">
        <v>1617</v>
      </c>
      <c r="L480" s="29" t="s">
        <v>1618</v>
      </c>
      <c r="M480" s="29" t="s">
        <v>1619</v>
      </c>
      <c r="N480" s="29" t="s">
        <v>1620</v>
      </c>
      <c r="O480" s="29" t="s">
        <v>1621</v>
      </c>
      <c r="P480" s="29" t="s">
        <v>1622</v>
      </c>
      <c r="Q480" s="29" t="s">
        <v>1623</v>
      </c>
      <c r="R480" s="29" t="s">
        <v>1624</v>
      </c>
      <c r="S480" s="29" t="s">
        <v>3445</v>
      </c>
      <c r="T480" s="29" t="s">
        <v>3352</v>
      </c>
      <c r="U480" s="29" t="s">
        <v>790</v>
      </c>
      <c r="V480" s="29" t="s">
        <v>2639</v>
      </c>
      <c r="W480" s="35" t="s">
        <v>1628</v>
      </c>
      <c r="X480" s="35" t="s">
        <v>1629</v>
      </c>
      <c r="Y480" s="35" t="s">
        <v>1630</v>
      </c>
      <c r="Z480" s="35" t="s">
        <v>3446</v>
      </c>
      <c r="AA480" s="35" t="s">
        <v>2641</v>
      </c>
      <c r="AB480" s="29" t="s">
        <v>3447</v>
      </c>
      <c r="AC480" s="35" t="s">
        <v>1633</v>
      </c>
      <c r="AD480" s="35" t="s">
        <v>1634</v>
      </c>
      <c r="AE480" s="35" t="s">
        <v>1634</v>
      </c>
      <c r="AF480" s="35" t="s">
        <v>1635</v>
      </c>
      <c r="AG480" s="35" t="s">
        <v>1636</v>
      </c>
      <c r="AI480" s="35"/>
      <c r="AJ480" s="35" t="s">
        <v>1637</v>
      </c>
      <c r="AK480" s="35" t="s">
        <v>1672</v>
      </c>
      <c r="AL480" s="29" t="s">
        <v>1803</v>
      </c>
      <c r="AM480" s="35"/>
      <c r="AN480" s="35"/>
      <c r="AO480" s="35"/>
      <c r="AP480" s="35"/>
      <c r="AQ480" s="35"/>
      <c r="AS480" s="35"/>
      <c r="AU480" s="35"/>
      <c r="AW480" s="35"/>
      <c r="AY480" s="35"/>
      <c r="AZ480" s="35"/>
      <c r="BA480" s="35"/>
      <c r="BB480" s="29" t="s">
        <v>3448</v>
      </c>
      <c r="BC480" s="29" t="s">
        <v>2347</v>
      </c>
      <c r="BD480" s="29" t="s">
        <v>2739</v>
      </c>
      <c r="BE480" s="29" t="s">
        <v>1805</v>
      </c>
      <c r="BF480" s="29" t="s">
        <v>1619</v>
      </c>
      <c r="BG480" s="29" t="s">
        <v>3449</v>
      </c>
      <c r="BH480" s="29" t="s">
        <v>1648</v>
      </c>
      <c r="BI480" s="35"/>
      <c r="BJ480" s="35"/>
      <c r="BK480" s="29" t="str" cm="1">
        <f t="array" ref="BK480">_xlfn.UNIQUE(MID(BB480,16,14))</f>
        <v>U012UNA01UH100</v>
      </c>
    </row>
    <row r="481" spans="1:63" x14ac:dyDescent="0.3">
      <c r="A481" s="29" t="s">
        <v>1612</v>
      </c>
      <c r="B481" s="36" t="str">
        <f t="shared" si="35"/>
        <v>G01NHC01BQ001-QM22</v>
      </c>
      <c r="C481" s="33" t="s">
        <v>3450</v>
      </c>
      <c r="D481" s="34" t="str">
        <f t="shared" si="36"/>
        <v>ELY1 H2 TRT QUAL SV22 CB OFF/CLD</v>
      </c>
      <c r="E481" s="31">
        <f t="shared" si="37"/>
        <v>32</v>
      </c>
      <c r="F481" s="32" t="str">
        <f t="shared" si="38"/>
        <v>ELECTROLYSIS SYSTEM ELECTROLYSIS ARRAY 1 H2 TREATMENT H2 TREATMENT SYSTEM QUALITY MEASURING SYSTEM O2 IN H2 MEASURING SYSTEM SOLENOID VALVE CHECK BACK OFF/CLOSED</v>
      </c>
      <c r="G481" s="29" t="s">
        <v>1614</v>
      </c>
      <c r="H481" s="29" t="s">
        <v>1615</v>
      </c>
      <c r="I481" s="29" t="str">
        <f t="shared" si="39"/>
        <v>01</v>
      </c>
      <c r="J481" s="29" t="s">
        <v>1616</v>
      </c>
      <c r="K481" s="29" t="s">
        <v>1617</v>
      </c>
      <c r="L481" s="29" t="s">
        <v>1618</v>
      </c>
      <c r="M481" s="29" t="s">
        <v>1619</v>
      </c>
      <c r="N481" s="29" t="s">
        <v>1620</v>
      </c>
      <c r="O481" s="29" t="s">
        <v>1621</v>
      </c>
      <c r="P481" s="29" t="s">
        <v>1622</v>
      </c>
      <c r="Q481" s="29" t="s">
        <v>1623</v>
      </c>
      <c r="R481" s="29" t="s">
        <v>1624</v>
      </c>
      <c r="S481" s="29" t="s">
        <v>3445</v>
      </c>
      <c r="T481" s="29" t="s">
        <v>3352</v>
      </c>
      <c r="U481" s="29" t="s">
        <v>363</v>
      </c>
      <c r="V481" s="29" t="s">
        <v>2645</v>
      </c>
      <c r="W481" s="35" t="s">
        <v>1628</v>
      </c>
      <c r="X481" s="35" t="s">
        <v>1629</v>
      </c>
      <c r="Y481" s="35" t="s">
        <v>1630</v>
      </c>
      <c r="Z481" s="35" t="s">
        <v>3446</v>
      </c>
      <c r="AA481" s="35" t="s">
        <v>2646</v>
      </c>
      <c r="AB481" s="29" t="s">
        <v>2653</v>
      </c>
      <c r="AC481" s="35" t="s">
        <v>1633</v>
      </c>
      <c r="AD481" s="35" t="s">
        <v>1634</v>
      </c>
      <c r="AE481" s="35" t="s">
        <v>1634</v>
      </c>
      <c r="AF481" s="35" t="s">
        <v>1635</v>
      </c>
      <c r="AG481" s="35" t="s">
        <v>1636</v>
      </c>
      <c r="AI481" s="35"/>
      <c r="AJ481" s="35" t="s">
        <v>1637</v>
      </c>
      <c r="AK481" s="35" t="s">
        <v>1672</v>
      </c>
      <c r="AL481" s="29" t="s">
        <v>1803</v>
      </c>
      <c r="AM481" s="35"/>
      <c r="AN481" s="35"/>
      <c r="AO481" s="35"/>
      <c r="AP481" s="35"/>
      <c r="AQ481" s="35"/>
      <c r="AS481" s="35"/>
      <c r="AU481" s="35"/>
      <c r="AW481" s="35"/>
      <c r="AY481" s="35"/>
      <c r="AZ481" s="35"/>
      <c r="BA481" s="35"/>
      <c r="BB481" s="29" t="s">
        <v>3448</v>
      </c>
      <c r="BC481" s="29" t="s">
        <v>2347</v>
      </c>
      <c r="BD481" s="29" t="s">
        <v>3154</v>
      </c>
      <c r="BE481" s="29" t="s">
        <v>1805</v>
      </c>
      <c r="BF481" s="29" t="s">
        <v>1905</v>
      </c>
      <c r="BG481" s="29" t="s">
        <v>3449</v>
      </c>
      <c r="BH481" s="29" t="s">
        <v>1648</v>
      </c>
      <c r="BI481" s="35"/>
      <c r="BJ481" s="35"/>
      <c r="BK481" s="29" t="str" cm="1">
        <f t="array" ref="BK481">_xlfn.UNIQUE(MID(BB481,16,14))</f>
        <v>U012UNA01UH100</v>
      </c>
    </row>
    <row r="482" spans="1:63" hidden="1" x14ac:dyDescent="0.3">
      <c r="A482" s="29" t="s">
        <v>1612</v>
      </c>
      <c r="B482" s="36" t="str">
        <f t="shared" si="35"/>
        <v>G01NHC01BQ001-QM22</v>
      </c>
      <c r="C482" s="33" t="s">
        <v>3451</v>
      </c>
      <c r="D482" s="34" t="str">
        <f t="shared" si="36"/>
        <v>ELY1 H2 TRT QUAL SV22 CMD ON/OP</v>
      </c>
      <c r="E482" s="31">
        <f t="shared" si="37"/>
        <v>31</v>
      </c>
      <c r="F482" s="32" t="str">
        <f t="shared" si="38"/>
        <v>ELECTROLYSIS SYSTEM ELECTROLYSIS ARRAY 1 H2 TREATMENT H2 TREATMENT SYSTEM QUALITY MEASURING SYSTEM O2 IN H2 MEASURING SYSTEM SOLENOID VALVE MANUAL COMMAND ON/OPEN</v>
      </c>
      <c r="G482" s="29" t="s">
        <v>1614</v>
      </c>
      <c r="H482" s="29" t="s">
        <v>1615</v>
      </c>
      <c r="I482" s="29" t="str">
        <f t="shared" si="39"/>
        <v>01</v>
      </c>
      <c r="J482" s="29" t="s">
        <v>1616</v>
      </c>
      <c r="K482" s="29" t="s">
        <v>1617</v>
      </c>
      <c r="L482" s="29" t="s">
        <v>1618</v>
      </c>
      <c r="M482" s="29" t="s">
        <v>1619</v>
      </c>
      <c r="N482" s="29" t="s">
        <v>1620</v>
      </c>
      <c r="O482" s="29" t="s">
        <v>1621</v>
      </c>
      <c r="P482" s="29" t="s">
        <v>1622</v>
      </c>
      <c r="Q482" s="29" t="s">
        <v>1623</v>
      </c>
      <c r="R482" s="29" t="s">
        <v>1624</v>
      </c>
      <c r="S482" s="29" t="s">
        <v>3445</v>
      </c>
      <c r="T482" s="29" t="s">
        <v>3352</v>
      </c>
      <c r="U482" s="29" t="s">
        <v>3337</v>
      </c>
      <c r="V482" s="29" t="s">
        <v>3338</v>
      </c>
      <c r="W482" s="35" t="s">
        <v>1628</v>
      </c>
      <c r="X482" s="35" t="s">
        <v>1629</v>
      </c>
      <c r="Y482" s="35" t="s">
        <v>1630</v>
      </c>
      <c r="Z482" s="35" t="s">
        <v>3446</v>
      </c>
      <c r="AA482" s="35" t="s">
        <v>3339</v>
      </c>
      <c r="AB482" s="29" t="s">
        <v>3452</v>
      </c>
      <c r="AC482" s="35" t="s">
        <v>1633</v>
      </c>
      <c r="AD482" s="35" t="s">
        <v>1634</v>
      </c>
      <c r="AE482" s="35" t="s">
        <v>1634</v>
      </c>
      <c r="AF482" s="35" t="s">
        <v>1635</v>
      </c>
      <c r="AG482" s="35" t="s">
        <v>2634</v>
      </c>
      <c r="AI482" s="35"/>
      <c r="AJ482" s="35" t="s">
        <v>3340</v>
      </c>
      <c r="AK482" s="35" t="s">
        <v>1672</v>
      </c>
      <c r="AL482" s="29" t="s">
        <v>3362</v>
      </c>
      <c r="AM482" s="35"/>
      <c r="AN482" s="35"/>
      <c r="AO482" s="35"/>
      <c r="AP482" s="35"/>
      <c r="AQ482" s="35"/>
      <c r="AS482" s="35"/>
      <c r="AU482" s="35"/>
      <c r="AW482" s="35"/>
      <c r="AY482" s="35"/>
      <c r="AZ482" s="35"/>
      <c r="BA482" s="35" t="s">
        <v>3139</v>
      </c>
      <c r="BB482" s="29" t="s">
        <v>3341</v>
      </c>
      <c r="BC482" s="29" t="s">
        <v>3342</v>
      </c>
      <c r="BD482" s="29" t="s">
        <v>3363</v>
      </c>
      <c r="BE482" s="29" t="s">
        <v>1805</v>
      </c>
      <c r="BF482" s="29" t="s">
        <v>1969</v>
      </c>
      <c r="BG482" s="29" t="s">
        <v>3453</v>
      </c>
      <c r="BH482" s="29" t="s">
        <v>1648</v>
      </c>
      <c r="BI482" s="35"/>
      <c r="BJ482" s="35"/>
      <c r="BK482" s="29" t="str" cm="1">
        <f t="array" ref="BK482">_xlfn.UNIQUE(MID(BB482,16,14))</f>
        <v>U012UNA01UH100</v>
      </c>
    </row>
    <row r="483" spans="1:63" x14ac:dyDescent="0.3">
      <c r="A483" s="29" t="s">
        <v>1612</v>
      </c>
      <c r="B483" s="36" t="str">
        <f t="shared" si="35"/>
        <v>G01NHC01BQ001-QM23</v>
      </c>
      <c r="C483" s="33" t="s">
        <v>3454</v>
      </c>
      <c r="D483" s="34" t="str">
        <f t="shared" si="36"/>
        <v>ELY1 H2 TRT QUAL SV23 CB MAN ON/OPN</v>
      </c>
      <c r="E483" s="31">
        <f t="shared" si="37"/>
        <v>35</v>
      </c>
      <c r="F483" s="32" t="str">
        <f t="shared" si="38"/>
        <v>ELECTROLYSIS SYSTEM ELECTROLYSIS ARRAY 1 H2 TREATMENT H2 TREATMENT SYSTEM QUALITY MEASURING SYSTEM O2 IN H2 MEASURING SYSTEM 3-WAY VALVE - CAL-GAS MANUAL COMMAND ON/OPEN</v>
      </c>
      <c r="G483" s="29" t="s">
        <v>1614</v>
      </c>
      <c r="H483" s="29" t="s">
        <v>1615</v>
      </c>
      <c r="I483" s="29" t="str">
        <f t="shared" si="39"/>
        <v>01</v>
      </c>
      <c r="J483" s="29" t="s">
        <v>1616</v>
      </c>
      <c r="K483" s="29" t="s">
        <v>1617</v>
      </c>
      <c r="L483" s="29" t="s">
        <v>1618</v>
      </c>
      <c r="M483" s="29" t="s">
        <v>1619</v>
      </c>
      <c r="N483" s="29" t="s">
        <v>1620</v>
      </c>
      <c r="O483" s="29" t="s">
        <v>1621</v>
      </c>
      <c r="P483" s="29" t="s">
        <v>1622</v>
      </c>
      <c r="Q483" s="29" t="s">
        <v>1623</v>
      </c>
      <c r="R483" s="29" t="s">
        <v>1624</v>
      </c>
      <c r="S483" s="29" t="s">
        <v>3455</v>
      </c>
      <c r="T483" s="29" t="s">
        <v>3456</v>
      </c>
      <c r="U483" s="29" t="s">
        <v>3457</v>
      </c>
      <c r="V483" s="29" t="s">
        <v>3338</v>
      </c>
      <c r="W483" s="35" t="s">
        <v>1628</v>
      </c>
      <c r="X483" s="35" t="s">
        <v>1629</v>
      </c>
      <c r="Y483" s="35" t="s">
        <v>1630</v>
      </c>
      <c r="Z483" s="35" t="s">
        <v>3458</v>
      </c>
      <c r="AA483" s="35" t="s">
        <v>3459</v>
      </c>
      <c r="AB483" s="29" t="s">
        <v>3460</v>
      </c>
      <c r="AC483" s="35" t="s">
        <v>1633</v>
      </c>
      <c r="AD483" s="35" t="s">
        <v>1634</v>
      </c>
      <c r="AE483" s="35" t="s">
        <v>1634</v>
      </c>
      <c r="AF483" s="35" t="s">
        <v>1635</v>
      </c>
      <c r="AG483" s="35" t="s">
        <v>1728</v>
      </c>
      <c r="AI483" s="35"/>
      <c r="AJ483" s="35" t="s">
        <v>1637</v>
      </c>
      <c r="AK483" s="35" t="s">
        <v>1672</v>
      </c>
      <c r="AL483" s="29" t="s">
        <v>2954</v>
      </c>
      <c r="AM483" s="35"/>
      <c r="AN483" s="35"/>
      <c r="AO483" s="35"/>
      <c r="AP483" s="35"/>
      <c r="AQ483" s="35"/>
      <c r="AS483" s="35"/>
      <c r="AU483" s="35"/>
      <c r="AW483" s="35"/>
      <c r="AY483" s="35"/>
      <c r="AZ483" s="35"/>
      <c r="BA483" s="35"/>
      <c r="BB483" s="29" t="s">
        <v>3448</v>
      </c>
      <c r="BC483" s="29" t="s">
        <v>2347</v>
      </c>
      <c r="BD483" s="29" t="s">
        <v>3461</v>
      </c>
      <c r="BE483" s="29" t="s">
        <v>1805</v>
      </c>
      <c r="BF483" s="29" t="s">
        <v>1909</v>
      </c>
      <c r="BG483" s="29" t="s">
        <v>3462</v>
      </c>
      <c r="BH483" s="29" t="s">
        <v>1648</v>
      </c>
      <c r="BI483" s="35"/>
      <c r="BJ483" s="35"/>
      <c r="BK483" s="29" t="str" cm="1">
        <f t="array" ref="BK483">_xlfn.UNIQUE(MID(BB483,16,14))</f>
        <v>U012UNA01UH100</v>
      </c>
    </row>
    <row r="484" spans="1:63" x14ac:dyDescent="0.3">
      <c r="A484" s="29" t="s">
        <v>2355</v>
      </c>
      <c r="B484" s="36" t="str">
        <f t="shared" si="35"/>
        <v>G01NHC01GT001-FL01</v>
      </c>
      <c r="C484" s="33" t="s">
        <v>3463</v>
      </c>
      <c r="D484" s="34" t="str">
        <f t="shared" si="36"/>
        <v>ELY1 H2 TRT LEAD OFF SFTY VLV CB ON/OPN</v>
      </c>
      <c r="E484" s="31">
        <f t="shared" si="37"/>
        <v>39</v>
      </c>
      <c r="F484" s="32" t="str">
        <f t="shared" si="38"/>
        <v>ELECTROLYSIS SYSTEM ELECTROLYSIS ARRAY 1 H2 TREATMENT H2 TREATMENT SYSTEM GAS LEAD OFF SYSTEMS GAS LEAD OFF SYSTEM 1 ANGLE SAFETY VALVE CHECK BACK ON/OPEN</v>
      </c>
      <c r="G484" s="29" t="s">
        <v>1614</v>
      </c>
      <c r="H484" s="29" t="s">
        <v>1615</v>
      </c>
      <c r="I484" s="29" t="str">
        <f t="shared" si="39"/>
        <v>01</v>
      </c>
      <c r="J484" s="29" t="s">
        <v>1616</v>
      </c>
      <c r="K484" s="29" t="s">
        <v>1617</v>
      </c>
      <c r="L484" s="29" t="s">
        <v>1618</v>
      </c>
      <c r="M484" s="29" t="s">
        <v>1619</v>
      </c>
      <c r="N484" s="29" t="s">
        <v>1620</v>
      </c>
      <c r="O484" s="29" t="s">
        <v>2357</v>
      </c>
      <c r="P484" s="29" t="s">
        <v>2358</v>
      </c>
      <c r="Q484" s="29" t="s">
        <v>1623</v>
      </c>
      <c r="R484" s="29" t="s">
        <v>2359</v>
      </c>
      <c r="S484" s="29" t="s">
        <v>3464</v>
      </c>
      <c r="T484" s="29" t="s">
        <v>3465</v>
      </c>
      <c r="U484" s="29" t="s">
        <v>790</v>
      </c>
      <c r="V484" s="29" t="s">
        <v>2639</v>
      </c>
      <c r="W484" s="35" t="s">
        <v>1628</v>
      </c>
      <c r="X484" s="35" t="s">
        <v>1629</v>
      </c>
      <c r="Y484" s="35" t="s">
        <v>2361</v>
      </c>
      <c r="Z484" s="35" t="s">
        <v>3466</v>
      </c>
      <c r="AA484" s="35" t="s">
        <v>2641</v>
      </c>
      <c r="AB484" s="29" t="s">
        <v>3467</v>
      </c>
      <c r="AC484" s="35" t="s">
        <v>1633</v>
      </c>
      <c r="AD484" s="35" t="s">
        <v>3468</v>
      </c>
      <c r="AE484" s="35" t="s">
        <v>3468</v>
      </c>
      <c r="AF484" s="35" t="s">
        <v>1635</v>
      </c>
      <c r="AG484" s="35" t="s">
        <v>1636</v>
      </c>
      <c r="AI484" s="35"/>
      <c r="AJ484" s="35" t="s">
        <v>1637</v>
      </c>
      <c r="AK484" s="35" t="s">
        <v>1672</v>
      </c>
      <c r="AL484" s="29" t="s">
        <v>1803</v>
      </c>
      <c r="AM484" s="35"/>
      <c r="AN484" s="35"/>
      <c r="AO484" s="35"/>
      <c r="AP484" s="35"/>
      <c r="AQ484" s="35"/>
      <c r="AS484" s="35"/>
      <c r="AU484" s="35"/>
      <c r="AW484" s="35"/>
      <c r="AY484" s="35"/>
      <c r="AZ484" s="35"/>
      <c r="BA484" s="35"/>
      <c r="BB484" s="29" t="s">
        <v>3448</v>
      </c>
      <c r="BC484" s="29" t="s">
        <v>2347</v>
      </c>
      <c r="BD484" s="29" t="s">
        <v>2739</v>
      </c>
      <c r="BE484" s="29" t="s">
        <v>1805</v>
      </c>
      <c r="BF484" s="29" t="s">
        <v>1936</v>
      </c>
      <c r="BG484" s="29" t="s">
        <v>3469</v>
      </c>
      <c r="BH484" s="29" t="s">
        <v>2364</v>
      </c>
      <c r="BI484" s="35"/>
      <c r="BJ484" s="35"/>
      <c r="BK484" s="29" t="str" cm="1">
        <f t="array" ref="BK484">_xlfn.UNIQUE(MID(BB484,16,14))</f>
        <v>U012UNA01UH100</v>
      </c>
    </row>
    <row r="485" spans="1:63" x14ac:dyDescent="0.3">
      <c r="A485" s="29" t="s">
        <v>2355</v>
      </c>
      <c r="B485" s="36" t="str">
        <f t="shared" si="35"/>
        <v>G01NHC01GT001-QM01</v>
      </c>
      <c r="C485" s="33" t="s">
        <v>3470</v>
      </c>
      <c r="D485" s="34" t="str">
        <f t="shared" si="36"/>
        <v>ELY1 H2 TRT LEAD OFF SV1 CB ON/OPN</v>
      </c>
      <c r="E485" s="31">
        <f t="shared" si="37"/>
        <v>34</v>
      </c>
      <c r="F485" s="32" t="str">
        <f t="shared" si="38"/>
        <v>ELECTROLYSIS SYSTEM ELECTROLYSIS ARRAY 1 H2 TREATMENT H2 TREATMENT SYSTEM GAS LEAD OFF SYSTEMS GAS LEAD OFF SYSTEM 1 2-WAY SHUT-OFF VALVE H2 CHECK BACK ON/OPEN</v>
      </c>
      <c r="G485" s="29" t="s">
        <v>1614</v>
      </c>
      <c r="H485" s="29" t="s">
        <v>1615</v>
      </c>
      <c r="I485" s="29" t="str">
        <f t="shared" si="39"/>
        <v>01</v>
      </c>
      <c r="J485" s="29" t="s">
        <v>1616</v>
      </c>
      <c r="K485" s="29" t="s">
        <v>1617</v>
      </c>
      <c r="L485" s="29" t="s">
        <v>1618</v>
      </c>
      <c r="M485" s="29" t="s">
        <v>1619</v>
      </c>
      <c r="N485" s="29" t="s">
        <v>1620</v>
      </c>
      <c r="O485" s="29" t="s">
        <v>2357</v>
      </c>
      <c r="P485" s="29" t="s">
        <v>2358</v>
      </c>
      <c r="Q485" s="29" t="s">
        <v>1623</v>
      </c>
      <c r="R485" s="29" t="s">
        <v>2359</v>
      </c>
      <c r="S485" s="29" t="s">
        <v>3471</v>
      </c>
      <c r="T485" s="29" t="s">
        <v>3472</v>
      </c>
      <c r="U485" s="29" t="s">
        <v>790</v>
      </c>
      <c r="V485" s="29" t="s">
        <v>2639</v>
      </c>
      <c r="W485" s="35" t="s">
        <v>1628</v>
      </c>
      <c r="X485" s="35" t="s">
        <v>1629</v>
      </c>
      <c r="Y485" s="35" t="s">
        <v>2361</v>
      </c>
      <c r="Z485" s="35" t="s">
        <v>3473</v>
      </c>
      <c r="AA485" s="35" t="s">
        <v>2641</v>
      </c>
      <c r="AB485" s="29" t="s">
        <v>3474</v>
      </c>
      <c r="AC485" s="35" t="s">
        <v>1633</v>
      </c>
      <c r="AD485" s="35" t="s">
        <v>1634</v>
      </c>
      <c r="AE485" s="35" t="s">
        <v>1634</v>
      </c>
      <c r="AF485" s="35" t="s">
        <v>1635</v>
      </c>
      <c r="AG485" s="35" t="s">
        <v>1636</v>
      </c>
      <c r="AI485" s="35"/>
      <c r="AJ485" s="35" t="s">
        <v>1637</v>
      </c>
      <c r="AK485" s="35" t="s">
        <v>1672</v>
      </c>
      <c r="AL485" s="29" t="s">
        <v>1803</v>
      </c>
      <c r="AM485" s="35"/>
      <c r="AN485" s="35"/>
      <c r="AO485" s="35"/>
      <c r="AP485" s="35"/>
      <c r="AQ485" s="35"/>
      <c r="AS485" s="35"/>
      <c r="AU485" s="35"/>
      <c r="AW485" s="35"/>
      <c r="AY485" s="35"/>
      <c r="AZ485" s="35"/>
      <c r="BA485" s="35"/>
      <c r="BB485" s="29" t="s">
        <v>3448</v>
      </c>
      <c r="BC485" s="29" t="s">
        <v>2347</v>
      </c>
      <c r="BD485" s="29" t="s">
        <v>2739</v>
      </c>
      <c r="BE485" s="29" t="s">
        <v>1805</v>
      </c>
      <c r="BF485" s="29" t="s">
        <v>2035</v>
      </c>
      <c r="BG485" s="29" t="s">
        <v>3475</v>
      </c>
      <c r="BH485" s="29" t="s">
        <v>2364</v>
      </c>
      <c r="BI485" s="35"/>
      <c r="BJ485" s="35"/>
      <c r="BK485" s="29" t="str" cm="1">
        <f t="array" ref="BK485">_xlfn.UNIQUE(MID(BB485,16,14))</f>
        <v>U012UNA01UH100</v>
      </c>
    </row>
    <row r="486" spans="1:63" x14ac:dyDescent="0.3">
      <c r="A486" s="29" t="s">
        <v>2355</v>
      </c>
      <c r="B486" s="36" t="str">
        <f t="shared" si="35"/>
        <v>G01NHC01GT001-QM01</v>
      </c>
      <c r="C486" s="33" t="s">
        <v>3476</v>
      </c>
      <c r="D486" s="34" t="str">
        <f t="shared" si="36"/>
        <v>ELY1 H2 TRT LEAD OFF SV1 CB OFF/CLD</v>
      </c>
      <c r="E486" s="31">
        <f t="shared" si="37"/>
        <v>35</v>
      </c>
      <c r="F486" s="32" t="str">
        <f t="shared" si="38"/>
        <v>ELECTROLYSIS SYSTEM ELECTROLYSIS ARRAY 1 H2 TREATMENT H2 TREATMENT SYSTEM GAS LEAD OFF SYSTEMS GAS LEAD OFF SYSTEM 1 2-WAY SHUT-OFF VALVE H2 CHECK BACK OFF/CLOSED</v>
      </c>
      <c r="G486" s="29" t="s">
        <v>1614</v>
      </c>
      <c r="H486" s="29" t="s">
        <v>1615</v>
      </c>
      <c r="I486" s="29" t="str">
        <f t="shared" si="39"/>
        <v>01</v>
      </c>
      <c r="J486" s="29" t="s">
        <v>1616</v>
      </c>
      <c r="K486" s="29" t="s">
        <v>1617</v>
      </c>
      <c r="L486" s="29" t="s">
        <v>1618</v>
      </c>
      <c r="M486" s="29" t="s">
        <v>1619</v>
      </c>
      <c r="N486" s="29" t="s">
        <v>1620</v>
      </c>
      <c r="O486" s="29" t="s">
        <v>2357</v>
      </c>
      <c r="P486" s="29" t="s">
        <v>2358</v>
      </c>
      <c r="Q486" s="29" t="s">
        <v>1623</v>
      </c>
      <c r="R486" s="29" t="s">
        <v>2359</v>
      </c>
      <c r="S486" s="29" t="s">
        <v>3471</v>
      </c>
      <c r="T486" s="29" t="s">
        <v>3472</v>
      </c>
      <c r="U486" s="29" t="s">
        <v>363</v>
      </c>
      <c r="V486" s="29" t="s">
        <v>2645</v>
      </c>
      <c r="W486" s="35" t="s">
        <v>1628</v>
      </c>
      <c r="X486" s="35" t="s">
        <v>1629</v>
      </c>
      <c r="Y486" s="35" t="s">
        <v>2361</v>
      </c>
      <c r="Z486" s="35" t="s">
        <v>3473</v>
      </c>
      <c r="AA486" s="35" t="s">
        <v>2646</v>
      </c>
      <c r="AB486" s="29" t="s">
        <v>3474</v>
      </c>
      <c r="AC486" s="35" t="s">
        <v>1633</v>
      </c>
      <c r="AD486" s="35" t="s">
        <v>1634</v>
      </c>
      <c r="AE486" s="35" t="s">
        <v>1634</v>
      </c>
      <c r="AF486" s="35" t="s">
        <v>1635</v>
      </c>
      <c r="AG486" s="35" t="s">
        <v>1636</v>
      </c>
      <c r="AI486" s="35"/>
      <c r="AJ486" s="35" t="s">
        <v>1637</v>
      </c>
      <c r="AK486" s="35" t="s">
        <v>1672</v>
      </c>
      <c r="AL486" s="29" t="s">
        <v>1803</v>
      </c>
      <c r="AM486" s="35"/>
      <c r="AN486" s="35"/>
      <c r="AO486" s="35"/>
      <c r="AP486" s="35"/>
      <c r="AQ486" s="35"/>
      <c r="AS486" s="35"/>
      <c r="AU486" s="35"/>
      <c r="AW486" s="35"/>
      <c r="AY486" s="35"/>
      <c r="AZ486" s="35"/>
      <c r="BA486" s="35"/>
      <c r="BB486" s="29" t="s">
        <v>3448</v>
      </c>
      <c r="BC486" s="29" t="s">
        <v>2347</v>
      </c>
      <c r="BD486" s="29" t="s">
        <v>3154</v>
      </c>
      <c r="BE486" s="29" t="s">
        <v>1805</v>
      </c>
      <c r="BF486" s="29" t="s">
        <v>1969</v>
      </c>
      <c r="BG486" s="29" t="s">
        <v>3475</v>
      </c>
      <c r="BH486" s="29" t="s">
        <v>2364</v>
      </c>
      <c r="BI486" s="35"/>
      <c r="BJ486" s="35"/>
      <c r="BK486" s="29" t="str" cm="1">
        <f t="array" ref="BK486">_xlfn.UNIQUE(MID(BB486,16,14))</f>
        <v>U012UNA01UH100</v>
      </c>
    </row>
    <row r="487" spans="1:63" x14ac:dyDescent="0.3">
      <c r="A487" s="29" t="s">
        <v>2355</v>
      </c>
      <c r="B487" s="36" t="str">
        <f t="shared" si="35"/>
        <v>G01NHC01GT001-QN01</v>
      </c>
      <c r="C487" s="33" t="s">
        <v>3477</v>
      </c>
      <c r="D487" s="34" t="str">
        <f t="shared" si="36"/>
        <v>ELY1 H2 TRT LEAD OFF CV1 GRP FLT</v>
      </c>
      <c r="E487" s="31">
        <f t="shared" si="37"/>
        <v>32</v>
      </c>
      <c r="F487" s="32" t="str">
        <f t="shared" si="38"/>
        <v>ELECTROLYSIS SYSTEM ELECTROLYSIS ARRAY 1 H2 TREATMENT H2 TREATMENT SYSTEM GAS LEAD OFF SYSTEMS GAS LEAD OFF SYSTEM 1 CONTROL VALVE - H2 PRODUCT GROUP FAULT ALARM</v>
      </c>
      <c r="G487" s="29" t="s">
        <v>1614</v>
      </c>
      <c r="H487" s="29" t="s">
        <v>1615</v>
      </c>
      <c r="I487" s="29" t="str">
        <f t="shared" si="39"/>
        <v>01</v>
      </c>
      <c r="J487" s="29" t="s">
        <v>1616</v>
      </c>
      <c r="K487" s="29" t="s">
        <v>1617</v>
      </c>
      <c r="L487" s="29" t="s">
        <v>1618</v>
      </c>
      <c r="M487" s="29" t="s">
        <v>1619</v>
      </c>
      <c r="N487" s="29" t="s">
        <v>1620</v>
      </c>
      <c r="O487" s="29" t="s">
        <v>2357</v>
      </c>
      <c r="P487" s="29" t="s">
        <v>2358</v>
      </c>
      <c r="Q487" s="29" t="s">
        <v>1623</v>
      </c>
      <c r="R487" s="29" t="s">
        <v>2359</v>
      </c>
      <c r="S487" s="29" t="s">
        <v>1800</v>
      </c>
      <c r="T487" s="29" t="s">
        <v>2366</v>
      </c>
      <c r="U487" s="29" t="s">
        <v>1033</v>
      </c>
      <c r="V487" s="29" t="s">
        <v>1288</v>
      </c>
      <c r="W487" s="35" t="s">
        <v>1628</v>
      </c>
      <c r="X487" s="35" t="s">
        <v>1629</v>
      </c>
      <c r="Y487" s="35" t="s">
        <v>2361</v>
      </c>
      <c r="Z487" s="35" t="s">
        <v>1802</v>
      </c>
      <c r="AA487" s="35" t="s">
        <v>2633</v>
      </c>
      <c r="AB487" s="29" t="s">
        <v>2015</v>
      </c>
      <c r="AC487" s="35" t="s">
        <v>1633</v>
      </c>
      <c r="AD487" s="35" t="s">
        <v>1634</v>
      </c>
      <c r="AE487" s="35" t="s">
        <v>1634</v>
      </c>
      <c r="AF487" s="35" t="s">
        <v>1635</v>
      </c>
      <c r="AG487" s="35" t="s">
        <v>1636</v>
      </c>
      <c r="AI487" s="35"/>
      <c r="AJ487" s="35" t="s">
        <v>1637</v>
      </c>
      <c r="AK487" s="35" t="s">
        <v>1672</v>
      </c>
      <c r="AL487" s="29" t="s">
        <v>2606</v>
      </c>
      <c r="AM487" s="35"/>
      <c r="AN487" s="35"/>
      <c r="AO487" s="35"/>
      <c r="AP487" s="35"/>
      <c r="AQ487" s="35"/>
      <c r="AS487" s="35"/>
      <c r="AU487" s="35"/>
      <c r="AW487" s="35"/>
      <c r="AY487" s="35"/>
      <c r="AZ487" s="35"/>
      <c r="BA487" s="35"/>
      <c r="BB487" s="29" t="s">
        <v>3448</v>
      </c>
      <c r="BC487" s="29" t="s">
        <v>2347</v>
      </c>
      <c r="BD487" s="29" t="s">
        <v>2635</v>
      </c>
      <c r="BE487" s="29" t="s">
        <v>1805</v>
      </c>
      <c r="BF487" s="29" t="s">
        <v>1973</v>
      </c>
      <c r="BG487" s="29" t="s">
        <v>2367</v>
      </c>
      <c r="BH487" s="29" t="s">
        <v>2364</v>
      </c>
      <c r="BI487" s="35"/>
      <c r="BJ487" s="35"/>
      <c r="BK487" s="29" t="str" cm="1">
        <f t="array" ref="BK487">_xlfn.UNIQUE(MID(BB487,16,14))</f>
        <v>U012UNA01UH100</v>
      </c>
    </row>
    <row r="488" spans="1:63" x14ac:dyDescent="0.3">
      <c r="A488" s="29" t="s">
        <v>2355</v>
      </c>
      <c r="B488" s="36" t="str">
        <f t="shared" si="35"/>
        <v>G01NHC01GT001-QN02</v>
      </c>
      <c r="C488" s="33" t="s">
        <v>3478</v>
      </c>
      <c r="D488" s="34" t="str">
        <f t="shared" si="36"/>
        <v>ELY1 H2 TRT LEAD OFF CV2 GRP FLT</v>
      </c>
      <c r="E488" s="31">
        <f t="shared" si="37"/>
        <v>32</v>
      </c>
      <c r="F488" s="32" t="str">
        <f t="shared" si="38"/>
        <v>ELECTROLYSIS SYSTEM ELECTROLYSIS ARRAY 1 H2 TREATMENT H2 TREATMENT SYSTEM GAS LEAD OFF SYSTEMS GAS LEAD OFF SYSTEM 1 CONTROL VALVE - H2 BLOW OFF GROUP FAULT ALARM</v>
      </c>
      <c r="G488" s="29" t="s">
        <v>1614</v>
      </c>
      <c r="H488" s="29" t="s">
        <v>1615</v>
      </c>
      <c r="I488" s="29" t="str">
        <f t="shared" si="39"/>
        <v>01</v>
      </c>
      <c r="J488" s="29" t="s">
        <v>1616</v>
      </c>
      <c r="K488" s="29" t="s">
        <v>1617</v>
      </c>
      <c r="L488" s="29" t="s">
        <v>1618</v>
      </c>
      <c r="M488" s="29" t="s">
        <v>1619</v>
      </c>
      <c r="N488" s="29" t="s">
        <v>1620</v>
      </c>
      <c r="O488" s="29" t="s">
        <v>2357</v>
      </c>
      <c r="P488" s="29" t="s">
        <v>2358</v>
      </c>
      <c r="Q488" s="29" t="s">
        <v>1623</v>
      </c>
      <c r="R488" s="29" t="s">
        <v>2359</v>
      </c>
      <c r="S488" s="29" t="s">
        <v>2369</v>
      </c>
      <c r="T488" s="29" t="s">
        <v>2370</v>
      </c>
      <c r="U488" s="29" t="s">
        <v>1033</v>
      </c>
      <c r="V488" s="29" t="s">
        <v>1288</v>
      </c>
      <c r="W488" s="35" t="s">
        <v>1628</v>
      </c>
      <c r="X488" s="35" t="s">
        <v>1629</v>
      </c>
      <c r="Y488" s="35" t="s">
        <v>2361</v>
      </c>
      <c r="Z488" s="35" t="s">
        <v>2371</v>
      </c>
      <c r="AA488" s="35" t="s">
        <v>2633</v>
      </c>
      <c r="AB488" s="29" t="s">
        <v>2372</v>
      </c>
      <c r="AC488" s="35" t="s">
        <v>1633</v>
      </c>
      <c r="AD488" s="35" t="s">
        <v>1634</v>
      </c>
      <c r="AE488" s="35" t="s">
        <v>1634</v>
      </c>
      <c r="AF488" s="35" t="s">
        <v>1635</v>
      </c>
      <c r="AG488" s="35" t="s">
        <v>1636</v>
      </c>
      <c r="AI488" s="35"/>
      <c r="AJ488" s="35" t="s">
        <v>1637</v>
      </c>
      <c r="AK488" s="35" t="s">
        <v>1672</v>
      </c>
      <c r="AL488" s="29" t="s">
        <v>2606</v>
      </c>
      <c r="AM488" s="35"/>
      <c r="AN488" s="35"/>
      <c r="AO488" s="35"/>
      <c r="AP488" s="35"/>
      <c r="AQ488" s="35"/>
      <c r="AS488" s="35"/>
      <c r="AU488" s="35"/>
      <c r="AW488" s="35"/>
      <c r="AY488" s="35"/>
      <c r="AZ488" s="35"/>
      <c r="BA488" s="35"/>
      <c r="BB488" s="29" t="s">
        <v>3448</v>
      </c>
      <c r="BC488" s="29" t="s">
        <v>2347</v>
      </c>
      <c r="BD488" s="29" t="s">
        <v>2635</v>
      </c>
      <c r="BE488" s="29" t="s">
        <v>1805</v>
      </c>
      <c r="BF488" s="29" t="s">
        <v>2048</v>
      </c>
      <c r="BG488" s="29" t="s">
        <v>2373</v>
      </c>
      <c r="BH488" s="29" t="s">
        <v>2364</v>
      </c>
      <c r="BI488" s="35"/>
      <c r="BJ488" s="35"/>
      <c r="BK488" s="29" t="str" cm="1">
        <f t="array" ref="BK488">_xlfn.UNIQUE(MID(BB488,16,14))</f>
        <v>U012UNA01UH100</v>
      </c>
    </row>
    <row r="489" spans="1:63" x14ac:dyDescent="0.3">
      <c r="A489" s="29" t="s">
        <v>1612</v>
      </c>
      <c r="B489" s="36" t="str">
        <f t="shared" si="35"/>
        <v>G01NHC01BQ001-QM24</v>
      </c>
      <c r="C489" s="33" t="s">
        <v>3479</v>
      </c>
      <c r="D489" s="34" t="str">
        <f t="shared" si="36"/>
        <v>ELY1 H2 TRT QUAL SV24 CB ON/OPN</v>
      </c>
      <c r="E489" s="31">
        <f t="shared" si="37"/>
        <v>31</v>
      </c>
      <c r="F489" s="32" t="str">
        <f t="shared" si="38"/>
        <v>ELECTROLYSIS SYSTEM ELECTROLYSIS ARRAY 1 H2 TREATMENT H2 TREATMENT SYSTEM QUALITY MEASURING SYSTEM O2 IN H2 MEASURING SYSTEM SOLENOID VALVE CHECK BACK ON/OPEN</v>
      </c>
      <c r="G489" s="29" t="s">
        <v>1614</v>
      </c>
      <c r="H489" s="29" t="s">
        <v>1615</v>
      </c>
      <c r="I489" s="29" t="str">
        <f t="shared" si="39"/>
        <v>01</v>
      </c>
      <c r="J489" s="29" t="s">
        <v>1616</v>
      </c>
      <c r="K489" s="29" t="s">
        <v>1617</v>
      </c>
      <c r="L489" s="29" t="s">
        <v>1618</v>
      </c>
      <c r="M489" s="29" t="s">
        <v>1619</v>
      </c>
      <c r="N489" s="29" t="s">
        <v>1620</v>
      </c>
      <c r="O489" s="29" t="s">
        <v>1621</v>
      </c>
      <c r="P489" s="29" t="s">
        <v>1622</v>
      </c>
      <c r="Q489" s="29" t="s">
        <v>1623</v>
      </c>
      <c r="R489" s="29" t="s">
        <v>1624</v>
      </c>
      <c r="S489" s="29" t="s">
        <v>3480</v>
      </c>
      <c r="T489" s="29" t="s">
        <v>3352</v>
      </c>
      <c r="U489" s="29" t="s">
        <v>790</v>
      </c>
      <c r="V489" s="29" t="s">
        <v>2639</v>
      </c>
      <c r="W489" s="35" t="s">
        <v>1628</v>
      </c>
      <c r="X489" s="35" t="s">
        <v>1629</v>
      </c>
      <c r="Y489" s="35" t="s">
        <v>1630</v>
      </c>
      <c r="Z489" s="35" t="s">
        <v>3481</v>
      </c>
      <c r="AA489" s="35" t="s">
        <v>2641</v>
      </c>
      <c r="AB489" s="29" t="s">
        <v>3482</v>
      </c>
      <c r="AC489" s="35" t="s">
        <v>1633</v>
      </c>
      <c r="AD489" s="35" t="s">
        <v>1634</v>
      </c>
      <c r="AE489" s="35" t="s">
        <v>1634</v>
      </c>
      <c r="AF489" s="35" t="s">
        <v>1635</v>
      </c>
      <c r="AG489" s="35" t="s">
        <v>1636</v>
      </c>
      <c r="AI489" s="35"/>
      <c r="AJ489" s="35" t="s">
        <v>1637</v>
      </c>
      <c r="AK489" s="35" t="s">
        <v>1638</v>
      </c>
      <c r="AL489" s="29" t="s">
        <v>2866</v>
      </c>
      <c r="AM489" s="35"/>
      <c r="AN489" s="35"/>
      <c r="AO489" s="35"/>
      <c r="AP489" s="35"/>
      <c r="AQ489" s="35"/>
      <c r="AS489" s="35"/>
      <c r="AU489" s="35"/>
      <c r="AW489" s="35"/>
      <c r="AY489" s="35"/>
      <c r="AZ489" s="35" t="s">
        <v>1642</v>
      </c>
      <c r="BA489" s="35" t="s">
        <v>2002</v>
      </c>
      <c r="BB489" s="29" t="s">
        <v>1643</v>
      </c>
      <c r="BC489" s="29" t="s">
        <v>1644</v>
      </c>
      <c r="BD489" s="29" t="s">
        <v>3483</v>
      </c>
      <c r="BE489" s="29" t="s">
        <v>3484</v>
      </c>
      <c r="BF489" s="29" t="s">
        <v>2035</v>
      </c>
      <c r="BG489" s="29" t="s">
        <v>3485</v>
      </c>
      <c r="BH489" s="29" t="s">
        <v>1648</v>
      </c>
      <c r="BI489" s="35"/>
      <c r="BJ489" s="35"/>
      <c r="BK489" s="29" t="str" cm="1">
        <f t="array" ref="BK489">_xlfn.UNIQUE(MID(BB489,16,14))</f>
        <v>U012UNA01UH100</v>
      </c>
    </row>
    <row r="490" spans="1:63" x14ac:dyDescent="0.3">
      <c r="A490" s="29" t="s">
        <v>1612</v>
      </c>
      <c r="B490" s="36" t="str">
        <f t="shared" si="35"/>
        <v>G01NHC01BQ001-QM24</v>
      </c>
      <c r="C490" s="33" t="s">
        <v>3486</v>
      </c>
      <c r="D490" s="34" t="str">
        <f t="shared" si="36"/>
        <v>ELY1 H2 TRT QUAL SV24 CB OFF/CLD</v>
      </c>
      <c r="E490" s="31">
        <f t="shared" si="37"/>
        <v>32</v>
      </c>
      <c r="F490" s="32" t="str">
        <f t="shared" si="38"/>
        <v>ELECTROLYSIS SYSTEM ELECTROLYSIS ARRAY 1 H2 TREATMENT H2 TREATMENT SYSTEM QUALITY MEASURING SYSTEM O2 IN H2 MEASURING SYSTEM SOLENOID VALVE CHECK BACK OFF/CLOSED</v>
      </c>
      <c r="G490" s="29" t="s">
        <v>1614</v>
      </c>
      <c r="H490" s="29" t="s">
        <v>1615</v>
      </c>
      <c r="I490" s="29" t="str">
        <f t="shared" si="39"/>
        <v>01</v>
      </c>
      <c r="J490" s="29" t="s">
        <v>1616</v>
      </c>
      <c r="K490" s="29" t="s">
        <v>1617</v>
      </c>
      <c r="L490" s="29" t="s">
        <v>1618</v>
      </c>
      <c r="M490" s="29" t="s">
        <v>1619</v>
      </c>
      <c r="N490" s="29" t="s">
        <v>1620</v>
      </c>
      <c r="O490" s="29" t="s">
        <v>1621</v>
      </c>
      <c r="P490" s="29" t="s">
        <v>1622</v>
      </c>
      <c r="Q490" s="29" t="s">
        <v>1623</v>
      </c>
      <c r="R490" s="29" t="s">
        <v>1624</v>
      </c>
      <c r="S490" s="29" t="s">
        <v>3480</v>
      </c>
      <c r="T490" s="29" t="s">
        <v>3352</v>
      </c>
      <c r="U490" s="29" t="s">
        <v>363</v>
      </c>
      <c r="V490" s="29" t="s">
        <v>2645</v>
      </c>
      <c r="W490" s="35" t="s">
        <v>1628</v>
      </c>
      <c r="X490" s="35" t="s">
        <v>1629</v>
      </c>
      <c r="Y490" s="35" t="s">
        <v>1630</v>
      </c>
      <c r="Z490" s="35" t="s">
        <v>3481</v>
      </c>
      <c r="AA490" s="35" t="s">
        <v>2646</v>
      </c>
      <c r="AB490" s="29" t="s">
        <v>2653</v>
      </c>
      <c r="AC490" s="35" t="s">
        <v>1633</v>
      </c>
      <c r="AD490" s="35" t="s">
        <v>1634</v>
      </c>
      <c r="AE490" s="35" t="s">
        <v>1634</v>
      </c>
      <c r="AF490" s="35" t="s">
        <v>1635</v>
      </c>
      <c r="AG490" s="35" t="s">
        <v>1636</v>
      </c>
      <c r="AI490" s="35"/>
      <c r="AJ490" s="35" t="s">
        <v>1637</v>
      </c>
      <c r="AK490" s="35" t="s">
        <v>1638</v>
      </c>
      <c r="AL490" s="29" t="s">
        <v>2866</v>
      </c>
      <c r="AM490" s="35"/>
      <c r="AN490" s="35"/>
      <c r="AO490" s="35"/>
      <c r="AP490" s="35"/>
      <c r="AQ490" s="35"/>
      <c r="AS490" s="35"/>
      <c r="AU490" s="35"/>
      <c r="AW490" s="35"/>
      <c r="AY490" s="35"/>
      <c r="AZ490" s="35" t="s">
        <v>1642</v>
      </c>
      <c r="BA490" s="35" t="s">
        <v>2002</v>
      </c>
      <c r="BB490" s="29" t="s">
        <v>1643</v>
      </c>
      <c r="BC490" s="29" t="s">
        <v>1644</v>
      </c>
      <c r="BD490" s="29" t="s">
        <v>3487</v>
      </c>
      <c r="BE490" s="29" t="s">
        <v>3488</v>
      </c>
      <c r="BF490" s="29" t="s">
        <v>3413</v>
      </c>
      <c r="BG490" s="29" t="s">
        <v>3485</v>
      </c>
      <c r="BH490" s="29" t="s">
        <v>1648</v>
      </c>
      <c r="BI490" s="35"/>
      <c r="BJ490" s="35"/>
      <c r="BK490" s="29" t="str" cm="1">
        <f t="array" ref="BK490">_xlfn.UNIQUE(MID(BB490,16,14))</f>
        <v>U012UNA01UH100</v>
      </c>
    </row>
    <row r="491" spans="1:63" hidden="1" x14ac:dyDescent="0.3">
      <c r="A491" s="29" t="s">
        <v>1612</v>
      </c>
      <c r="B491" s="36" t="str">
        <f t="shared" si="35"/>
        <v>G01NHC01BQ001-QM24</v>
      </c>
      <c r="C491" s="33" t="s">
        <v>3489</v>
      </c>
      <c r="D491" s="34" t="str">
        <f t="shared" si="36"/>
        <v>ELY1 H2 TRT QUAL SV24 CMD ON/OP</v>
      </c>
      <c r="E491" s="31">
        <f t="shared" si="37"/>
        <v>31</v>
      </c>
      <c r="F491" s="32" t="str">
        <f t="shared" si="38"/>
        <v>ELECTROLYSIS SYSTEM ELECTROLYSIS ARRAY 1 H2 TREATMENT H2 TREATMENT SYSTEM QUALITY MEASURING SYSTEM O2 IN H2 MEASURING SYSTEM SOLENOID VALVE MANUAL COMMAND ON/OPEN</v>
      </c>
      <c r="G491" s="29" t="s">
        <v>1614</v>
      </c>
      <c r="H491" s="29" t="s">
        <v>1615</v>
      </c>
      <c r="I491" s="29" t="str">
        <f t="shared" si="39"/>
        <v>01</v>
      </c>
      <c r="J491" s="29" t="s">
        <v>1616</v>
      </c>
      <c r="K491" s="29" t="s">
        <v>1617</v>
      </c>
      <c r="L491" s="29" t="s">
        <v>1618</v>
      </c>
      <c r="M491" s="29" t="s">
        <v>1619</v>
      </c>
      <c r="N491" s="29" t="s">
        <v>1620</v>
      </c>
      <c r="O491" s="29" t="s">
        <v>1621</v>
      </c>
      <c r="P491" s="29" t="s">
        <v>1622</v>
      </c>
      <c r="Q491" s="29" t="s">
        <v>1623</v>
      </c>
      <c r="R491" s="29" t="s">
        <v>1624</v>
      </c>
      <c r="S491" s="29" t="s">
        <v>3480</v>
      </c>
      <c r="T491" s="29" t="s">
        <v>3352</v>
      </c>
      <c r="U491" s="29" t="s">
        <v>3337</v>
      </c>
      <c r="V491" s="29" t="s">
        <v>3338</v>
      </c>
      <c r="W491" s="35" t="s">
        <v>1628</v>
      </c>
      <c r="X491" s="35" t="s">
        <v>1629</v>
      </c>
      <c r="Y491" s="35" t="s">
        <v>1630</v>
      </c>
      <c r="Z491" s="35" t="s">
        <v>3481</v>
      </c>
      <c r="AA491" s="35" t="s">
        <v>3339</v>
      </c>
      <c r="AB491" s="29" t="s">
        <v>3490</v>
      </c>
      <c r="AC491" s="35" t="s">
        <v>1633</v>
      </c>
      <c r="AD491" s="35" t="s">
        <v>1634</v>
      </c>
      <c r="AE491" s="35" t="s">
        <v>1634</v>
      </c>
      <c r="AF491" s="35" t="s">
        <v>1635</v>
      </c>
      <c r="AG491" s="35" t="s">
        <v>2634</v>
      </c>
      <c r="AI491" s="35"/>
      <c r="AJ491" s="35" t="s">
        <v>3340</v>
      </c>
      <c r="AK491" s="35" t="s">
        <v>1672</v>
      </c>
      <c r="AL491" s="29" t="s">
        <v>3362</v>
      </c>
      <c r="AM491" s="35"/>
      <c r="AN491" s="35"/>
      <c r="AO491" s="35"/>
      <c r="AP491" s="35"/>
      <c r="AQ491" s="35"/>
      <c r="AS491" s="35"/>
      <c r="AU491" s="35"/>
      <c r="AW491" s="35"/>
      <c r="AY491" s="35"/>
      <c r="AZ491" s="35"/>
      <c r="BA491" s="35" t="s">
        <v>3139</v>
      </c>
      <c r="BB491" s="29" t="s">
        <v>3341</v>
      </c>
      <c r="BC491" s="29" t="s">
        <v>3342</v>
      </c>
      <c r="BD491" s="29" t="s">
        <v>3363</v>
      </c>
      <c r="BE491" s="29" t="s">
        <v>1805</v>
      </c>
      <c r="BF491" s="29" t="s">
        <v>1973</v>
      </c>
      <c r="BG491" s="29" t="s">
        <v>3491</v>
      </c>
      <c r="BH491" s="29" t="s">
        <v>1648</v>
      </c>
      <c r="BI491" s="35"/>
      <c r="BJ491" s="35"/>
      <c r="BK491" s="29" t="str" cm="1">
        <f t="array" ref="BK491">_xlfn.UNIQUE(MID(BB491,16,14))</f>
        <v>U012UNA01UH100</v>
      </c>
    </row>
    <row r="492" spans="1:63" x14ac:dyDescent="0.3">
      <c r="A492" s="29" t="s">
        <v>1612</v>
      </c>
      <c r="B492" s="36" t="str">
        <f t="shared" si="35"/>
        <v>G01NHC01BQ001-QM26</v>
      </c>
      <c r="C492" s="33" t="s">
        <v>3492</v>
      </c>
      <c r="D492" s="34" t="str">
        <f t="shared" si="36"/>
        <v>ELY1 H2 TRT QUAL SV26 CB ON/OPN</v>
      </c>
      <c r="E492" s="31">
        <f t="shared" si="37"/>
        <v>31</v>
      </c>
      <c r="F492" s="32" t="str">
        <f t="shared" si="38"/>
        <v>ELECTROLYSIS SYSTEM ELECTROLYSIS ARRAY 1 H2 TREATMENT H2 TREATMENT SYSTEM QUALITY MEASURING SYSTEM O2 IN H2 MEASURING SYSTEM SOLENOID VALVE CHECK BACK ON/OPEN</v>
      </c>
      <c r="G492" s="29" t="s">
        <v>1614</v>
      </c>
      <c r="H492" s="29" t="s">
        <v>1615</v>
      </c>
      <c r="I492" s="29" t="str">
        <f t="shared" si="39"/>
        <v>01</v>
      </c>
      <c r="J492" s="29" t="s">
        <v>1616</v>
      </c>
      <c r="K492" s="29" t="s">
        <v>1617</v>
      </c>
      <c r="L492" s="29" t="s">
        <v>1618</v>
      </c>
      <c r="M492" s="29" t="s">
        <v>1619</v>
      </c>
      <c r="N492" s="29" t="s">
        <v>1620</v>
      </c>
      <c r="O492" s="29" t="s">
        <v>1621</v>
      </c>
      <c r="P492" s="29" t="s">
        <v>1622</v>
      </c>
      <c r="Q492" s="29" t="s">
        <v>1623</v>
      </c>
      <c r="R492" s="29" t="s">
        <v>1624</v>
      </c>
      <c r="S492" s="29" t="s">
        <v>3493</v>
      </c>
      <c r="T492" s="29" t="s">
        <v>3352</v>
      </c>
      <c r="U492" s="29" t="s">
        <v>790</v>
      </c>
      <c r="V492" s="29" t="s">
        <v>2639</v>
      </c>
      <c r="W492" s="35" t="s">
        <v>1628</v>
      </c>
      <c r="X492" s="35" t="s">
        <v>1629</v>
      </c>
      <c r="Y492" s="35" t="s">
        <v>1630</v>
      </c>
      <c r="Z492" s="35" t="s">
        <v>3494</v>
      </c>
      <c r="AA492" s="35" t="s">
        <v>2641</v>
      </c>
      <c r="AB492" s="29" t="s">
        <v>3495</v>
      </c>
      <c r="AC492" s="35" t="s">
        <v>1633</v>
      </c>
      <c r="AD492" s="35" t="s">
        <v>1634</v>
      </c>
      <c r="AE492" s="35" t="s">
        <v>1634</v>
      </c>
      <c r="AF492" s="35" t="s">
        <v>1635</v>
      </c>
      <c r="AG492" s="35" t="s">
        <v>1636</v>
      </c>
      <c r="AI492" s="35"/>
      <c r="AJ492" s="35" t="s">
        <v>1637</v>
      </c>
      <c r="AK492" s="35" t="s">
        <v>1672</v>
      </c>
      <c r="AL492" s="29" t="s">
        <v>1803</v>
      </c>
      <c r="AM492" s="35"/>
      <c r="AN492" s="35"/>
      <c r="AO492" s="35"/>
      <c r="AP492" s="35"/>
      <c r="AQ492" s="35"/>
      <c r="AS492" s="35"/>
      <c r="AU492" s="35"/>
      <c r="AW492" s="35"/>
      <c r="AY492" s="35"/>
      <c r="AZ492" s="35"/>
      <c r="BA492" s="35"/>
      <c r="BB492" s="29" t="s">
        <v>3448</v>
      </c>
      <c r="BC492" s="29" t="s">
        <v>2347</v>
      </c>
      <c r="BD492" s="29" t="s">
        <v>2739</v>
      </c>
      <c r="BE492" s="29" t="s">
        <v>790</v>
      </c>
      <c r="BF492" s="29" t="s">
        <v>1915</v>
      </c>
      <c r="BG492" s="29" t="s">
        <v>3496</v>
      </c>
      <c r="BH492" s="29" t="s">
        <v>1648</v>
      </c>
      <c r="BI492" s="35"/>
      <c r="BJ492" s="35"/>
      <c r="BK492" s="29" t="str" cm="1">
        <f t="array" ref="BK492">_xlfn.UNIQUE(MID(BB492,16,14))</f>
        <v>U012UNA01UH100</v>
      </c>
    </row>
    <row r="493" spans="1:63" x14ac:dyDescent="0.3">
      <c r="A493" s="29" t="s">
        <v>1612</v>
      </c>
      <c r="B493" s="36" t="str">
        <f t="shared" si="35"/>
        <v>G01NHC01BQ001-QM26</v>
      </c>
      <c r="C493" s="33" t="s">
        <v>3497</v>
      </c>
      <c r="D493" s="34" t="str">
        <f t="shared" si="36"/>
        <v>ELY1 H2 TRT QUAL SV26 CB OFF/CLD</v>
      </c>
      <c r="E493" s="31">
        <f t="shared" si="37"/>
        <v>32</v>
      </c>
      <c r="F493" s="32" t="str">
        <f t="shared" si="38"/>
        <v>ELECTROLYSIS SYSTEM ELECTROLYSIS ARRAY 1 H2 TREATMENT H2 TREATMENT SYSTEM QUALITY MEASURING SYSTEM O2 IN H2 MEASURING SYSTEM SOLENOID VALVE CHECK BACK OFF/CLOSED</v>
      </c>
      <c r="G493" s="29" t="s">
        <v>1614</v>
      </c>
      <c r="H493" s="29" t="s">
        <v>1615</v>
      </c>
      <c r="I493" s="29" t="str">
        <f t="shared" si="39"/>
        <v>01</v>
      </c>
      <c r="J493" s="29" t="s">
        <v>1616</v>
      </c>
      <c r="K493" s="29" t="s">
        <v>1617</v>
      </c>
      <c r="L493" s="29" t="s">
        <v>1618</v>
      </c>
      <c r="M493" s="29" t="s">
        <v>1619</v>
      </c>
      <c r="N493" s="29" t="s">
        <v>1620</v>
      </c>
      <c r="O493" s="29" t="s">
        <v>1621</v>
      </c>
      <c r="P493" s="29" t="s">
        <v>1622</v>
      </c>
      <c r="Q493" s="29" t="s">
        <v>1623</v>
      </c>
      <c r="R493" s="29" t="s">
        <v>1624</v>
      </c>
      <c r="S493" s="29" t="s">
        <v>3493</v>
      </c>
      <c r="T493" s="29" t="s">
        <v>3352</v>
      </c>
      <c r="U493" s="29" t="s">
        <v>363</v>
      </c>
      <c r="V493" s="29" t="s">
        <v>2645</v>
      </c>
      <c r="W493" s="35" t="s">
        <v>1628</v>
      </c>
      <c r="X493" s="35" t="s">
        <v>1629</v>
      </c>
      <c r="Y493" s="35" t="s">
        <v>1630</v>
      </c>
      <c r="Z493" s="35" t="s">
        <v>3494</v>
      </c>
      <c r="AA493" s="35" t="s">
        <v>2646</v>
      </c>
      <c r="AB493" s="29" t="s">
        <v>2653</v>
      </c>
      <c r="AC493" s="35" t="s">
        <v>1633</v>
      </c>
      <c r="AD493" s="35" t="s">
        <v>1634</v>
      </c>
      <c r="AE493" s="35" t="s">
        <v>1634</v>
      </c>
      <c r="AF493" s="35" t="s">
        <v>1635</v>
      </c>
      <c r="AG493" s="35" t="s">
        <v>1636</v>
      </c>
      <c r="AI493" s="35"/>
      <c r="AJ493" s="35" t="s">
        <v>1637</v>
      </c>
      <c r="AK493" s="35" t="s">
        <v>1672</v>
      </c>
      <c r="AL493" s="29" t="s">
        <v>1803</v>
      </c>
      <c r="AM493" s="35"/>
      <c r="AN493" s="35"/>
      <c r="AO493" s="35"/>
      <c r="AP493" s="35"/>
      <c r="AQ493" s="35"/>
      <c r="AS493" s="35"/>
      <c r="AU493" s="35"/>
      <c r="AW493" s="35"/>
      <c r="AY493" s="35"/>
      <c r="AZ493" s="35"/>
      <c r="BA493" s="35"/>
      <c r="BB493" s="29" t="s">
        <v>3448</v>
      </c>
      <c r="BC493" s="29" t="s">
        <v>2347</v>
      </c>
      <c r="BD493" s="29" t="s">
        <v>3154</v>
      </c>
      <c r="BE493" s="29" t="s">
        <v>363</v>
      </c>
      <c r="BF493" s="29" t="s">
        <v>1919</v>
      </c>
      <c r="BG493" s="29" t="s">
        <v>3496</v>
      </c>
      <c r="BH493" s="29" t="s">
        <v>1648</v>
      </c>
      <c r="BI493" s="35"/>
      <c r="BJ493" s="35"/>
      <c r="BK493" s="29" t="str" cm="1">
        <f t="array" ref="BK493">_xlfn.UNIQUE(MID(BB493,16,14))</f>
        <v>U012UNA01UH100</v>
      </c>
    </row>
    <row r="494" spans="1:63" hidden="1" x14ac:dyDescent="0.3">
      <c r="A494" s="29" t="s">
        <v>1612</v>
      </c>
      <c r="B494" s="36" t="str">
        <f t="shared" si="35"/>
        <v>G01NHC01BQ001-QM26</v>
      </c>
      <c r="C494" s="33" t="s">
        <v>3498</v>
      </c>
      <c r="D494" s="34" t="str">
        <f t="shared" si="36"/>
        <v>ELY1 H2 TRT QUAL SV26 CMD ON/OP</v>
      </c>
      <c r="E494" s="31">
        <f t="shared" si="37"/>
        <v>31</v>
      </c>
      <c r="F494" s="32" t="str">
        <f t="shared" si="38"/>
        <v>ELECTROLYSIS SYSTEM ELECTROLYSIS ARRAY 1 H2 TREATMENT H2 TREATMENT SYSTEM QUALITY MEASURING SYSTEM O2 IN H2 MEASURING SYSTEM SOLENOID VALVE MANUAL COMMAND ON/OPEN</v>
      </c>
      <c r="G494" s="29" t="s">
        <v>1614</v>
      </c>
      <c r="H494" s="29" t="s">
        <v>1615</v>
      </c>
      <c r="I494" s="29" t="str">
        <f t="shared" si="39"/>
        <v>01</v>
      </c>
      <c r="J494" s="29" t="s">
        <v>1616</v>
      </c>
      <c r="K494" s="29" t="s">
        <v>1617</v>
      </c>
      <c r="L494" s="29" t="s">
        <v>1618</v>
      </c>
      <c r="M494" s="29" t="s">
        <v>1619</v>
      </c>
      <c r="N494" s="29" t="s">
        <v>1620</v>
      </c>
      <c r="O494" s="29" t="s">
        <v>1621</v>
      </c>
      <c r="P494" s="29" t="s">
        <v>1622</v>
      </c>
      <c r="Q494" s="29" t="s">
        <v>1623</v>
      </c>
      <c r="R494" s="29" t="s">
        <v>1624</v>
      </c>
      <c r="S494" s="29" t="s">
        <v>3493</v>
      </c>
      <c r="T494" s="29" t="s">
        <v>3352</v>
      </c>
      <c r="U494" s="29" t="s">
        <v>3337</v>
      </c>
      <c r="V494" s="29" t="s">
        <v>3338</v>
      </c>
      <c r="W494" s="35" t="s">
        <v>1628</v>
      </c>
      <c r="X494" s="35" t="s">
        <v>1629</v>
      </c>
      <c r="Y494" s="35" t="s">
        <v>1630</v>
      </c>
      <c r="Z494" s="35" t="s">
        <v>3494</v>
      </c>
      <c r="AA494" s="35" t="s">
        <v>3339</v>
      </c>
      <c r="AB494" s="29" t="s">
        <v>3499</v>
      </c>
      <c r="AC494" s="35" t="s">
        <v>1633</v>
      </c>
      <c r="AD494" s="35" t="s">
        <v>1634</v>
      </c>
      <c r="AE494" s="35" t="s">
        <v>1634</v>
      </c>
      <c r="AF494" s="35" t="s">
        <v>1635</v>
      </c>
      <c r="AG494" s="35" t="s">
        <v>2634</v>
      </c>
      <c r="AI494" s="35"/>
      <c r="AJ494" s="35" t="s">
        <v>3340</v>
      </c>
      <c r="AK494" s="35" t="s">
        <v>1672</v>
      </c>
      <c r="AL494" s="29" t="s">
        <v>3362</v>
      </c>
      <c r="AM494" s="35"/>
      <c r="AN494" s="35"/>
      <c r="AO494" s="35"/>
      <c r="AP494" s="35"/>
      <c r="AQ494" s="35"/>
      <c r="AS494" s="35"/>
      <c r="AU494" s="35"/>
      <c r="AW494" s="35"/>
      <c r="AY494" s="35"/>
      <c r="AZ494" s="35"/>
      <c r="BA494" s="35" t="s">
        <v>3139</v>
      </c>
      <c r="BB494" s="29" t="s">
        <v>3341</v>
      </c>
      <c r="BC494" s="29" t="s">
        <v>3342</v>
      </c>
      <c r="BD494" s="29" t="s">
        <v>3363</v>
      </c>
      <c r="BE494" s="29" t="s">
        <v>1805</v>
      </c>
      <c r="BF494" s="29" t="s">
        <v>2048</v>
      </c>
      <c r="BG494" s="29" t="s">
        <v>3500</v>
      </c>
      <c r="BH494" s="29" t="s">
        <v>1648</v>
      </c>
      <c r="BI494" s="35"/>
      <c r="BJ494" s="35"/>
      <c r="BK494" s="29" t="str" cm="1">
        <f t="array" ref="BK494">_xlfn.UNIQUE(MID(BB494,16,14))</f>
        <v>U012UNA01UH100</v>
      </c>
    </row>
    <row r="495" spans="1:63" x14ac:dyDescent="0.3">
      <c r="A495" s="29" t="s">
        <v>1612</v>
      </c>
      <c r="B495" s="36" t="str">
        <f t="shared" si="35"/>
        <v>G01NHC01BQ001-QM27</v>
      </c>
      <c r="C495" s="33" t="s">
        <v>3501</v>
      </c>
      <c r="D495" s="34" t="str">
        <f t="shared" si="36"/>
        <v>ELY1 H2 TRT QUAL SV27 CB MAN ON/OPN</v>
      </c>
      <c r="E495" s="31">
        <f t="shared" si="37"/>
        <v>35</v>
      </c>
      <c r="F495" s="32" t="str">
        <f t="shared" si="38"/>
        <v>ELECTROLYSIS SYSTEM ELECTROLYSIS ARRAY 1 H2 TREATMENT H2 TREATMENT SYSTEM QUALITY MEASURING SYSTEM O2 IN H2 MEASURING SYSTEM 3-WAY VALVE - CAL-GAS MANUAL COMMAND ON/OPEN</v>
      </c>
      <c r="G495" s="29" t="s">
        <v>1614</v>
      </c>
      <c r="H495" s="29" t="s">
        <v>1615</v>
      </c>
      <c r="I495" s="29" t="str">
        <f t="shared" si="39"/>
        <v>01</v>
      </c>
      <c r="J495" s="29" t="s">
        <v>1616</v>
      </c>
      <c r="K495" s="29" t="s">
        <v>1617</v>
      </c>
      <c r="L495" s="29" t="s">
        <v>1618</v>
      </c>
      <c r="M495" s="29" t="s">
        <v>1619</v>
      </c>
      <c r="N495" s="29" t="s">
        <v>1620</v>
      </c>
      <c r="O495" s="29" t="s">
        <v>1621</v>
      </c>
      <c r="P495" s="29" t="s">
        <v>1622</v>
      </c>
      <c r="Q495" s="29" t="s">
        <v>1623</v>
      </c>
      <c r="R495" s="29" t="s">
        <v>1624</v>
      </c>
      <c r="S495" s="29" t="s">
        <v>3502</v>
      </c>
      <c r="T495" s="29" t="s">
        <v>3456</v>
      </c>
      <c r="U495" s="29" t="s">
        <v>3457</v>
      </c>
      <c r="V495" s="29" t="s">
        <v>3338</v>
      </c>
      <c r="W495" s="35" t="s">
        <v>1628</v>
      </c>
      <c r="X495" s="35" t="s">
        <v>1629</v>
      </c>
      <c r="Y495" s="35" t="s">
        <v>1630</v>
      </c>
      <c r="Z495" s="35" t="s">
        <v>3503</v>
      </c>
      <c r="AA495" s="35" t="s">
        <v>3459</v>
      </c>
      <c r="AB495" s="29" t="s">
        <v>3504</v>
      </c>
      <c r="AC495" s="35" t="s">
        <v>1633</v>
      </c>
      <c r="AD495" s="35" t="s">
        <v>1634</v>
      </c>
      <c r="AE495" s="35" t="s">
        <v>1634</v>
      </c>
      <c r="AF495" s="35" t="s">
        <v>1635</v>
      </c>
      <c r="AG495" s="35" t="s">
        <v>1728</v>
      </c>
      <c r="AI495" s="35"/>
      <c r="AJ495" s="35" t="s">
        <v>1637</v>
      </c>
      <c r="AK495" s="35" t="s">
        <v>1672</v>
      </c>
      <c r="AL495" s="29" t="s">
        <v>2954</v>
      </c>
      <c r="AM495" s="35"/>
      <c r="AN495" s="35"/>
      <c r="AO495" s="35"/>
      <c r="AP495" s="35"/>
      <c r="AQ495" s="35"/>
      <c r="AS495" s="35"/>
      <c r="AU495" s="35"/>
      <c r="AW495" s="35"/>
      <c r="AY495" s="35"/>
      <c r="AZ495" s="35"/>
      <c r="BA495" s="35"/>
      <c r="BB495" s="29" t="s">
        <v>3448</v>
      </c>
      <c r="BC495" s="29" t="s">
        <v>2347</v>
      </c>
      <c r="BD495" s="29" t="s">
        <v>3461</v>
      </c>
      <c r="BE495" s="29" t="s">
        <v>1805</v>
      </c>
      <c r="BF495" s="29" t="s">
        <v>1922</v>
      </c>
      <c r="BG495" s="29" t="s">
        <v>3505</v>
      </c>
      <c r="BH495" s="29" t="s">
        <v>1648</v>
      </c>
      <c r="BI495" s="35"/>
      <c r="BJ495" s="35"/>
      <c r="BK495" s="29" t="str" cm="1">
        <f t="array" ref="BK495">_xlfn.UNIQUE(MID(BB495,16,14))</f>
        <v>U012UNA01UH100</v>
      </c>
    </row>
    <row r="496" spans="1:63" x14ac:dyDescent="0.3">
      <c r="A496" s="29" t="s">
        <v>1612</v>
      </c>
      <c r="B496" s="36" t="str">
        <f t="shared" si="35"/>
        <v>G01NHC01BQ001-QN22</v>
      </c>
      <c r="C496" s="33" t="s">
        <v>3506</v>
      </c>
      <c r="D496" s="34" t="str">
        <f t="shared" si="36"/>
        <v>ELY1 H2 TRT QUAL PRES22 CB ON/OPN/MAX1</v>
      </c>
      <c r="E496" s="31">
        <f t="shared" si="37"/>
        <v>38</v>
      </c>
      <c r="F496" s="32" t="str">
        <f t="shared" si="38"/>
        <v>ELECTROLYSIS SYSTEM ELECTROLYSIS ARRAY 1 H2 TREATMENT H2 TREATMENT SYSTEM QUALITY MEASURING SYSTEM O2 IN H2 MEASURING SYSTEM PRESSURE GAUGE WITH PRESSURE SWITCH CHECK BACK ON/OPEN // LIMIT VALUE &gt;MAX 1</v>
      </c>
      <c r="G496" s="29" t="s">
        <v>1614</v>
      </c>
      <c r="H496" s="29" t="s">
        <v>1615</v>
      </c>
      <c r="I496" s="29" t="str">
        <f t="shared" si="39"/>
        <v>01</v>
      </c>
      <c r="J496" s="29" t="s">
        <v>1616</v>
      </c>
      <c r="K496" s="29" t="s">
        <v>1617</v>
      </c>
      <c r="L496" s="29" t="s">
        <v>1618</v>
      </c>
      <c r="M496" s="29" t="s">
        <v>1619</v>
      </c>
      <c r="N496" s="29" t="s">
        <v>1620</v>
      </c>
      <c r="O496" s="29" t="s">
        <v>1621</v>
      </c>
      <c r="P496" s="29" t="s">
        <v>1622</v>
      </c>
      <c r="Q496" s="29" t="s">
        <v>1623</v>
      </c>
      <c r="R496" s="29" t="s">
        <v>1624</v>
      </c>
      <c r="S496" s="29" t="s">
        <v>3507</v>
      </c>
      <c r="T496" s="29" t="s">
        <v>3508</v>
      </c>
      <c r="U496" s="29" t="s">
        <v>573</v>
      </c>
      <c r="V496" s="29" t="s">
        <v>2344</v>
      </c>
      <c r="W496" s="35" t="s">
        <v>1628</v>
      </c>
      <c r="X496" s="35" t="s">
        <v>1629</v>
      </c>
      <c r="Y496" s="35" t="s">
        <v>1630</v>
      </c>
      <c r="Z496" s="35" t="s">
        <v>3509</v>
      </c>
      <c r="AA496" s="35" t="s">
        <v>2345</v>
      </c>
      <c r="AB496" s="29" t="s">
        <v>3507</v>
      </c>
      <c r="AC496" s="35" t="s">
        <v>1633</v>
      </c>
      <c r="AD496" s="35" t="s">
        <v>2642</v>
      </c>
      <c r="AE496" s="35" t="s">
        <v>2642</v>
      </c>
      <c r="AF496" s="35" t="s">
        <v>1635</v>
      </c>
      <c r="AG496" s="35" t="s">
        <v>2634</v>
      </c>
      <c r="AI496" s="35"/>
      <c r="AJ496" s="35" t="s">
        <v>1637</v>
      </c>
      <c r="AK496" s="35" t="s">
        <v>1672</v>
      </c>
      <c r="AL496" s="29" t="s">
        <v>3510</v>
      </c>
      <c r="AM496" s="35"/>
      <c r="AN496" s="35"/>
      <c r="AO496" s="35"/>
      <c r="AP496" s="35"/>
      <c r="AQ496" s="35"/>
      <c r="AS496" s="35"/>
      <c r="AU496" s="35"/>
      <c r="AV496" s="29" t="s">
        <v>1641</v>
      </c>
      <c r="AW496" s="35"/>
      <c r="AY496" s="35"/>
      <c r="AZ496" s="35"/>
      <c r="BA496" s="35"/>
      <c r="BB496" s="29" t="s">
        <v>2346</v>
      </c>
      <c r="BC496" s="29" t="s">
        <v>2347</v>
      </c>
      <c r="BD496" s="29" t="s">
        <v>2348</v>
      </c>
      <c r="BE496" s="29" t="s">
        <v>1805</v>
      </c>
      <c r="BF496" s="29" t="s">
        <v>1922</v>
      </c>
      <c r="BG496" s="29" t="s">
        <v>3511</v>
      </c>
      <c r="BH496" s="29" t="s">
        <v>1648</v>
      </c>
      <c r="BI496" s="35"/>
      <c r="BJ496" s="35"/>
      <c r="BK496" s="29" t="str" cm="1">
        <f t="array" ref="BK496">_xlfn.UNIQUE(MID(BB496,16,14))</f>
        <v>U012UNA01UH100</v>
      </c>
    </row>
    <row r="497" spans="1:63" x14ac:dyDescent="0.3">
      <c r="A497" s="29" t="s">
        <v>1612</v>
      </c>
      <c r="B497" s="36" t="str">
        <f t="shared" si="35"/>
        <v>G01NHC01BQ001-QN30</v>
      </c>
      <c r="C497" s="33" t="s">
        <v>3512</v>
      </c>
      <c r="D497" s="34" t="str">
        <f t="shared" si="36"/>
        <v>ELY1 H2 TRT QUAL PRES30 AL/FLT CODE</v>
      </c>
      <c r="E497" s="31">
        <f t="shared" si="37"/>
        <v>35</v>
      </c>
      <c r="F497" s="32" t="str">
        <f t="shared" si="38"/>
        <v>ELECTROLYSIS SYSTEM ELECTROLYSIS ARRAY 1 H2 TREATMENT H2 TREATMENT SYSTEM QUALITY MEASURING SYSTEM O2 IN H2 MEASURING SYSTEM PRESSURE GAUGE WITH PRESSURE SWITCH ALARM SYSTEM</v>
      </c>
      <c r="G497" s="29" t="s">
        <v>1614</v>
      </c>
      <c r="H497" s="29" t="s">
        <v>1615</v>
      </c>
      <c r="I497" s="29" t="str">
        <f t="shared" si="39"/>
        <v>01</v>
      </c>
      <c r="J497" s="29" t="s">
        <v>1616</v>
      </c>
      <c r="K497" s="29" t="s">
        <v>1617</v>
      </c>
      <c r="L497" s="29" t="s">
        <v>1618</v>
      </c>
      <c r="M497" s="29" t="s">
        <v>1619</v>
      </c>
      <c r="N497" s="29" t="s">
        <v>1620</v>
      </c>
      <c r="O497" s="29" t="s">
        <v>1621</v>
      </c>
      <c r="P497" s="29" t="s">
        <v>1622</v>
      </c>
      <c r="Q497" s="29" t="s">
        <v>1623</v>
      </c>
      <c r="R497" s="29" t="s">
        <v>1624</v>
      </c>
      <c r="S497" s="29" t="s">
        <v>3513</v>
      </c>
      <c r="T497" s="29" t="s">
        <v>3508</v>
      </c>
      <c r="U497" s="29" t="s">
        <v>1360</v>
      </c>
      <c r="V497" s="29" t="s">
        <v>3514</v>
      </c>
      <c r="W497" s="35" t="s">
        <v>1628</v>
      </c>
      <c r="X497" s="35" t="s">
        <v>1629</v>
      </c>
      <c r="Y497" s="35" t="s">
        <v>1630</v>
      </c>
      <c r="Z497" s="35" t="s">
        <v>3515</v>
      </c>
      <c r="AA497" s="35" t="s">
        <v>2670</v>
      </c>
      <c r="AB497" s="29" t="s">
        <v>3513</v>
      </c>
      <c r="AC497" s="35" t="s">
        <v>1633</v>
      </c>
      <c r="AD497" s="35" t="s">
        <v>2642</v>
      </c>
      <c r="AE497" s="35" t="s">
        <v>2642</v>
      </c>
      <c r="AF497" s="35" t="s">
        <v>1635</v>
      </c>
      <c r="AG497" s="35" t="s">
        <v>2634</v>
      </c>
      <c r="AI497" s="35"/>
      <c r="AJ497" s="35" t="s">
        <v>1637</v>
      </c>
      <c r="AK497" s="35" t="s">
        <v>1638</v>
      </c>
      <c r="AL497" s="29" t="s">
        <v>3516</v>
      </c>
      <c r="AM497" s="35"/>
      <c r="AN497" s="35"/>
      <c r="AO497" s="35"/>
      <c r="AP497" s="35"/>
      <c r="AQ497" s="35"/>
      <c r="AS497" s="35"/>
      <c r="AU497" s="35"/>
      <c r="AV497" s="29" t="s">
        <v>2001</v>
      </c>
      <c r="AW497" s="35"/>
      <c r="AY497" s="35"/>
      <c r="AZ497" s="35" t="s">
        <v>1642</v>
      </c>
      <c r="BA497" s="35"/>
      <c r="BB497" s="29" t="s">
        <v>1643</v>
      </c>
      <c r="BC497" s="29" t="s">
        <v>1644</v>
      </c>
      <c r="BD497" s="29" t="s">
        <v>3517</v>
      </c>
      <c r="BE497" s="29" t="s">
        <v>3518</v>
      </c>
      <c r="BF497" s="29" t="s">
        <v>1969</v>
      </c>
      <c r="BG497" s="29" t="s">
        <v>3519</v>
      </c>
      <c r="BH497" s="29" t="s">
        <v>1648</v>
      </c>
      <c r="BI497" s="35"/>
      <c r="BJ497" s="35"/>
      <c r="BK497" s="29" t="str" cm="1">
        <f t="array" ref="BK497">_xlfn.UNIQUE(MID(BB497,16,14))</f>
        <v>U012UNA01UH100</v>
      </c>
    </row>
    <row r="498" spans="1:63" x14ac:dyDescent="0.3">
      <c r="A498" s="29" t="s">
        <v>1612</v>
      </c>
      <c r="B498" s="36" t="str">
        <f t="shared" si="35"/>
        <v>G01NHC01BQ001-SF01</v>
      </c>
      <c r="C498" s="33" t="s">
        <v>3520</v>
      </c>
      <c r="D498" s="34" t="str">
        <f t="shared" si="36"/>
        <v>ELY1 H2 TRT QUAL SW OFF CB MAN ON/OPN</v>
      </c>
      <c r="E498" s="31">
        <f t="shared" si="37"/>
        <v>37</v>
      </c>
      <c r="F498" s="32" t="str">
        <f t="shared" si="38"/>
        <v>ELECTROLYSIS SYSTEM ELECTROLYSIS ARRAY 1 H2 TREATMENT H2 TREATMENT SYSTEM QUALITY MEASURING SYSTEM O2 IN H2 MEASURING SYSTEM KEY-SWITCH - MAINTENANCE ON/OFF MANUAL COMMAND ON/OPEN</v>
      </c>
      <c r="G498" s="29" t="s">
        <v>1614</v>
      </c>
      <c r="H498" s="29" t="s">
        <v>1615</v>
      </c>
      <c r="I498" s="29" t="str">
        <f t="shared" si="39"/>
        <v>01</v>
      </c>
      <c r="J498" s="29" t="s">
        <v>1616</v>
      </c>
      <c r="K498" s="29" t="s">
        <v>1617</v>
      </c>
      <c r="L498" s="29" t="s">
        <v>1618</v>
      </c>
      <c r="M498" s="29" t="s">
        <v>1619</v>
      </c>
      <c r="N498" s="29" t="s">
        <v>1620</v>
      </c>
      <c r="O498" s="29" t="s">
        <v>1621</v>
      </c>
      <c r="P498" s="29" t="s">
        <v>1622</v>
      </c>
      <c r="Q498" s="29" t="s">
        <v>1623</v>
      </c>
      <c r="R498" s="29" t="s">
        <v>1624</v>
      </c>
      <c r="S498" s="29" t="s">
        <v>2862</v>
      </c>
      <c r="T498" s="29" t="s">
        <v>3521</v>
      </c>
      <c r="U498" s="29" t="s">
        <v>3457</v>
      </c>
      <c r="V498" s="29" t="s">
        <v>3338</v>
      </c>
      <c r="W498" s="35" t="s">
        <v>1628</v>
      </c>
      <c r="X498" s="35" t="s">
        <v>1629</v>
      </c>
      <c r="Y498" s="35" t="s">
        <v>1630</v>
      </c>
      <c r="Z498" s="35" t="s">
        <v>2865</v>
      </c>
      <c r="AA498" s="35" t="s">
        <v>3459</v>
      </c>
      <c r="AB498" s="29" t="s">
        <v>2653</v>
      </c>
      <c r="AC498" s="35" t="s">
        <v>1633</v>
      </c>
      <c r="AD498" s="35" t="s">
        <v>1634</v>
      </c>
      <c r="AE498" s="35" t="s">
        <v>1634</v>
      </c>
      <c r="AF498" s="35" t="s">
        <v>1635</v>
      </c>
      <c r="AG498" s="35" t="s">
        <v>1728</v>
      </c>
      <c r="AI498" s="35"/>
      <c r="AJ498" s="35" t="s">
        <v>1637</v>
      </c>
      <c r="AK498" s="35" t="s">
        <v>1672</v>
      </c>
      <c r="AL498" s="29" t="s">
        <v>3522</v>
      </c>
      <c r="AM498" s="35"/>
      <c r="AN498" s="35"/>
      <c r="AO498" s="35"/>
      <c r="AP498" s="35"/>
      <c r="AQ498" s="35"/>
      <c r="AS498" s="35"/>
      <c r="AU498" s="35"/>
      <c r="AW498" s="35"/>
      <c r="AY498" s="35"/>
      <c r="AZ498" s="35"/>
      <c r="BA498" s="35"/>
      <c r="BB498" s="29" t="s">
        <v>3448</v>
      </c>
      <c r="BC498" s="29" t="s">
        <v>2347</v>
      </c>
      <c r="BD498" s="29" t="s">
        <v>3461</v>
      </c>
      <c r="BE498" s="29" t="s">
        <v>1805</v>
      </c>
      <c r="BF498" s="29" t="s">
        <v>1931</v>
      </c>
      <c r="BG498" s="29" t="s">
        <v>3523</v>
      </c>
      <c r="BH498" s="29" t="s">
        <v>1648</v>
      </c>
      <c r="BI498" s="35"/>
      <c r="BJ498" s="35"/>
      <c r="BK498" s="29" t="str" cm="1">
        <f t="array" ref="BK498">_xlfn.UNIQUE(MID(BB498,16,14))</f>
        <v>U012UNA01UH100</v>
      </c>
    </row>
    <row r="499" spans="1:63" x14ac:dyDescent="0.3">
      <c r="A499" s="29" t="s">
        <v>3524</v>
      </c>
      <c r="B499" s="36" t="str">
        <f t="shared" si="35"/>
        <v>G01NHE01BQ001-BF01</v>
      </c>
      <c r="C499" s="33" t="s">
        <v>3525</v>
      </c>
      <c r="D499" s="34" t="str">
        <f t="shared" si="36"/>
        <v>ELY1 O2 TRT QUAL FLOW1 CB ON/OPN/MIN1</v>
      </c>
      <c r="E499" s="31">
        <f t="shared" si="37"/>
        <v>37</v>
      </c>
      <c r="F499" s="32" t="str">
        <f t="shared" si="38"/>
        <v>ELECTROLYSIS SYSTEM ELECTROLYSIS ARRAY 1 O2 TREATMENT O2 TREATMENT SYSTEM QUALITY MEASURING SYSTEMS H2 IN O2 MEASURING SYSTEM 10301; FLOWMETER GENERAL CHECK BACK OFF/CLOSED // LIMIT VALUE &gt;MIN 1</v>
      </c>
      <c r="G499" s="29" t="s">
        <v>1614</v>
      </c>
      <c r="H499" s="29" t="s">
        <v>1615</v>
      </c>
      <c r="I499" s="29" t="str">
        <f t="shared" si="39"/>
        <v>01</v>
      </c>
      <c r="J499" s="29" t="s">
        <v>1616</v>
      </c>
      <c r="K499" s="29" t="s">
        <v>2395</v>
      </c>
      <c r="L499" s="29" t="s">
        <v>2396</v>
      </c>
      <c r="M499" s="29" t="s">
        <v>1619</v>
      </c>
      <c r="N499" s="29" t="s">
        <v>2397</v>
      </c>
      <c r="O499" s="29" t="s">
        <v>1621</v>
      </c>
      <c r="P499" s="29" t="s">
        <v>3526</v>
      </c>
      <c r="Q499" s="29" t="s">
        <v>1623</v>
      </c>
      <c r="R499" s="29" t="s">
        <v>3527</v>
      </c>
      <c r="S499" s="29" t="s">
        <v>1625</v>
      </c>
      <c r="T499" s="29" t="s">
        <v>1626</v>
      </c>
      <c r="U499" s="29" t="s">
        <v>371</v>
      </c>
      <c r="V499" s="29" t="s">
        <v>1627</v>
      </c>
      <c r="W499" s="35" t="s">
        <v>1628</v>
      </c>
      <c r="X499" s="35" t="s">
        <v>2399</v>
      </c>
      <c r="Y499" s="35" t="s">
        <v>1630</v>
      </c>
      <c r="Z499" s="35" t="s">
        <v>1631</v>
      </c>
      <c r="AA499" s="35" t="s">
        <v>1632</v>
      </c>
      <c r="AB499" s="29" t="s">
        <v>1625</v>
      </c>
      <c r="AC499" s="35" t="s">
        <v>1633</v>
      </c>
      <c r="AD499" s="35" t="s">
        <v>1634</v>
      </c>
      <c r="AE499" s="35" t="s">
        <v>1634</v>
      </c>
      <c r="AF499" s="35" t="s">
        <v>1635</v>
      </c>
      <c r="AG499" s="35" t="s">
        <v>1636</v>
      </c>
      <c r="AI499" s="35"/>
      <c r="AJ499" s="35" t="s">
        <v>1637</v>
      </c>
      <c r="AK499" s="35" t="s">
        <v>1638</v>
      </c>
      <c r="AL499" s="29" t="s">
        <v>1639</v>
      </c>
      <c r="AM499" s="35"/>
      <c r="AN499" s="35"/>
      <c r="AO499" s="35"/>
      <c r="AP499" s="35"/>
      <c r="AQ499" s="35"/>
      <c r="AS499" s="35"/>
      <c r="AT499" s="29" t="s">
        <v>1640</v>
      </c>
      <c r="AU499" s="35"/>
      <c r="AV499" s="29" t="s">
        <v>1641</v>
      </c>
      <c r="AW499" s="35"/>
      <c r="AY499" s="35"/>
      <c r="AZ499" s="35" t="s">
        <v>1642</v>
      </c>
      <c r="BA499" s="35"/>
      <c r="BB499" s="29" t="s">
        <v>1643</v>
      </c>
      <c r="BC499" s="29" t="s">
        <v>1644</v>
      </c>
      <c r="BD499" s="29" t="s">
        <v>1645</v>
      </c>
      <c r="BE499" s="29" t="s">
        <v>1646</v>
      </c>
      <c r="BF499" s="29" t="s">
        <v>1973</v>
      </c>
      <c r="BG499" s="29" t="s">
        <v>3528</v>
      </c>
      <c r="BH499" s="29" t="s">
        <v>3529</v>
      </c>
      <c r="BI499" s="35"/>
      <c r="BJ499" s="35"/>
      <c r="BK499" s="29" t="str" cm="1">
        <f t="array" ref="BK499">_xlfn.UNIQUE(MID(BB499,16,14))</f>
        <v>U012UNA01UH100</v>
      </c>
    </row>
    <row r="500" spans="1:63" x14ac:dyDescent="0.3">
      <c r="A500" s="29" t="s">
        <v>3524</v>
      </c>
      <c r="B500" s="36" t="str">
        <f t="shared" si="35"/>
        <v>G01NHE01BQ001-BF01</v>
      </c>
      <c r="C500" s="33" t="s">
        <v>3530</v>
      </c>
      <c r="D500" s="34" t="str">
        <f t="shared" si="36"/>
        <v>ELY1 O2 TRT QUAL FLOW1 CB ON/OPN/MAX1</v>
      </c>
      <c r="E500" s="31">
        <f t="shared" si="37"/>
        <v>37</v>
      </c>
      <c r="F500" s="32" t="str">
        <f t="shared" si="38"/>
        <v>ELECTROLYSIS SYSTEM ELECTROLYSIS ARRAY 1 O2 TREATMENT O2 TREATMENT SYSTEM QUALITY MEASURING SYSTEMS H2 IN O2 MEASURING SYSTEM 10301; FLOWMETER GENERAL CHECK BACK ON/OPEN // LIMIT VALUE &gt;MAX 1</v>
      </c>
      <c r="G500" s="29" t="s">
        <v>1614</v>
      </c>
      <c r="H500" s="29" t="s">
        <v>1615</v>
      </c>
      <c r="I500" s="29" t="str">
        <f t="shared" si="39"/>
        <v>01</v>
      </c>
      <c r="J500" s="29" t="s">
        <v>1616</v>
      </c>
      <c r="K500" s="29" t="s">
        <v>2395</v>
      </c>
      <c r="L500" s="29" t="s">
        <v>2396</v>
      </c>
      <c r="M500" s="29" t="s">
        <v>1619</v>
      </c>
      <c r="N500" s="29" t="s">
        <v>2397</v>
      </c>
      <c r="O500" s="29" t="s">
        <v>1621</v>
      </c>
      <c r="P500" s="29" t="s">
        <v>3526</v>
      </c>
      <c r="Q500" s="29" t="s">
        <v>1623</v>
      </c>
      <c r="R500" s="29" t="s">
        <v>3527</v>
      </c>
      <c r="S500" s="29" t="s">
        <v>1625</v>
      </c>
      <c r="T500" s="29" t="s">
        <v>1626</v>
      </c>
      <c r="U500" s="29" t="s">
        <v>573</v>
      </c>
      <c r="V500" s="29" t="s">
        <v>2344</v>
      </c>
      <c r="W500" s="35" t="s">
        <v>1628</v>
      </c>
      <c r="X500" s="35" t="s">
        <v>2399</v>
      </c>
      <c r="Y500" s="35" t="s">
        <v>1630</v>
      </c>
      <c r="Z500" s="35" t="s">
        <v>1631</v>
      </c>
      <c r="AA500" s="35" t="s">
        <v>2345</v>
      </c>
      <c r="AB500" s="29" t="s">
        <v>1625</v>
      </c>
      <c r="AC500" s="35" t="s">
        <v>1633</v>
      </c>
      <c r="AD500" s="35" t="s">
        <v>2642</v>
      </c>
      <c r="AE500" s="35" t="s">
        <v>2642</v>
      </c>
      <c r="AF500" s="35" t="s">
        <v>1635</v>
      </c>
      <c r="AG500" s="35" t="s">
        <v>1636</v>
      </c>
      <c r="AI500" s="35"/>
      <c r="AJ500" s="35" t="s">
        <v>1637</v>
      </c>
      <c r="AK500" s="35" t="s">
        <v>1672</v>
      </c>
      <c r="AL500" s="29" t="s">
        <v>1639</v>
      </c>
      <c r="AM500" s="35"/>
      <c r="AN500" s="35"/>
      <c r="AO500" s="35"/>
      <c r="AP500" s="35"/>
      <c r="AQ500" s="35"/>
      <c r="AS500" s="35"/>
      <c r="AT500" s="29" t="s">
        <v>1640</v>
      </c>
      <c r="AU500" s="35"/>
      <c r="AV500" s="29" t="s">
        <v>1641</v>
      </c>
      <c r="AW500" s="35"/>
      <c r="AY500" s="35"/>
      <c r="AZ500" s="35" t="s">
        <v>1642</v>
      </c>
      <c r="BA500" s="35"/>
      <c r="BB500" s="29" t="s">
        <v>3448</v>
      </c>
      <c r="BC500" s="29" t="s">
        <v>2347</v>
      </c>
      <c r="BD500" s="29" t="s">
        <v>2348</v>
      </c>
      <c r="BE500" s="29" t="s">
        <v>1805</v>
      </c>
      <c r="BF500" s="29" t="s">
        <v>2051</v>
      </c>
      <c r="BG500" s="29" t="s">
        <v>3528</v>
      </c>
      <c r="BH500" s="29" t="s">
        <v>3529</v>
      </c>
      <c r="BI500" s="35"/>
      <c r="BJ500" s="35"/>
      <c r="BK500" s="29" t="str" cm="1">
        <f t="array" ref="BK500">_xlfn.UNIQUE(MID(BB500,16,14))</f>
        <v>U012UNA01UH100</v>
      </c>
    </row>
    <row r="501" spans="1:63" x14ac:dyDescent="0.3">
      <c r="A501" s="29" t="s">
        <v>3524</v>
      </c>
      <c r="B501" s="36" t="str">
        <f t="shared" si="35"/>
        <v>G01NHE01BQ001-BF02</v>
      </c>
      <c r="C501" s="33" t="s">
        <v>3531</v>
      </c>
      <c r="D501" s="34" t="str">
        <f t="shared" si="36"/>
        <v>ELY1 O2 TRT QUAL FLOW2 CB ON/OPN/MIN1</v>
      </c>
      <c r="E501" s="31">
        <f t="shared" si="37"/>
        <v>37</v>
      </c>
      <c r="F501" s="32" t="str">
        <f t="shared" si="38"/>
        <v>ELECTROLYSIS SYSTEM ELECTROLYSIS ARRAY 1 O2 TREATMENT O2 TREATMENT SYSTEM QUALITY MEASURING SYSTEMS H2 IN O2 MEASURING SYSTEM 10301; FLOWMETER GENERAL CHECK BACK OFF/CLOSED // LIMIT VALUE &gt;MIN 1</v>
      </c>
      <c r="G501" s="29" t="s">
        <v>1614</v>
      </c>
      <c r="H501" s="29" t="s">
        <v>1615</v>
      </c>
      <c r="I501" s="29" t="str">
        <f t="shared" si="39"/>
        <v>01</v>
      </c>
      <c r="J501" s="29" t="s">
        <v>1616</v>
      </c>
      <c r="K501" s="29" t="s">
        <v>2395</v>
      </c>
      <c r="L501" s="29" t="s">
        <v>2396</v>
      </c>
      <c r="M501" s="29" t="s">
        <v>1619</v>
      </c>
      <c r="N501" s="29" t="s">
        <v>2397</v>
      </c>
      <c r="O501" s="29" t="s">
        <v>1621</v>
      </c>
      <c r="P501" s="29" t="s">
        <v>3526</v>
      </c>
      <c r="Q501" s="29" t="s">
        <v>1623</v>
      </c>
      <c r="R501" s="29" t="s">
        <v>3527</v>
      </c>
      <c r="S501" s="29" t="s">
        <v>2350</v>
      </c>
      <c r="T501" s="29" t="s">
        <v>1626</v>
      </c>
      <c r="U501" s="29" t="s">
        <v>371</v>
      </c>
      <c r="V501" s="29" t="s">
        <v>1627</v>
      </c>
      <c r="W501" s="35" t="s">
        <v>1628</v>
      </c>
      <c r="X501" s="35" t="s">
        <v>2399</v>
      </c>
      <c r="Y501" s="35" t="s">
        <v>1630</v>
      </c>
      <c r="Z501" s="35" t="s">
        <v>2351</v>
      </c>
      <c r="AA501" s="35" t="s">
        <v>1632</v>
      </c>
      <c r="AB501" s="29" t="s">
        <v>2350</v>
      </c>
      <c r="AC501" s="35" t="s">
        <v>1633</v>
      </c>
      <c r="AD501" s="35" t="s">
        <v>1634</v>
      </c>
      <c r="AE501" s="35" t="s">
        <v>1634</v>
      </c>
      <c r="AF501" s="35" t="s">
        <v>1635</v>
      </c>
      <c r="AG501" s="35" t="s">
        <v>1636</v>
      </c>
      <c r="AI501" s="35"/>
      <c r="AJ501" s="35" t="s">
        <v>1637</v>
      </c>
      <c r="AK501" s="35" t="s">
        <v>1638</v>
      </c>
      <c r="AL501" s="29" t="s">
        <v>1639</v>
      </c>
      <c r="AM501" s="35"/>
      <c r="AN501" s="35"/>
      <c r="AO501" s="35"/>
      <c r="AP501" s="35"/>
      <c r="AQ501" s="35"/>
      <c r="AS501" s="35"/>
      <c r="AT501" s="29" t="s">
        <v>1640</v>
      </c>
      <c r="AU501" s="35"/>
      <c r="AV501" s="29" t="s">
        <v>1641</v>
      </c>
      <c r="AW501" s="35"/>
      <c r="AY501" s="35"/>
      <c r="AZ501" s="35" t="s">
        <v>1642</v>
      </c>
      <c r="BA501" s="35"/>
      <c r="BB501" s="29" t="s">
        <v>1643</v>
      </c>
      <c r="BC501" s="29" t="s">
        <v>1644</v>
      </c>
      <c r="BD501" s="29" t="s">
        <v>2352</v>
      </c>
      <c r="BE501" s="29" t="s">
        <v>2353</v>
      </c>
      <c r="BF501" s="29" t="s">
        <v>3209</v>
      </c>
      <c r="BG501" s="29" t="s">
        <v>3532</v>
      </c>
      <c r="BH501" s="29" t="s">
        <v>3529</v>
      </c>
      <c r="BI501" s="35"/>
      <c r="BJ501" s="35"/>
      <c r="BK501" s="29" t="str" cm="1">
        <f t="array" ref="BK501">_xlfn.UNIQUE(MID(BB501,16,14))</f>
        <v>U012UNA01UH100</v>
      </c>
    </row>
    <row r="502" spans="1:63" x14ac:dyDescent="0.3">
      <c r="A502" s="29" t="s">
        <v>3524</v>
      </c>
      <c r="B502" s="36" t="str">
        <f t="shared" si="35"/>
        <v>G01NHE01BQ001-BF02</v>
      </c>
      <c r="C502" s="33" t="s">
        <v>3533</v>
      </c>
      <c r="D502" s="34" t="str">
        <f t="shared" si="36"/>
        <v>ELY1 O2 TRT QUAL FLOW2 CB ON/OPN/MAX1</v>
      </c>
      <c r="E502" s="31">
        <f t="shared" si="37"/>
        <v>37</v>
      </c>
      <c r="F502" s="32" t="str">
        <f t="shared" si="38"/>
        <v>ELECTROLYSIS SYSTEM ELECTROLYSIS ARRAY 1 O2 TREATMENT O2 TREATMENT SYSTEM QUALITY MEASURING SYSTEMS H2 IN O2 MEASURING SYSTEM 10301; FLOWMETER GENERAL CHECK BACK ON/OPEN // LIMIT VALUE &gt;MAX 1</v>
      </c>
      <c r="G502" s="29" t="s">
        <v>1614</v>
      </c>
      <c r="H502" s="29" t="s">
        <v>1615</v>
      </c>
      <c r="I502" s="29" t="str">
        <f t="shared" si="39"/>
        <v>01</v>
      </c>
      <c r="J502" s="29" t="s">
        <v>1616</v>
      </c>
      <c r="K502" s="29" t="s">
        <v>2395</v>
      </c>
      <c r="L502" s="29" t="s">
        <v>2396</v>
      </c>
      <c r="M502" s="29" t="s">
        <v>1619</v>
      </c>
      <c r="N502" s="29" t="s">
        <v>2397</v>
      </c>
      <c r="O502" s="29" t="s">
        <v>1621</v>
      </c>
      <c r="P502" s="29" t="s">
        <v>3526</v>
      </c>
      <c r="Q502" s="29" t="s">
        <v>1623</v>
      </c>
      <c r="R502" s="29" t="s">
        <v>3527</v>
      </c>
      <c r="S502" s="29" t="s">
        <v>2350</v>
      </c>
      <c r="T502" s="29" t="s">
        <v>1626</v>
      </c>
      <c r="U502" s="29" t="s">
        <v>573</v>
      </c>
      <c r="V502" s="29" t="s">
        <v>2344</v>
      </c>
      <c r="W502" s="35" t="s">
        <v>1628</v>
      </c>
      <c r="X502" s="35" t="s">
        <v>2399</v>
      </c>
      <c r="Y502" s="35" t="s">
        <v>1630</v>
      </c>
      <c r="Z502" s="35" t="s">
        <v>2351</v>
      </c>
      <c r="AA502" s="35" t="s">
        <v>2345</v>
      </c>
      <c r="AB502" s="29" t="s">
        <v>2350</v>
      </c>
      <c r="AC502" s="35" t="s">
        <v>1633</v>
      </c>
      <c r="AD502" s="35" t="s">
        <v>2642</v>
      </c>
      <c r="AE502" s="35" t="s">
        <v>2642</v>
      </c>
      <c r="AF502" s="35" t="s">
        <v>1635</v>
      </c>
      <c r="AG502" s="35" t="s">
        <v>1636</v>
      </c>
      <c r="AI502" s="35"/>
      <c r="AJ502" s="35" t="s">
        <v>1637</v>
      </c>
      <c r="AK502" s="35" t="s">
        <v>1672</v>
      </c>
      <c r="AL502" s="29" t="s">
        <v>1639</v>
      </c>
      <c r="AM502" s="35"/>
      <c r="AN502" s="35"/>
      <c r="AO502" s="35"/>
      <c r="AP502" s="35"/>
      <c r="AQ502" s="35"/>
      <c r="AS502" s="35"/>
      <c r="AT502" s="29" t="s">
        <v>1640</v>
      </c>
      <c r="AU502" s="35"/>
      <c r="AV502" s="29" t="s">
        <v>1641</v>
      </c>
      <c r="AW502" s="35"/>
      <c r="AY502" s="35"/>
      <c r="AZ502" s="35" t="s">
        <v>1642</v>
      </c>
      <c r="BA502" s="35"/>
      <c r="BB502" s="29" t="s">
        <v>3448</v>
      </c>
      <c r="BC502" s="29" t="s">
        <v>2347</v>
      </c>
      <c r="BD502" s="29" t="s">
        <v>2348</v>
      </c>
      <c r="BE502" s="29" t="s">
        <v>1805</v>
      </c>
      <c r="BF502" s="29" t="s">
        <v>2016</v>
      </c>
      <c r="BG502" s="29" t="s">
        <v>3532</v>
      </c>
      <c r="BH502" s="29" t="s">
        <v>3529</v>
      </c>
      <c r="BI502" s="35"/>
      <c r="BJ502" s="35"/>
      <c r="BK502" s="29" t="str" cm="1">
        <f t="array" ref="BK502">_xlfn.UNIQUE(MID(BB502,16,14))</f>
        <v>U012UNA01UH100</v>
      </c>
    </row>
    <row r="503" spans="1:63" x14ac:dyDescent="0.3">
      <c r="A503" s="29" t="s">
        <v>3524</v>
      </c>
      <c r="B503" s="36" t="str">
        <f t="shared" si="35"/>
        <v>G01NHE01BQ001-BF10</v>
      </c>
      <c r="C503" s="33" t="s">
        <v>3534</v>
      </c>
      <c r="D503" s="34" t="str">
        <f t="shared" si="36"/>
        <v>ELY1 O2 TRT QUAL FLOW1 CB ON/OPN/MIN1</v>
      </c>
      <c r="E503" s="31">
        <f t="shared" si="37"/>
        <v>37</v>
      </c>
      <c r="F503" s="32" t="str">
        <f t="shared" si="38"/>
        <v>ELECTROLYSIS SYSTEM ELECTROLYSIS ARRAY 1 O2 TREATMENT O2 TREATMENT SYSTEM QUALITY MEASURING SYSTEMS H2 IN O2 MEASURING SYSTEM 10301; FLOWMETER GENERAL CHECK BACK OFF/CLOSED // LIMIT VALUE &gt;MIN 1</v>
      </c>
      <c r="G503" s="29" t="s">
        <v>1614</v>
      </c>
      <c r="H503" s="29" t="s">
        <v>1615</v>
      </c>
      <c r="I503" s="29" t="str">
        <f t="shared" si="39"/>
        <v>01</v>
      </c>
      <c r="J503" s="29" t="s">
        <v>1616</v>
      </c>
      <c r="K503" s="29" t="s">
        <v>2395</v>
      </c>
      <c r="L503" s="29" t="s">
        <v>2396</v>
      </c>
      <c r="M503" s="29" t="s">
        <v>1619</v>
      </c>
      <c r="N503" s="29" t="s">
        <v>2397</v>
      </c>
      <c r="O503" s="29" t="s">
        <v>1621</v>
      </c>
      <c r="P503" s="29" t="s">
        <v>3526</v>
      </c>
      <c r="Q503" s="29" t="s">
        <v>1623</v>
      </c>
      <c r="R503" s="29" t="s">
        <v>3527</v>
      </c>
      <c r="S503" s="29" t="s">
        <v>1832</v>
      </c>
      <c r="T503" s="29" t="s">
        <v>1626</v>
      </c>
      <c r="U503" s="29" t="s">
        <v>371</v>
      </c>
      <c r="V503" s="29" t="s">
        <v>1627</v>
      </c>
      <c r="W503" s="35" t="s">
        <v>1628</v>
      </c>
      <c r="X503" s="35" t="s">
        <v>2399</v>
      </c>
      <c r="Y503" s="35" t="s">
        <v>1630</v>
      </c>
      <c r="Z503" s="35" t="s">
        <v>1631</v>
      </c>
      <c r="AA503" s="35" t="s">
        <v>1632</v>
      </c>
      <c r="AB503" s="29" t="s">
        <v>1832</v>
      </c>
      <c r="AC503" s="35" t="s">
        <v>1633</v>
      </c>
      <c r="AD503" s="35" t="s">
        <v>2642</v>
      </c>
      <c r="AE503" s="35" t="s">
        <v>2642</v>
      </c>
      <c r="AF503" s="35" t="s">
        <v>1635</v>
      </c>
      <c r="AG503" s="35" t="s">
        <v>1636</v>
      </c>
      <c r="AI503" s="35"/>
      <c r="AJ503" s="35" t="s">
        <v>1637</v>
      </c>
      <c r="AK503" s="35" t="s">
        <v>1672</v>
      </c>
      <c r="AL503" s="29" t="s">
        <v>2406</v>
      </c>
      <c r="AM503" s="35"/>
      <c r="AN503" s="35"/>
      <c r="AO503" s="35"/>
      <c r="AP503" s="35"/>
      <c r="AQ503" s="35"/>
      <c r="AS503" s="35"/>
      <c r="AU503" s="35"/>
      <c r="AV503" s="29" t="s">
        <v>1641</v>
      </c>
      <c r="AW503" s="35"/>
      <c r="AY503" s="35"/>
      <c r="AZ503" s="35"/>
      <c r="BA503" s="35"/>
      <c r="BB503" s="29" t="s">
        <v>3448</v>
      </c>
      <c r="BC503" s="29" t="s">
        <v>2347</v>
      </c>
      <c r="BD503" s="29" t="s">
        <v>2407</v>
      </c>
      <c r="BE503" s="29" t="s">
        <v>1805</v>
      </c>
      <c r="BF503" s="29" t="s">
        <v>2341</v>
      </c>
      <c r="BG503" s="29" t="s">
        <v>3535</v>
      </c>
      <c r="BH503" s="29" t="s">
        <v>3529</v>
      </c>
      <c r="BI503" s="35"/>
      <c r="BJ503" s="35"/>
      <c r="BK503" s="29" t="str" cm="1">
        <f t="array" ref="BK503">_xlfn.UNIQUE(MID(BB503,16,14))</f>
        <v>U012UNA01UH100</v>
      </c>
    </row>
    <row r="504" spans="1:63" x14ac:dyDescent="0.3">
      <c r="A504" s="29" t="s">
        <v>3524</v>
      </c>
      <c r="B504" s="36" t="str">
        <f t="shared" si="35"/>
        <v>G01NHE01BQ001-BP10</v>
      </c>
      <c r="C504" s="33" t="s">
        <v>3536</v>
      </c>
      <c r="D504" s="34" t="str">
        <f t="shared" si="36"/>
        <v>ELY1 O2 TRT QUAL PRES SW CB ON/OPN/MAX1</v>
      </c>
      <c r="E504" s="31">
        <f t="shared" si="37"/>
        <v>39</v>
      </c>
      <c r="F504" s="32" t="str">
        <f t="shared" si="38"/>
        <v>ELECTROLYSIS SYSTEM ELECTROLYSIS ARRAY 1 O2 TREATMENT O2 TREATMENT SYSTEM QUALITY MEASURING SYSTEMS H2 IN O2 MEASURING SYSTEM PRESSURE SWITCH CHECK BACK ON/OPEN // LIMIT VALUE &gt;MAX 1</v>
      </c>
      <c r="G504" s="29" t="s">
        <v>1614</v>
      </c>
      <c r="H504" s="29" t="s">
        <v>1615</v>
      </c>
      <c r="I504" s="29" t="str">
        <f t="shared" si="39"/>
        <v>01</v>
      </c>
      <c r="J504" s="29" t="s">
        <v>1616</v>
      </c>
      <c r="K504" s="29" t="s">
        <v>2395</v>
      </c>
      <c r="L504" s="29" t="s">
        <v>2396</v>
      </c>
      <c r="M504" s="29" t="s">
        <v>1619</v>
      </c>
      <c r="N504" s="29" t="s">
        <v>2397</v>
      </c>
      <c r="O504" s="29" t="s">
        <v>1621</v>
      </c>
      <c r="P504" s="29" t="s">
        <v>3526</v>
      </c>
      <c r="Q504" s="29" t="s">
        <v>1623</v>
      </c>
      <c r="R504" s="29" t="s">
        <v>3527</v>
      </c>
      <c r="S504" s="29" t="s">
        <v>3305</v>
      </c>
      <c r="T504" s="29" t="s">
        <v>3306</v>
      </c>
      <c r="U504" s="29" t="s">
        <v>573</v>
      </c>
      <c r="V504" s="29" t="s">
        <v>2344</v>
      </c>
      <c r="W504" s="35" t="s">
        <v>1628</v>
      </c>
      <c r="X504" s="35" t="s">
        <v>2399</v>
      </c>
      <c r="Y504" s="35" t="s">
        <v>1630</v>
      </c>
      <c r="Z504" s="35" t="s">
        <v>3307</v>
      </c>
      <c r="AA504" s="35" t="s">
        <v>2345</v>
      </c>
      <c r="AB504" s="29" t="s">
        <v>3305</v>
      </c>
      <c r="AC504" s="35" t="s">
        <v>1633</v>
      </c>
      <c r="AD504" s="35" t="s">
        <v>2642</v>
      </c>
      <c r="AE504" s="35" t="s">
        <v>2642</v>
      </c>
      <c r="AF504" s="35" t="s">
        <v>1635</v>
      </c>
      <c r="AG504" s="35" t="s">
        <v>1728</v>
      </c>
      <c r="AI504" s="35"/>
      <c r="AJ504" s="35" t="s">
        <v>1637</v>
      </c>
      <c r="AK504" s="35" t="s">
        <v>1672</v>
      </c>
      <c r="AL504" s="29" t="s">
        <v>3308</v>
      </c>
      <c r="AM504" s="35"/>
      <c r="AN504" s="35"/>
      <c r="AO504" s="35"/>
      <c r="AP504" s="35"/>
      <c r="AQ504" s="35"/>
      <c r="AS504" s="35"/>
      <c r="AU504" s="35"/>
      <c r="AV504" s="29" t="s">
        <v>1641</v>
      </c>
      <c r="AW504" s="35"/>
      <c r="AY504" s="35"/>
      <c r="AZ504" s="35"/>
      <c r="BA504" s="35"/>
      <c r="BB504" s="29" t="s">
        <v>2003</v>
      </c>
      <c r="BC504" s="29" t="s">
        <v>2347</v>
      </c>
      <c r="BD504" s="29" t="s">
        <v>2348</v>
      </c>
      <c r="BE504" s="29" t="s">
        <v>1805</v>
      </c>
      <c r="BF504" s="29" t="s">
        <v>1619</v>
      </c>
      <c r="BG504" s="29" t="s">
        <v>3537</v>
      </c>
      <c r="BH504" s="29" t="s">
        <v>3529</v>
      </c>
      <c r="BI504" s="35"/>
      <c r="BJ504" s="35"/>
      <c r="BK504" s="29" t="str" cm="1">
        <f t="array" ref="BK504">_xlfn.UNIQUE(MID(BB504,16,14))</f>
        <v>U012UNA01UH100</v>
      </c>
    </row>
    <row r="505" spans="1:63" x14ac:dyDescent="0.3">
      <c r="A505" s="29" t="s">
        <v>3524</v>
      </c>
      <c r="B505" s="36" t="str">
        <f t="shared" si="35"/>
        <v>G01NHE01BQ001-BQ01</v>
      </c>
      <c r="C505" s="33" t="s">
        <v>3538</v>
      </c>
      <c r="D505" s="34" t="str">
        <f t="shared" si="36"/>
        <v>ELY1 O2 TRT QUAL QUAL1 ANALOG1</v>
      </c>
      <c r="E505" s="31">
        <f t="shared" si="37"/>
        <v>30</v>
      </c>
      <c r="F505" s="32" t="str">
        <f t="shared" si="38"/>
        <v>ELECTROLYSIS SYSTEM ELECTROLYSIS ARRAY 1 O2 TREATMENT O2 TREATMENT SYSTEM QUALITY MEASURING SYSTEMS H2 IN O2 MEASURING SYSTEM H2-MEASURING SENSOR ANALOG PROCESS SIGNAL</v>
      </c>
      <c r="G505" s="29" t="s">
        <v>1614</v>
      </c>
      <c r="H505" s="29" t="s">
        <v>1615</v>
      </c>
      <c r="I505" s="29" t="str">
        <f t="shared" si="39"/>
        <v>01</v>
      </c>
      <c r="J505" s="29" t="s">
        <v>1616</v>
      </c>
      <c r="K505" s="29" t="s">
        <v>2395</v>
      </c>
      <c r="L505" s="29" t="s">
        <v>2396</v>
      </c>
      <c r="M505" s="29" t="s">
        <v>1619</v>
      </c>
      <c r="N505" s="29" t="s">
        <v>2397</v>
      </c>
      <c r="O505" s="29" t="s">
        <v>1621</v>
      </c>
      <c r="P505" s="29" t="s">
        <v>3526</v>
      </c>
      <c r="Q505" s="29" t="s">
        <v>1623</v>
      </c>
      <c r="R505" s="29" t="s">
        <v>3527</v>
      </c>
      <c r="S505" s="29" t="s">
        <v>1687</v>
      </c>
      <c r="T505" s="29" t="s">
        <v>3539</v>
      </c>
      <c r="U505" s="29" t="s">
        <v>193</v>
      </c>
      <c r="V505" s="29" t="s">
        <v>1083</v>
      </c>
      <c r="W505" s="35" t="s">
        <v>1628</v>
      </c>
      <c r="X505" s="35" t="s">
        <v>2399</v>
      </c>
      <c r="Y505" s="35" t="s">
        <v>1630</v>
      </c>
      <c r="Z505" s="35" t="s">
        <v>1689</v>
      </c>
      <c r="AA505" s="35" t="s">
        <v>1666</v>
      </c>
      <c r="AB505" s="29" t="s">
        <v>1687</v>
      </c>
      <c r="AC505" s="35" t="s">
        <v>1633</v>
      </c>
      <c r="AD505" s="35" t="s">
        <v>1668</v>
      </c>
      <c r="AE505" s="35" t="s">
        <v>1668</v>
      </c>
      <c r="AF505" s="35" t="s">
        <v>1635</v>
      </c>
      <c r="AG505" s="35" t="s">
        <v>1670</v>
      </c>
      <c r="AI505" s="35"/>
      <c r="AJ505" s="35" t="s">
        <v>1671</v>
      </c>
      <c r="AK505" s="35" t="s">
        <v>1638</v>
      </c>
      <c r="AL505" s="29" t="s">
        <v>1671</v>
      </c>
      <c r="AM505" s="35"/>
      <c r="AN505" s="35"/>
      <c r="AO505" s="35"/>
      <c r="AP505" s="35"/>
      <c r="AQ505" s="35"/>
      <c r="AR505" s="29" t="s">
        <v>1756</v>
      </c>
      <c r="AS505" s="35"/>
      <c r="AT505" s="29" t="s">
        <v>1640</v>
      </c>
      <c r="AU505" s="35"/>
      <c r="AW505" s="35"/>
      <c r="AY505" s="35"/>
      <c r="AZ505" s="35" t="s">
        <v>1642</v>
      </c>
      <c r="BA505" s="35" t="s">
        <v>2002</v>
      </c>
      <c r="BB505" s="29" t="s">
        <v>2333</v>
      </c>
      <c r="BC505" s="29" t="s">
        <v>2004</v>
      </c>
      <c r="BD505" s="29" t="s">
        <v>3540</v>
      </c>
      <c r="BE505" s="29" t="s">
        <v>3541</v>
      </c>
      <c r="BF505" s="29" t="s">
        <v>1922</v>
      </c>
      <c r="BG505" s="29" t="s">
        <v>3542</v>
      </c>
      <c r="BH505" s="29" t="s">
        <v>3529</v>
      </c>
      <c r="BI505" s="35"/>
      <c r="BJ505" s="35"/>
      <c r="BK505" s="29" t="str" cm="1">
        <f t="array" ref="BK505">_xlfn.UNIQUE(MID(BB505,16,14))</f>
        <v>U012UNA01UH100</v>
      </c>
    </row>
    <row r="506" spans="1:63" x14ac:dyDescent="0.3">
      <c r="A506" s="29" t="s">
        <v>3524</v>
      </c>
      <c r="B506" s="36" t="str">
        <f t="shared" si="35"/>
        <v>G01NHE01BQ001-BQ01</v>
      </c>
      <c r="C506" s="33" t="s">
        <v>3543</v>
      </c>
      <c r="D506" s="34" t="str">
        <f t="shared" si="36"/>
        <v>ELY1 O2 TRT QUAL QUAL1 AL1</v>
      </c>
      <c r="E506" s="31">
        <f t="shared" si="37"/>
        <v>26</v>
      </c>
      <c r="F506" s="32" t="str">
        <f t="shared" si="38"/>
        <v>ELECTROLYSIS SYSTEM ELECTROLYSIS ARRAY 1 O2 TREATMENT O2 TREATMENT SYSTEM QUALITY MEASURING SYSTEMS H2 IN O2 MEASURING SYSTEM H2-MEASURING SENSOR FAULT</v>
      </c>
      <c r="G506" s="29" t="s">
        <v>1614</v>
      </c>
      <c r="H506" s="29" t="s">
        <v>1615</v>
      </c>
      <c r="I506" s="29" t="str">
        <f t="shared" si="39"/>
        <v>01</v>
      </c>
      <c r="J506" s="29" t="s">
        <v>1616</v>
      </c>
      <c r="K506" s="29" t="s">
        <v>2395</v>
      </c>
      <c r="L506" s="29" t="s">
        <v>2396</v>
      </c>
      <c r="M506" s="29" t="s">
        <v>1619</v>
      </c>
      <c r="N506" s="29" t="s">
        <v>2397</v>
      </c>
      <c r="O506" s="29" t="s">
        <v>1621</v>
      </c>
      <c r="P506" s="29" t="s">
        <v>3526</v>
      </c>
      <c r="Q506" s="29" t="s">
        <v>1623</v>
      </c>
      <c r="R506" s="29" t="s">
        <v>3527</v>
      </c>
      <c r="S506" s="29" t="s">
        <v>1687</v>
      </c>
      <c r="T506" s="29" t="s">
        <v>3539</v>
      </c>
      <c r="U506" s="29" t="s">
        <v>148</v>
      </c>
      <c r="V506" s="29" t="s">
        <v>3312</v>
      </c>
      <c r="W506" s="35" t="s">
        <v>1628</v>
      </c>
      <c r="X506" s="35" t="s">
        <v>2399</v>
      </c>
      <c r="Y506" s="35" t="s">
        <v>1630</v>
      </c>
      <c r="Z506" s="35" t="s">
        <v>1689</v>
      </c>
      <c r="AA506" s="35" t="s">
        <v>2714</v>
      </c>
      <c r="AB506" s="29" t="s">
        <v>1687</v>
      </c>
      <c r="AC506" s="35" t="s">
        <v>1633</v>
      </c>
      <c r="AD506" s="35" t="s">
        <v>2642</v>
      </c>
      <c r="AE506" s="35" t="s">
        <v>2642</v>
      </c>
      <c r="AF506" s="35" t="s">
        <v>1635</v>
      </c>
      <c r="AG506" s="35" t="s">
        <v>2634</v>
      </c>
      <c r="AI506" s="35"/>
      <c r="AJ506" s="35" t="s">
        <v>1637</v>
      </c>
      <c r="AK506" s="35" t="s">
        <v>1672</v>
      </c>
      <c r="AL506" s="29" t="s">
        <v>3087</v>
      </c>
      <c r="AM506" s="35"/>
      <c r="AN506" s="35"/>
      <c r="AO506" s="35"/>
      <c r="AP506" s="35"/>
      <c r="AQ506" s="35"/>
      <c r="AS506" s="35"/>
      <c r="AU506" s="35"/>
      <c r="AW506" s="35"/>
      <c r="AY506" s="35"/>
      <c r="AZ506" s="35"/>
      <c r="BA506" s="35"/>
      <c r="BB506" s="29" t="s">
        <v>2003</v>
      </c>
      <c r="BC506" s="29" t="s">
        <v>2347</v>
      </c>
      <c r="BD506" s="29" t="s">
        <v>2716</v>
      </c>
      <c r="BE506" s="29" t="s">
        <v>1805</v>
      </c>
      <c r="BF506" s="29" t="s">
        <v>1909</v>
      </c>
      <c r="BG506" s="29" t="s">
        <v>3542</v>
      </c>
      <c r="BH506" s="29" t="s">
        <v>3529</v>
      </c>
      <c r="BI506" s="35"/>
      <c r="BJ506" s="35"/>
      <c r="BK506" s="29" t="str" cm="1">
        <f t="array" ref="BK506">_xlfn.UNIQUE(MID(BB506,16,14))</f>
        <v>U012UNA01UH100</v>
      </c>
    </row>
    <row r="507" spans="1:63" x14ac:dyDescent="0.3">
      <c r="A507" s="29" t="s">
        <v>3524</v>
      </c>
      <c r="B507" s="36" t="str">
        <f t="shared" si="35"/>
        <v>G01NHE01BQ001-BQ01</v>
      </c>
      <c r="C507" s="33" t="s">
        <v>3544</v>
      </c>
      <c r="D507" s="34" t="str">
        <f t="shared" si="36"/>
        <v>ELY1 O2 TRT QUAL QUAL1 RDY F OP</v>
      </c>
      <c r="E507" s="31">
        <f t="shared" si="37"/>
        <v>31</v>
      </c>
      <c r="F507" s="32" t="str">
        <f t="shared" si="38"/>
        <v>ELECTROLYSIS SYSTEM ELECTROLYSIS ARRAY 1 O2 TREATMENT O2 TREATMENT SYSTEM QUALITY MEASURING SYSTEMS H2 IN O2 MEASURING SYSTEM H2-MEASURING SENSOR FUNCTIONAL CHECK</v>
      </c>
      <c r="G507" s="29" t="s">
        <v>1614</v>
      </c>
      <c r="H507" s="29" t="s">
        <v>1615</v>
      </c>
      <c r="I507" s="29" t="str">
        <f t="shared" si="39"/>
        <v>01</v>
      </c>
      <c r="J507" s="29" t="s">
        <v>1616</v>
      </c>
      <c r="K507" s="29" t="s">
        <v>2395</v>
      </c>
      <c r="L507" s="29" t="s">
        <v>2396</v>
      </c>
      <c r="M507" s="29" t="s">
        <v>1619</v>
      </c>
      <c r="N507" s="29" t="s">
        <v>2397</v>
      </c>
      <c r="O507" s="29" t="s">
        <v>1621</v>
      </c>
      <c r="P507" s="29" t="s">
        <v>3526</v>
      </c>
      <c r="Q507" s="29" t="s">
        <v>1623</v>
      </c>
      <c r="R507" s="29" t="s">
        <v>3527</v>
      </c>
      <c r="S507" s="29" t="s">
        <v>1687</v>
      </c>
      <c r="T507" s="29" t="s">
        <v>3539</v>
      </c>
      <c r="U507" s="29" t="s">
        <v>1019</v>
      </c>
      <c r="V507" s="29" t="s">
        <v>3319</v>
      </c>
      <c r="W507" s="35" t="s">
        <v>1628</v>
      </c>
      <c r="X507" s="35" t="s">
        <v>2399</v>
      </c>
      <c r="Y507" s="35" t="s">
        <v>1630</v>
      </c>
      <c r="Z507" s="35" t="s">
        <v>1689</v>
      </c>
      <c r="AA507" s="35" t="s">
        <v>3320</v>
      </c>
      <c r="AB507" s="29" t="s">
        <v>1687</v>
      </c>
      <c r="AC507" s="35" t="s">
        <v>1633</v>
      </c>
      <c r="AD507" s="35" t="s">
        <v>2642</v>
      </c>
      <c r="AE507" s="35" t="s">
        <v>2642</v>
      </c>
      <c r="AF507" s="35" t="s">
        <v>1635</v>
      </c>
      <c r="AG507" s="35" t="s">
        <v>2634</v>
      </c>
      <c r="AI507" s="35"/>
      <c r="AJ507" s="35" t="s">
        <v>1637</v>
      </c>
      <c r="AK507" s="35" t="s">
        <v>1672</v>
      </c>
      <c r="AL507" s="29" t="s">
        <v>3087</v>
      </c>
      <c r="AM507" s="35"/>
      <c r="AN507" s="35"/>
      <c r="AO507" s="35"/>
      <c r="AP507" s="35"/>
      <c r="AQ507" s="35"/>
      <c r="AS507" s="35"/>
      <c r="AU507" s="35"/>
      <c r="AW507" s="35"/>
      <c r="AY507" s="35"/>
      <c r="AZ507" s="35"/>
      <c r="BA507" s="35"/>
      <c r="BB507" s="29" t="s">
        <v>2003</v>
      </c>
      <c r="BC507" s="29" t="s">
        <v>2347</v>
      </c>
      <c r="BD507" s="29" t="s">
        <v>3321</v>
      </c>
      <c r="BE507" s="29" t="s">
        <v>1805</v>
      </c>
      <c r="BF507" s="29" t="s">
        <v>1905</v>
      </c>
      <c r="BG507" s="29" t="s">
        <v>3542</v>
      </c>
      <c r="BH507" s="29" t="s">
        <v>3529</v>
      </c>
      <c r="BI507" s="35"/>
      <c r="BJ507" s="35"/>
      <c r="BK507" s="29" t="str" cm="1">
        <f t="array" ref="BK507">_xlfn.UNIQUE(MID(BB507,16,14))</f>
        <v>U012UNA01UH100</v>
      </c>
    </row>
    <row r="508" spans="1:63" x14ac:dyDescent="0.3">
      <c r="A508" s="29" t="s">
        <v>3524</v>
      </c>
      <c r="B508" s="36" t="str">
        <f t="shared" si="35"/>
        <v>G01NHE01BQ001-BQ02</v>
      </c>
      <c r="C508" s="33" t="s">
        <v>3545</v>
      </c>
      <c r="D508" s="34" t="str">
        <f t="shared" si="36"/>
        <v>ELY1 O2 TRT QUAL QUAL2 ANALOG1</v>
      </c>
      <c r="E508" s="31">
        <f t="shared" si="37"/>
        <v>30</v>
      </c>
      <c r="F508" s="32" t="str">
        <f t="shared" si="38"/>
        <v>ELECTROLYSIS SYSTEM ELECTROLYSIS ARRAY 1 O2 TREATMENT O2 TREATMENT SYSTEM QUALITY MEASURING SYSTEMS H2 IN O2 MEASURING SYSTEM H2-MEASURING SENSOR ANALOG PROCESS SIGNAL</v>
      </c>
      <c r="G508" s="29" t="s">
        <v>1614</v>
      </c>
      <c r="H508" s="29" t="s">
        <v>1615</v>
      </c>
      <c r="I508" s="29" t="str">
        <f t="shared" si="39"/>
        <v>01</v>
      </c>
      <c r="J508" s="29" t="s">
        <v>1616</v>
      </c>
      <c r="K508" s="29" t="s">
        <v>2395</v>
      </c>
      <c r="L508" s="29" t="s">
        <v>2396</v>
      </c>
      <c r="M508" s="29" t="s">
        <v>1619</v>
      </c>
      <c r="N508" s="29" t="s">
        <v>2397</v>
      </c>
      <c r="O508" s="29" t="s">
        <v>1621</v>
      </c>
      <c r="P508" s="29" t="s">
        <v>3526</v>
      </c>
      <c r="Q508" s="29" t="s">
        <v>1623</v>
      </c>
      <c r="R508" s="29" t="s">
        <v>3527</v>
      </c>
      <c r="S508" s="29" t="s">
        <v>1990</v>
      </c>
      <c r="T508" s="29" t="s">
        <v>3539</v>
      </c>
      <c r="U508" s="29" t="s">
        <v>193</v>
      </c>
      <c r="V508" s="29" t="s">
        <v>1083</v>
      </c>
      <c r="W508" s="35" t="s">
        <v>1628</v>
      </c>
      <c r="X508" s="35" t="s">
        <v>2399</v>
      </c>
      <c r="Y508" s="35" t="s">
        <v>1630</v>
      </c>
      <c r="Z508" s="35" t="s">
        <v>1992</v>
      </c>
      <c r="AA508" s="35" t="s">
        <v>1666</v>
      </c>
      <c r="AB508" s="29" t="s">
        <v>1990</v>
      </c>
      <c r="AC508" s="35" t="s">
        <v>1633</v>
      </c>
      <c r="AD508" s="35" t="s">
        <v>1668</v>
      </c>
      <c r="AE508" s="35" t="s">
        <v>1668</v>
      </c>
      <c r="AF508" s="35" t="s">
        <v>1635</v>
      </c>
      <c r="AG508" s="35" t="s">
        <v>1670</v>
      </c>
      <c r="AI508" s="35"/>
      <c r="AJ508" s="35" t="s">
        <v>1671</v>
      </c>
      <c r="AK508" s="35" t="s">
        <v>1638</v>
      </c>
      <c r="AL508" s="29" t="s">
        <v>1671</v>
      </c>
      <c r="AM508" s="35"/>
      <c r="AN508" s="35"/>
      <c r="AO508" s="35"/>
      <c r="AP508" s="35"/>
      <c r="AQ508" s="35"/>
      <c r="AR508" s="29" t="s">
        <v>1756</v>
      </c>
      <c r="AS508" s="35"/>
      <c r="AT508" s="29" t="s">
        <v>1640</v>
      </c>
      <c r="AU508" s="35"/>
      <c r="AW508" s="35"/>
      <c r="AY508" s="35"/>
      <c r="AZ508" s="35" t="s">
        <v>1642</v>
      </c>
      <c r="BA508" s="35" t="s">
        <v>2002</v>
      </c>
      <c r="BB508" s="29" t="s">
        <v>2420</v>
      </c>
      <c r="BC508" s="29" t="s">
        <v>2004</v>
      </c>
      <c r="BD508" s="29" t="s">
        <v>3546</v>
      </c>
      <c r="BE508" s="29" t="s">
        <v>3547</v>
      </c>
      <c r="BF508" s="29" t="s">
        <v>1619</v>
      </c>
      <c r="BG508" s="29" t="s">
        <v>3548</v>
      </c>
      <c r="BH508" s="29" t="s">
        <v>3529</v>
      </c>
      <c r="BI508" s="35"/>
      <c r="BJ508" s="35"/>
      <c r="BK508" s="29" t="str" cm="1">
        <f t="array" ref="BK508">_xlfn.UNIQUE(MID(BB508,16,14))</f>
        <v>U012UNA01UH100</v>
      </c>
    </row>
    <row r="509" spans="1:63" x14ac:dyDescent="0.3">
      <c r="A509" s="29" t="s">
        <v>3524</v>
      </c>
      <c r="B509" s="36" t="str">
        <f t="shared" si="35"/>
        <v>G01NHE01BQ001-BQ02</v>
      </c>
      <c r="C509" s="33" t="s">
        <v>3549</v>
      </c>
      <c r="D509" s="34" t="str">
        <f t="shared" si="36"/>
        <v>ELY1 O2 TRT QUAL QUAL2 AL1</v>
      </c>
      <c r="E509" s="31">
        <f t="shared" si="37"/>
        <v>26</v>
      </c>
      <c r="F509" s="32" t="str">
        <f t="shared" si="38"/>
        <v>ELECTROLYSIS SYSTEM ELECTROLYSIS ARRAY 1 O2 TREATMENT O2 TREATMENT SYSTEM QUALITY MEASURING SYSTEMS H2 IN O2 MEASURING SYSTEM H2-MEASURING SENSOR FAULT</v>
      </c>
      <c r="G509" s="29" t="s">
        <v>1614</v>
      </c>
      <c r="H509" s="29" t="s">
        <v>1615</v>
      </c>
      <c r="I509" s="29" t="str">
        <f t="shared" si="39"/>
        <v>01</v>
      </c>
      <c r="J509" s="29" t="s">
        <v>1616</v>
      </c>
      <c r="K509" s="29" t="s">
        <v>2395</v>
      </c>
      <c r="L509" s="29" t="s">
        <v>2396</v>
      </c>
      <c r="M509" s="29" t="s">
        <v>1619</v>
      </c>
      <c r="N509" s="29" t="s">
        <v>2397</v>
      </c>
      <c r="O509" s="29" t="s">
        <v>1621</v>
      </c>
      <c r="P509" s="29" t="s">
        <v>3526</v>
      </c>
      <c r="Q509" s="29" t="s">
        <v>1623</v>
      </c>
      <c r="R509" s="29" t="s">
        <v>3527</v>
      </c>
      <c r="S509" s="29" t="s">
        <v>1990</v>
      </c>
      <c r="T509" s="29" t="s">
        <v>3539</v>
      </c>
      <c r="U509" s="29" t="s">
        <v>148</v>
      </c>
      <c r="V509" s="29" t="s">
        <v>3312</v>
      </c>
      <c r="W509" s="35" t="s">
        <v>1628</v>
      </c>
      <c r="X509" s="35" t="s">
        <v>2399</v>
      </c>
      <c r="Y509" s="35" t="s">
        <v>1630</v>
      </c>
      <c r="Z509" s="35" t="s">
        <v>1992</v>
      </c>
      <c r="AA509" s="35" t="s">
        <v>2714</v>
      </c>
      <c r="AB509" s="29" t="s">
        <v>1990</v>
      </c>
      <c r="AC509" s="35" t="s">
        <v>1633</v>
      </c>
      <c r="AD509" s="35" t="s">
        <v>2642</v>
      </c>
      <c r="AE509" s="35" t="s">
        <v>2642</v>
      </c>
      <c r="AF509" s="35" t="s">
        <v>1635</v>
      </c>
      <c r="AG509" s="35" t="s">
        <v>2634</v>
      </c>
      <c r="AI509" s="35"/>
      <c r="AJ509" s="35" t="s">
        <v>1637</v>
      </c>
      <c r="AK509" s="35" t="s">
        <v>1672</v>
      </c>
      <c r="AL509" s="29" t="s">
        <v>3087</v>
      </c>
      <c r="AM509" s="35"/>
      <c r="AN509" s="35"/>
      <c r="AO509" s="35"/>
      <c r="AP509" s="35"/>
      <c r="AQ509" s="35"/>
      <c r="AS509" s="35"/>
      <c r="AU509" s="35"/>
      <c r="AW509" s="35"/>
      <c r="AY509" s="35"/>
      <c r="AZ509" s="35"/>
      <c r="BA509" s="35"/>
      <c r="BB509" s="29" t="s">
        <v>2003</v>
      </c>
      <c r="BC509" s="29" t="s">
        <v>2347</v>
      </c>
      <c r="BD509" s="29" t="s">
        <v>2716</v>
      </c>
      <c r="BE509" s="29" t="s">
        <v>1805</v>
      </c>
      <c r="BF509" s="29" t="s">
        <v>1919</v>
      </c>
      <c r="BG509" s="29" t="s">
        <v>3548</v>
      </c>
      <c r="BH509" s="29" t="s">
        <v>3529</v>
      </c>
      <c r="BI509" s="35"/>
      <c r="BJ509" s="35"/>
      <c r="BK509" s="29" t="str" cm="1">
        <f t="array" ref="BK509">_xlfn.UNIQUE(MID(BB509,16,14))</f>
        <v>U012UNA01UH100</v>
      </c>
    </row>
    <row r="510" spans="1:63" x14ac:dyDescent="0.3">
      <c r="A510" s="29" t="s">
        <v>3524</v>
      </c>
      <c r="B510" s="36" t="str">
        <f t="shared" si="35"/>
        <v>G01NHE01BQ001-BQ02</v>
      </c>
      <c r="C510" s="33" t="s">
        <v>3550</v>
      </c>
      <c r="D510" s="34" t="str">
        <f t="shared" si="36"/>
        <v>ELY1 O2 TRT QUAL QUAL2 RDY F OP</v>
      </c>
      <c r="E510" s="31">
        <f t="shared" si="37"/>
        <v>31</v>
      </c>
      <c r="F510" s="32" t="str">
        <f t="shared" si="38"/>
        <v>ELECTROLYSIS SYSTEM ELECTROLYSIS ARRAY 1 O2 TREATMENT O2 TREATMENT SYSTEM QUALITY MEASURING SYSTEMS H2 IN O2 MEASURING SYSTEM H2-MEASURING SENSOR FUNCTIONAL CHECK</v>
      </c>
      <c r="G510" s="29" t="s">
        <v>1614</v>
      </c>
      <c r="H510" s="29" t="s">
        <v>1615</v>
      </c>
      <c r="I510" s="29" t="str">
        <f t="shared" si="39"/>
        <v>01</v>
      </c>
      <c r="J510" s="29" t="s">
        <v>1616</v>
      </c>
      <c r="K510" s="29" t="s">
        <v>2395</v>
      </c>
      <c r="L510" s="29" t="s">
        <v>2396</v>
      </c>
      <c r="M510" s="29" t="s">
        <v>1619</v>
      </c>
      <c r="N510" s="29" t="s">
        <v>2397</v>
      </c>
      <c r="O510" s="29" t="s">
        <v>1621</v>
      </c>
      <c r="P510" s="29" t="s">
        <v>3526</v>
      </c>
      <c r="Q510" s="29" t="s">
        <v>1623</v>
      </c>
      <c r="R510" s="29" t="s">
        <v>3527</v>
      </c>
      <c r="S510" s="29" t="s">
        <v>1990</v>
      </c>
      <c r="T510" s="29" t="s">
        <v>3539</v>
      </c>
      <c r="U510" s="29" t="s">
        <v>1019</v>
      </c>
      <c r="V510" s="29" t="s">
        <v>3319</v>
      </c>
      <c r="W510" s="35" t="s">
        <v>1628</v>
      </c>
      <c r="X510" s="35" t="s">
        <v>2399</v>
      </c>
      <c r="Y510" s="35" t="s">
        <v>1630</v>
      </c>
      <c r="Z510" s="35" t="s">
        <v>1992</v>
      </c>
      <c r="AA510" s="35" t="s">
        <v>3320</v>
      </c>
      <c r="AB510" s="29" t="s">
        <v>1990</v>
      </c>
      <c r="AC510" s="35" t="s">
        <v>1633</v>
      </c>
      <c r="AD510" s="35" t="s">
        <v>2642</v>
      </c>
      <c r="AE510" s="35" t="s">
        <v>2642</v>
      </c>
      <c r="AF510" s="35" t="s">
        <v>1635</v>
      </c>
      <c r="AG510" s="35" t="s">
        <v>2634</v>
      </c>
      <c r="AI510" s="35"/>
      <c r="AJ510" s="35" t="s">
        <v>1637</v>
      </c>
      <c r="AK510" s="35" t="s">
        <v>1672</v>
      </c>
      <c r="AL510" s="29" t="s">
        <v>3087</v>
      </c>
      <c r="AM510" s="35"/>
      <c r="AN510" s="35"/>
      <c r="AO510" s="35"/>
      <c r="AP510" s="35"/>
      <c r="AQ510" s="35"/>
      <c r="AS510" s="35"/>
      <c r="AU510" s="35"/>
      <c r="AW510" s="35"/>
      <c r="AY510" s="35"/>
      <c r="AZ510" s="35"/>
      <c r="BA510" s="35"/>
      <c r="BB510" s="29" t="s">
        <v>2003</v>
      </c>
      <c r="BC510" s="29" t="s">
        <v>2347</v>
      </c>
      <c r="BD510" s="29" t="s">
        <v>3321</v>
      </c>
      <c r="BE510" s="29" t="s">
        <v>1805</v>
      </c>
      <c r="BF510" s="29" t="s">
        <v>1915</v>
      </c>
      <c r="BG510" s="29" t="s">
        <v>3548</v>
      </c>
      <c r="BH510" s="29" t="s">
        <v>3529</v>
      </c>
      <c r="BI510" s="35"/>
      <c r="BJ510" s="35"/>
      <c r="BK510" s="29" t="str" cm="1">
        <f t="array" ref="BK510">_xlfn.UNIQUE(MID(BB510,16,14))</f>
        <v>U012UNA01UH100</v>
      </c>
    </row>
    <row r="511" spans="1:63" x14ac:dyDescent="0.3">
      <c r="A511" s="29" t="s">
        <v>3524</v>
      </c>
      <c r="B511" s="36" t="str">
        <f t="shared" si="35"/>
        <v>G01NHE01BQ001-EQ01</v>
      </c>
      <c r="C511" s="33" t="s">
        <v>3551</v>
      </c>
      <c r="D511" s="34" t="str">
        <f t="shared" si="36"/>
        <v>ELY1 O2 TRT QUAL GAS COOL GRP FLT</v>
      </c>
      <c r="E511" s="31">
        <f t="shared" si="37"/>
        <v>33</v>
      </c>
      <c r="F511" s="32" t="str">
        <f t="shared" si="38"/>
        <v>ELECTROLYSIS SYSTEM ELECTROLYSIS ARRAY 1 O2 TREATMENT O2 TREATMENT SYSTEM QUALITY MEASURING SYSTEMS H2 IN O2 MEASURING SYSTEM GAS COOLER O2 GROUP FAULT ALARM</v>
      </c>
      <c r="G511" s="29" t="s">
        <v>1614</v>
      </c>
      <c r="H511" s="29" t="s">
        <v>1615</v>
      </c>
      <c r="I511" s="29" t="str">
        <f t="shared" si="39"/>
        <v>01</v>
      </c>
      <c r="J511" s="29" t="s">
        <v>1616</v>
      </c>
      <c r="K511" s="29" t="s">
        <v>2395</v>
      </c>
      <c r="L511" s="29" t="s">
        <v>2396</v>
      </c>
      <c r="M511" s="29" t="s">
        <v>1619</v>
      </c>
      <c r="N511" s="29" t="s">
        <v>2397</v>
      </c>
      <c r="O511" s="29" t="s">
        <v>1621</v>
      </c>
      <c r="P511" s="29" t="s">
        <v>3526</v>
      </c>
      <c r="Q511" s="29" t="s">
        <v>1623</v>
      </c>
      <c r="R511" s="29" t="s">
        <v>3527</v>
      </c>
      <c r="S511" s="29" t="s">
        <v>3328</v>
      </c>
      <c r="T511" s="29" t="s">
        <v>3552</v>
      </c>
      <c r="U511" s="29" t="s">
        <v>1033</v>
      </c>
      <c r="V511" s="29" t="s">
        <v>1288</v>
      </c>
      <c r="W511" s="35" t="s">
        <v>1628</v>
      </c>
      <c r="X511" s="35" t="s">
        <v>2399</v>
      </c>
      <c r="Y511" s="35" t="s">
        <v>1630</v>
      </c>
      <c r="Z511" s="35" t="s">
        <v>3330</v>
      </c>
      <c r="AA511" s="35" t="s">
        <v>2633</v>
      </c>
      <c r="AB511" s="29" t="s">
        <v>3331</v>
      </c>
      <c r="AC511" s="35" t="s">
        <v>1633</v>
      </c>
      <c r="AD511" s="35" t="s">
        <v>2642</v>
      </c>
      <c r="AE511" s="35" t="s">
        <v>2642</v>
      </c>
      <c r="AF511" s="35" t="s">
        <v>1635</v>
      </c>
      <c r="AG511" s="35" t="s">
        <v>1728</v>
      </c>
      <c r="AI511" s="35"/>
      <c r="AJ511" s="35" t="s">
        <v>1637</v>
      </c>
      <c r="AK511" s="35" t="s">
        <v>1672</v>
      </c>
      <c r="AL511" s="29" t="s">
        <v>3087</v>
      </c>
      <c r="AM511" s="35"/>
      <c r="AN511" s="35"/>
      <c r="AO511" s="35"/>
      <c r="AP511" s="35"/>
      <c r="AQ511" s="35"/>
      <c r="AS511" s="35"/>
      <c r="AU511" s="35"/>
      <c r="AW511" s="35"/>
      <c r="AY511" s="35"/>
      <c r="AZ511" s="35"/>
      <c r="BA511" s="35"/>
      <c r="BB511" s="29" t="s">
        <v>2003</v>
      </c>
      <c r="BC511" s="29" t="s">
        <v>2347</v>
      </c>
      <c r="BD511" s="29" t="s">
        <v>2635</v>
      </c>
      <c r="BE511" s="29" t="s">
        <v>1805</v>
      </c>
      <c r="BF511" s="29" t="s">
        <v>1931</v>
      </c>
      <c r="BG511" s="29" t="s">
        <v>3553</v>
      </c>
      <c r="BH511" s="29" t="s">
        <v>3529</v>
      </c>
      <c r="BI511" s="35"/>
      <c r="BJ511" s="35"/>
      <c r="BK511" s="29" t="str" cm="1">
        <f t="array" ref="BK511">_xlfn.UNIQUE(MID(BB511,16,14))</f>
        <v>U012UNA01UH100</v>
      </c>
    </row>
    <row r="512" spans="1:63" x14ac:dyDescent="0.3">
      <c r="A512" s="29" t="s">
        <v>3524</v>
      </c>
      <c r="B512" s="36" t="str">
        <f t="shared" si="35"/>
        <v>G01NHE01BQ001-EQ01</v>
      </c>
      <c r="C512" s="33" t="s">
        <v>3554</v>
      </c>
      <c r="D512" s="34" t="str">
        <f t="shared" si="36"/>
        <v>ELY1 O2 TRT QUAL GAS COOL CHECK CMD</v>
      </c>
      <c r="E512" s="31">
        <f t="shared" si="37"/>
        <v>35</v>
      </c>
      <c r="F512" s="32" t="str">
        <f t="shared" si="38"/>
        <v>ELECTROLYSIS SYSTEM ELECTROLYSIS ARRAY 1 O2 TREATMENT O2 TREATMENT SYSTEM QUALITY MEASURING SYSTEMS H2 IN O2 MEASURING SYSTEM GAS COOLER O2 CHECK COMMAND</v>
      </c>
      <c r="G512" s="29" t="s">
        <v>1614</v>
      </c>
      <c r="H512" s="29" t="s">
        <v>1615</v>
      </c>
      <c r="I512" s="29" t="str">
        <f t="shared" si="39"/>
        <v>01</v>
      </c>
      <c r="J512" s="29" t="s">
        <v>1616</v>
      </c>
      <c r="K512" s="29" t="s">
        <v>2395</v>
      </c>
      <c r="L512" s="29" t="s">
        <v>2396</v>
      </c>
      <c r="M512" s="29" t="s">
        <v>1619</v>
      </c>
      <c r="N512" s="29" t="s">
        <v>2397</v>
      </c>
      <c r="O512" s="29" t="s">
        <v>1621</v>
      </c>
      <c r="P512" s="29" t="s">
        <v>3526</v>
      </c>
      <c r="Q512" s="29" t="s">
        <v>1623</v>
      </c>
      <c r="R512" s="29" t="s">
        <v>3527</v>
      </c>
      <c r="S512" s="29" t="s">
        <v>3328</v>
      </c>
      <c r="T512" s="29" t="s">
        <v>3552</v>
      </c>
      <c r="U512" s="29" t="s">
        <v>1105</v>
      </c>
      <c r="V512" s="29" t="s">
        <v>1107</v>
      </c>
      <c r="W512" s="35" t="s">
        <v>1628</v>
      </c>
      <c r="X512" s="35" t="s">
        <v>2399</v>
      </c>
      <c r="Y512" s="35" t="s">
        <v>1630</v>
      </c>
      <c r="Z512" s="35" t="s">
        <v>3330</v>
      </c>
      <c r="AA512" s="35" t="s">
        <v>2697</v>
      </c>
      <c r="AC512" s="35" t="s">
        <v>1633</v>
      </c>
      <c r="AD512" s="35" t="s">
        <v>1634</v>
      </c>
      <c r="AE512" s="35" t="s">
        <v>1634</v>
      </c>
      <c r="AF512" s="35" t="s">
        <v>1635</v>
      </c>
      <c r="AG512" s="35" t="s">
        <v>1636</v>
      </c>
      <c r="AI512" s="35"/>
      <c r="AJ512" s="35" t="s">
        <v>1637</v>
      </c>
      <c r="AK512" s="35" t="s">
        <v>1672</v>
      </c>
      <c r="AL512" s="29" t="s">
        <v>1729</v>
      </c>
      <c r="AM512" s="35"/>
      <c r="AN512" s="35"/>
      <c r="AO512" s="35"/>
      <c r="AP512" s="35"/>
      <c r="AQ512" s="35"/>
      <c r="AS512" s="35"/>
      <c r="AU512" s="35"/>
      <c r="AW512" s="35"/>
      <c r="AY512" s="35"/>
      <c r="AZ512" s="35"/>
      <c r="BA512" s="35"/>
      <c r="BB512" s="29" t="s">
        <v>2003</v>
      </c>
      <c r="BC512" s="29" t="s">
        <v>2347</v>
      </c>
      <c r="BD512" s="29" t="s">
        <v>3334</v>
      </c>
      <c r="BE512" s="29" t="s">
        <v>1805</v>
      </c>
      <c r="BF512" s="29" t="s">
        <v>1922</v>
      </c>
      <c r="BG512" s="29" t="s">
        <v>3555</v>
      </c>
      <c r="BH512" s="29" t="s">
        <v>3529</v>
      </c>
      <c r="BI512" s="35"/>
      <c r="BJ512" s="35"/>
      <c r="BK512" s="29" t="str" cm="1">
        <f t="array" ref="BK512">_xlfn.UNIQUE(MID(BB512,16,14))</f>
        <v>U012UNA01UH100</v>
      </c>
    </row>
    <row r="513" spans="1:63" hidden="1" x14ac:dyDescent="0.3">
      <c r="A513" s="29" t="s">
        <v>3524</v>
      </c>
      <c r="B513" s="36" t="str">
        <f t="shared" si="35"/>
        <v>G01NHE01BQ001-EQ01</v>
      </c>
      <c r="C513" s="33" t="s">
        <v>3556</v>
      </c>
      <c r="D513" s="34" t="str">
        <f t="shared" si="36"/>
        <v>ELY1 O2 TRT QUAL GAS COOL CMD ON/OP</v>
      </c>
      <c r="E513" s="31">
        <f t="shared" si="37"/>
        <v>35</v>
      </c>
      <c r="F513" s="32" t="str">
        <f t="shared" si="38"/>
        <v>ELECTROLYSIS SYSTEM ELECTROLYSIS ARRAY 1 O2 TREATMENT O2 TREATMENT SYSTEM QUALITY MEASURING SYSTEMS H2 IN O2 MEASURING SYSTEM GAS COOLER O2 MANUAL COMMAND ON/OPEN</v>
      </c>
      <c r="G513" s="29" t="s">
        <v>1614</v>
      </c>
      <c r="H513" s="29" t="s">
        <v>1615</v>
      </c>
      <c r="I513" s="29" t="str">
        <f t="shared" si="39"/>
        <v>01</v>
      </c>
      <c r="J513" s="29" t="s">
        <v>1616</v>
      </c>
      <c r="K513" s="29" t="s">
        <v>2395</v>
      </c>
      <c r="L513" s="29" t="s">
        <v>2396</v>
      </c>
      <c r="M513" s="29" t="s">
        <v>1619</v>
      </c>
      <c r="N513" s="29" t="s">
        <v>2397</v>
      </c>
      <c r="O513" s="29" t="s">
        <v>1621</v>
      </c>
      <c r="P513" s="29" t="s">
        <v>3526</v>
      </c>
      <c r="Q513" s="29" t="s">
        <v>1623</v>
      </c>
      <c r="R513" s="29" t="s">
        <v>3527</v>
      </c>
      <c r="S513" s="29" t="s">
        <v>3328</v>
      </c>
      <c r="T513" s="29" t="s">
        <v>3552</v>
      </c>
      <c r="U513" s="29" t="s">
        <v>3337</v>
      </c>
      <c r="V513" s="29" t="s">
        <v>3338</v>
      </c>
      <c r="W513" s="35" t="s">
        <v>1628</v>
      </c>
      <c r="X513" s="35" t="s">
        <v>2399</v>
      </c>
      <c r="Y513" s="35" t="s">
        <v>1630</v>
      </c>
      <c r="Z513" s="35" t="s">
        <v>3330</v>
      </c>
      <c r="AA513" s="35" t="s">
        <v>3339</v>
      </c>
      <c r="AB513" s="29" t="s">
        <v>2653</v>
      </c>
      <c r="AC513" s="35" t="s">
        <v>1633</v>
      </c>
      <c r="AD513" s="35" t="s">
        <v>2642</v>
      </c>
      <c r="AE513" s="35" t="s">
        <v>2642</v>
      </c>
      <c r="AF513" s="35" t="s">
        <v>1635</v>
      </c>
      <c r="AG513" s="35" t="s">
        <v>1728</v>
      </c>
      <c r="AI513" s="35"/>
      <c r="AJ513" s="35" t="s">
        <v>3340</v>
      </c>
      <c r="AK513" s="35" t="s">
        <v>1672</v>
      </c>
      <c r="AL513" s="29" t="s">
        <v>1729</v>
      </c>
      <c r="AM513" s="35"/>
      <c r="AN513" s="35"/>
      <c r="AO513" s="35"/>
      <c r="AP513" s="35"/>
      <c r="AQ513" s="35"/>
      <c r="AS513" s="35"/>
      <c r="AU513" s="35"/>
      <c r="AW513" s="35"/>
      <c r="AY513" s="35"/>
      <c r="AZ513" s="35"/>
      <c r="BA513" s="35"/>
      <c r="BB513" s="29" t="s">
        <v>3341</v>
      </c>
      <c r="BC513" s="29" t="s">
        <v>3342</v>
      </c>
      <c r="BD513" s="29" t="s">
        <v>3343</v>
      </c>
      <c r="BE513" s="29" t="s">
        <v>1805</v>
      </c>
      <c r="BF513" s="29" t="s">
        <v>2341</v>
      </c>
      <c r="BG513" s="29" t="s">
        <v>3555</v>
      </c>
      <c r="BH513" s="29" t="s">
        <v>3529</v>
      </c>
      <c r="BI513" s="35"/>
      <c r="BJ513" s="35"/>
      <c r="BK513" s="29" t="str" cm="1">
        <f t="array" ref="BK513">_xlfn.UNIQUE(MID(BB513,16,14))</f>
        <v>U012UNA01UH100</v>
      </c>
    </row>
    <row r="514" spans="1:63" x14ac:dyDescent="0.3">
      <c r="A514" s="29" t="s">
        <v>3524</v>
      </c>
      <c r="B514" s="36" t="str">
        <f t="shared" ref="B514:B577" si="40">RIGHT(A514,LEN(A514)-1)&amp;S514</f>
        <v>G01NHE01BQ001-FC01</v>
      </c>
      <c r="C514" s="33" t="s">
        <v>3557</v>
      </c>
      <c r="D514" s="34" t="str">
        <f t="shared" ref="D514:D577" si="41">UPPER(W514&amp;" "&amp;X514&amp;" "&amp;Y514&amp;" "&amp;Z514&amp;" "&amp;AA514)</f>
        <v>ELY1 O2 TRT QUAL 24V MON1 GRP FLT</v>
      </c>
      <c r="E514" s="31">
        <f t="shared" ref="E514:E577" si="42">LEN(D514)</f>
        <v>33</v>
      </c>
      <c r="F514" s="32" t="str">
        <f t="shared" ref="F514:F577" si="43">UPPER(H514&amp;" "&amp;J514&amp;" "&amp;L514&amp;" "&amp;N514&amp;" "&amp;P514&amp;" "&amp;R514&amp;" "&amp;T514&amp;" "&amp;V514)</f>
        <v>ELECTROLYSIS SYSTEM ELECTROLYSIS ARRAY 1 O2 TREATMENT O2 TREATMENT SYSTEM QUALITY MEASURING SYSTEMS H2 IN O2 MEASURING SYSTEM GENERAL FEEDBACK - POWER SUPPLY GROUP FAULT ALARM</v>
      </c>
      <c r="G514" s="29" t="s">
        <v>1614</v>
      </c>
      <c r="H514" s="29" t="s">
        <v>1615</v>
      </c>
      <c r="I514" s="29" t="str">
        <f t="shared" ref="I514:I577" si="44">RIGHT(LEFT(A514,4),2)</f>
        <v>01</v>
      </c>
      <c r="J514" s="29" t="s">
        <v>1616</v>
      </c>
      <c r="K514" s="29" t="s">
        <v>2395</v>
      </c>
      <c r="L514" s="29" t="s">
        <v>2396</v>
      </c>
      <c r="M514" s="29" t="s">
        <v>1619</v>
      </c>
      <c r="N514" s="29" t="s">
        <v>2397</v>
      </c>
      <c r="O514" s="29" t="s">
        <v>1621</v>
      </c>
      <c r="P514" s="29" t="s">
        <v>3526</v>
      </c>
      <c r="Q514" s="29" t="s">
        <v>1623</v>
      </c>
      <c r="R514" s="29" t="s">
        <v>3527</v>
      </c>
      <c r="S514" s="29" t="s">
        <v>2657</v>
      </c>
      <c r="T514" s="29" t="s">
        <v>3345</v>
      </c>
      <c r="U514" s="29" t="s">
        <v>1033</v>
      </c>
      <c r="V514" s="29" t="s">
        <v>1288</v>
      </c>
      <c r="W514" s="35" t="s">
        <v>1628</v>
      </c>
      <c r="X514" s="35" t="s">
        <v>2399</v>
      </c>
      <c r="Y514" s="35" t="s">
        <v>1630</v>
      </c>
      <c r="Z514" s="35" t="s">
        <v>2659</v>
      </c>
      <c r="AA514" s="35" t="s">
        <v>2633</v>
      </c>
      <c r="AB514" s="29" t="s">
        <v>2653</v>
      </c>
      <c r="AC514" s="35" t="s">
        <v>1633</v>
      </c>
      <c r="AD514" s="35" t="s">
        <v>2642</v>
      </c>
      <c r="AE514" s="35" t="s">
        <v>2642</v>
      </c>
      <c r="AF514" s="35" t="s">
        <v>1635</v>
      </c>
      <c r="AG514" s="35" t="s">
        <v>1728</v>
      </c>
      <c r="AI514" s="35"/>
      <c r="AJ514" s="35" t="s">
        <v>1637</v>
      </c>
      <c r="AK514" s="35" t="s">
        <v>1672</v>
      </c>
      <c r="AL514" s="29" t="s">
        <v>3087</v>
      </c>
      <c r="AM514" s="35"/>
      <c r="AN514" s="35"/>
      <c r="AO514" s="35"/>
      <c r="AP514" s="35"/>
      <c r="AQ514" s="35"/>
      <c r="AS514" s="35"/>
      <c r="AU514" s="35"/>
      <c r="AW514" s="35"/>
      <c r="AY514" s="35"/>
      <c r="AZ514" s="35"/>
      <c r="BA514" s="35"/>
      <c r="BB514" s="29" t="s">
        <v>2003</v>
      </c>
      <c r="BC514" s="29" t="s">
        <v>2347</v>
      </c>
      <c r="BD514" s="29" t="s">
        <v>2635</v>
      </c>
      <c r="BE514" s="29" t="s">
        <v>1805</v>
      </c>
      <c r="BF514" s="29" t="s">
        <v>1936</v>
      </c>
      <c r="BG514" s="29" t="s">
        <v>3558</v>
      </c>
      <c r="BI514" s="35"/>
      <c r="BJ514" s="35"/>
      <c r="BK514" s="29" t="str" cm="1">
        <f t="array" ref="BK514">_xlfn.UNIQUE(MID(BB514,16,14))</f>
        <v>U012UNA01UH100</v>
      </c>
    </row>
    <row r="515" spans="1:63" x14ac:dyDescent="0.3">
      <c r="A515" s="29" t="s">
        <v>3524</v>
      </c>
      <c r="B515" s="36" t="str">
        <f t="shared" si="40"/>
        <v>G01NHE01BQ001-GP01</v>
      </c>
      <c r="C515" s="33" t="s">
        <v>3559</v>
      </c>
      <c r="D515" s="34" t="str">
        <f t="shared" si="41"/>
        <v>ELY1 O2 TRT QUAL PMP1 CHECK CMD</v>
      </c>
      <c r="E515" s="31">
        <f t="shared" si="42"/>
        <v>31</v>
      </c>
      <c r="F515" s="32" t="str">
        <f t="shared" si="43"/>
        <v>ELECTROLYSIS SYSTEM ELECTROLYSIS ARRAY 1 O2 TREATMENT O2 TREATMENT SYSTEM QUALITY MEASURING SYSTEMS H2 IN O2 MEASURING SYSTEM GAS ANALYTIC PUMP, O2 CHECK COMMAND</v>
      </c>
      <c r="G515" s="29" t="s">
        <v>1614</v>
      </c>
      <c r="H515" s="29" t="s">
        <v>1615</v>
      </c>
      <c r="I515" s="29" t="str">
        <f t="shared" si="44"/>
        <v>01</v>
      </c>
      <c r="J515" s="29" t="s">
        <v>1616</v>
      </c>
      <c r="K515" s="29" t="s">
        <v>2395</v>
      </c>
      <c r="L515" s="29" t="s">
        <v>2396</v>
      </c>
      <c r="M515" s="29" t="s">
        <v>1619</v>
      </c>
      <c r="N515" s="29" t="s">
        <v>2397</v>
      </c>
      <c r="O515" s="29" t="s">
        <v>1621</v>
      </c>
      <c r="P515" s="29" t="s">
        <v>3526</v>
      </c>
      <c r="Q515" s="29" t="s">
        <v>1623</v>
      </c>
      <c r="R515" s="29" t="s">
        <v>3527</v>
      </c>
      <c r="S515" s="29" t="s">
        <v>2695</v>
      </c>
      <c r="T515" s="29" t="s">
        <v>3560</v>
      </c>
      <c r="U515" s="29" t="s">
        <v>1105</v>
      </c>
      <c r="V515" s="29" t="s">
        <v>1107</v>
      </c>
      <c r="W515" s="35" t="s">
        <v>1628</v>
      </c>
      <c r="X515" s="35" t="s">
        <v>2399</v>
      </c>
      <c r="Y515" s="35" t="s">
        <v>1630</v>
      </c>
      <c r="Z515" s="35" t="s">
        <v>1683</v>
      </c>
      <c r="AA515" s="35" t="s">
        <v>2697</v>
      </c>
      <c r="AB515" s="29" t="s">
        <v>2653</v>
      </c>
      <c r="AC515" s="35" t="s">
        <v>1633</v>
      </c>
      <c r="AD515" s="35" t="s">
        <v>1634</v>
      </c>
      <c r="AE515" s="35" t="s">
        <v>1634</v>
      </c>
      <c r="AF515" s="35" t="s">
        <v>1635</v>
      </c>
      <c r="AG515" s="35" t="s">
        <v>1636</v>
      </c>
      <c r="AI515" s="35"/>
      <c r="AJ515" s="35" t="s">
        <v>1637</v>
      </c>
      <c r="AK515" s="35" t="s">
        <v>1672</v>
      </c>
      <c r="AL515" s="29" t="s">
        <v>1729</v>
      </c>
      <c r="AM515" s="35"/>
      <c r="AN515" s="35"/>
      <c r="AO515" s="35"/>
      <c r="AP515" s="35"/>
      <c r="AQ515" s="35"/>
      <c r="AS515" s="35"/>
      <c r="AU515" s="35"/>
      <c r="AW515" s="35"/>
      <c r="AY515" s="35"/>
      <c r="AZ515" s="35"/>
      <c r="BA515" s="35"/>
      <c r="BB515" s="29" t="s">
        <v>2003</v>
      </c>
      <c r="BC515" s="29" t="s">
        <v>2347</v>
      </c>
      <c r="BD515" s="29" t="s">
        <v>3334</v>
      </c>
      <c r="BE515" s="29" t="s">
        <v>1805</v>
      </c>
      <c r="BF515" s="29" t="s">
        <v>2035</v>
      </c>
      <c r="BG515" s="29" t="s">
        <v>3561</v>
      </c>
      <c r="BH515" s="29" t="s">
        <v>3529</v>
      </c>
      <c r="BI515" s="35"/>
      <c r="BJ515" s="35"/>
      <c r="BK515" s="29" t="str" cm="1">
        <f t="array" ref="BK515">_xlfn.UNIQUE(MID(BB515,16,14))</f>
        <v>U012UNA01UH100</v>
      </c>
    </row>
    <row r="516" spans="1:63" hidden="1" x14ac:dyDescent="0.3">
      <c r="A516" s="29" t="s">
        <v>3524</v>
      </c>
      <c r="B516" s="36" t="str">
        <f t="shared" si="40"/>
        <v>G01NHE01BQ001-GP01</v>
      </c>
      <c r="C516" s="33" t="s">
        <v>3562</v>
      </c>
      <c r="D516" s="34" t="str">
        <f t="shared" si="41"/>
        <v>ELY1 O2 TRT QUAL PMP1 CMD ON/OP</v>
      </c>
      <c r="E516" s="31">
        <f t="shared" si="42"/>
        <v>31</v>
      </c>
      <c r="F516" s="32" t="str">
        <f t="shared" si="43"/>
        <v>ELECTROLYSIS SYSTEM ELECTROLYSIS ARRAY 1 O2 TREATMENT O2 TREATMENT SYSTEM QUALITY MEASURING SYSTEMS H2 IN O2 MEASURING SYSTEM GAS ANALYTIC PUMP, O2 MANUAL COMMAND ON/OPEN</v>
      </c>
      <c r="G516" s="29" t="s">
        <v>1614</v>
      </c>
      <c r="H516" s="29" t="s">
        <v>1615</v>
      </c>
      <c r="I516" s="29" t="str">
        <f t="shared" si="44"/>
        <v>01</v>
      </c>
      <c r="J516" s="29" t="s">
        <v>1616</v>
      </c>
      <c r="K516" s="29" t="s">
        <v>2395</v>
      </c>
      <c r="L516" s="29" t="s">
        <v>2396</v>
      </c>
      <c r="M516" s="29" t="s">
        <v>1619</v>
      </c>
      <c r="N516" s="29" t="s">
        <v>2397</v>
      </c>
      <c r="O516" s="29" t="s">
        <v>1621</v>
      </c>
      <c r="P516" s="29" t="s">
        <v>3526</v>
      </c>
      <c r="Q516" s="29" t="s">
        <v>1623</v>
      </c>
      <c r="R516" s="29" t="s">
        <v>3527</v>
      </c>
      <c r="S516" s="29" t="s">
        <v>2695</v>
      </c>
      <c r="T516" s="29" t="s">
        <v>3560</v>
      </c>
      <c r="U516" s="29" t="s">
        <v>3337</v>
      </c>
      <c r="V516" s="29" t="s">
        <v>3338</v>
      </c>
      <c r="W516" s="35" t="s">
        <v>1628</v>
      </c>
      <c r="X516" s="35" t="s">
        <v>2399</v>
      </c>
      <c r="Y516" s="35" t="s">
        <v>1630</v>
      </c>
      <c r="Z516" s="35" t="s">
        <v>1683</v>
      </c>
      <c r="AA516" s="35" t="s">
        <v>3339</v>
      </c>
      <c r="AB516" s="29" t="s">
        <v>2653</v>
      </c>
      <c r="AC516" s="35" t="s">
        <v>1633</v>
      </c>
      <c r="AD516" s="35" t="s">
        <v>1634</v>
      </c>
      <c r="AE516" s="35" t="s">
        <v>1634</v>
      </c>
      <c r="AF516" s="35" t="s">
        <v>1635</v>
      </c>
      <c r="AG516" s="35" t="s">
        <v>1636</v>
      </c>
      <c r="AI516" s="35"/>
      <c r="AJ516" s="35" t="s">
        <v>3340</v>
      </c>
      <c r="AK516" s="35" t="s">
        <v>1672</v>
      </c>
      <c r="AL516" s="29" t="s">
        <v>1729</v>
      </c>
      <c r="AM516" s="35"/>
      <c r="AN516" s="35"/>
      <c r="AO516" s="35"/>
      <c r="AP516" s="35"/>
      <c r="AQ516" s="35"/>
      <c r="AS516" s="35"/>
      <c r="AU516" s="35"/>
      <c r="AW516" s="35"/>
      <c r="AY516" s="35"/>
      <c r="AZ516" s="35"/>
      <c r="BA516" s="35"/>
      <c r="BB516" s="29" t="s">
        <v>3341</v>
      </c>
      <c r="BC516" s="29" t="s">
        <v>3342</v>
      </c>
      <c r="BD516" s="29" t="s">
        <v>3343</v>
      </c>
      <c r="BE516" s="29" t="s">
        <v>1805</v>
      </c>
      <c r="BF516" s="29" t="s">
        <v>2016</v>
      </c>
      <c r="BG516" s="29" t="s">
        <v>3561</v>
      </c>
      <c r="BH516" s="29" t="s">
        <v>3529</v>
      </c>
      <c r="BI516" s="35"/>
      <c r="BJ516" s="35"/>
      <c r="BK516" s="29" t="str" cm="1">
        <f t="array" ref="BK516">_xlfn.UNIQUE(MID(BB516,16,14))</f>
        <v>U012UNA01UH100</v>
      </c>
    </row>
    <row r="517" spans="1:63" x14ac:dyDescent="0.3">
      <c r="A517" s="29" t="s">
        <v>3524</v>
      </c>
      <c r="B517" s="36" t="str">
        <f t="shared" si="40"/>
        <v>G01NHE01BQ001-QM11</v>
      </c>
      <c r="C517" s="33" t="s">
        <v>3563</v>
      </c>
      <c r="D517" s="34" t="str">
        <f t="shared" si="41"/>
        <v>ELY1 O2 TRT QUAL SV11 CB ON/OPN</v>
      </c>
      <c r="E517" s="31">
        <f t="shared" si="42"/>
        <v>31</v>
      </c>
      <c r="F517" s="32" t="str">
        <f t="shared" si="43"/>
        <v>ELECTROLYSIS SYSTEM ELECTROLYSIS ARRAY 1 O2 TREATMENT O2 TREATMENT SYSTEM QUALITY MEASURING SYSTEMS H2 IN O2 MEASURING SYSTEM SOLENOID VALVE CHECK BACK ON/OPEN</v>
      </c>
      <c r="G517" s="29" t="s">
        <v>1614</v>
      </c>
      <c r="H517" s="29" t="s">
        <v>1615</v>
      </c>
      <c r="I517" s="29" t="str">
        <f t="shared" si="44"/>
        <v>01</v>
      </c>
      <c r="J517" s="29" t="s">
        <v>1616</v>
      </c>
      <c r="K517" s="29" t="s">
        <v>2395</v>
      </c>
      <c r="L517" s="29" t="s">
        <v>2396</v>
      </c>
      <c r="M517" s="29" t="s">
        <v>1619</v>
      </c>
      <c r="N517" s="29" t="s">
        <v>2397</v>
      </c>
      <c r="O517" s="29" t="s">
        <v>1621</v>
      </c>
      <c r="P517" s="29" t="s">
        <v>3526</v>
      </c>
      <c r="Q517" s="29" t="s">
        <v>1623</v>
      </c>
      <c r="R517" s="29" t="s">
        <v>3527</v>
      </c>
      <c r="S517" s="29" t="s">
        <v>2637</v>
      </c>
      <c r="T517" s="29" t="s">
        <v>3352</v>
      </c>
      <c r="U517" s="29" t="s">
        <v>790</v>
      </c>
      <c r="V517" s="29" t="s">
        <v>2639</v>
      </c>
      <c r="W517" s="35" t="s">
        <v>1628</v>
      </c>
      <c r="X517" s="35" t="s">
        <v>2399</v>
      </c>
      <c r="Y517" s="35" t="s">
        <v>1630</v>
      </c>
      <c r="Z517" s="35" t="s">
        <v>2640</v>
      </c>
      <c r="AA517" s="35" t="s">
        <v>2641</v>
      </c>
      <c r="AB517" s="29" t="s">
        <v>3353</v>
      </c>
      <c r="AC517" s="35" t="s">
        <v>1633</v>
      </c>
      <c r="AD517" s="35" t="s">
        <v>1634</v>
      </c>
      <c r="AE517" s="35" t="s">
        <v>1634</v>
      </c>
      <c r="AF517" s="35" t="s">
        <v>1635</v>
      </c>
      <c r="AG517" s="35" t="s">
        <v>1636</v>
      </c>
      <c r="AI517" s="35"/>
      <c r="AJ517" s="35" t="s">
        <v>1637</v>
      </c>
      <c r="AK517" s="35" t="s">
        <v>1638</v>
      </c>
      <c r="AL517" s="29" t="s">
        <v>2866</v>
      </c>
      <c r="AM517" s="35"/>
      <c r="AN517" s="35"/>
      <c r="AO517" s="35"/>
      <c r="AP517" s="35"/>
      <c r="AQ517" s="35"/>
      <c r="AS517" s="35"/>
      <c r="AU517" s="35"/>
      <c r="AW517" s="35"/>
      <c r="AY517" s="35"/>
      <c r="AZ517" s="35" t="s">
        <v>1642</v>
      </c>
      <c r="BA517" s="35" t="s">
        <v>2002</v>
      </c>
      <c r="BB517" s="29" t="s">
        <v>1643</v>
      </c>
      <c r="BC517" s="29" t="s">
        <v>1644</v>
      </c>
      <c r="BD517" s="29" t="s">
        <v>3354</v>
      </c>
      <c r="BE517" s="29" t="s">
        <v>3355</v>
      </c>
      <c r="BF517" s="29" t="s">
        <v>2048</v>
      </c>
      <c r="BG517" s="29" t="s">
        <v>3564</v>
      </c>
      <c r="BH517" s="29" t="s">
        <v>3529</v>
      </c>
      <c r="BI517" s="35"/>
      <c r="BJ517" s="35"/>
      <c r="BK517" s="29" t="str" cm="1">
        <f t="array" ref="BK517">_xlfn.UNIQUE(MID(BB517,16,14))</f>
        <v>U012UNA01UH100</v>
      </c>
    </row>
    <row r="518" spans="1:63" x14ac:dyDescent="0.3">
      <c r="A518" s="29" t="s">
        <v>3524</v>
      </c>
      <c r="B518" s="36" t="str">
        <f t="shared" si="40"/>
        <v>G01NHE01BQ001-QM11</v>
      </c>
      <c r="C518" s="33" t="s">
        <v>3565</v>
      </c>
      <c r="D518" s="34" t="str">
        <f t="shared" si="41"/>
        <v>ELY1 O2 TRT QUAL SV11 CB OFF/CLD</v>
      </c>
      <c r="E518" s="31">
        <f t="shared" si="42"/>
        <v>32</v>
      </c>
      <c r="F518" s="32" t="str">
        <f t="shared" si="43"/>
        <v>ELECTROLYSIS SYSTEM ELECTROLYSIS ARRAY 1 O2 TREATMENT O2 TREATMENT SYSTEM QUALITY MEASURING SYSTEMS H2 IN O2 MEASURING SYSTEM SOLENOID VALVE CHECK BACK OFF/CLOSED</v>
      </c>
      <c r="G518" s="29" t="s">
        <v>1614</v>
      </c>
      <c r="H518" s="29" t="s">
        <v>1615</v>
      </c>
      <c r="I518" s="29" t="str">
        <f t="shared" si="44"/>
        <v>01</v>
      </c>
      <c r="J518" s="29" t="s">
        <v>1616</v>
      </c>
      <c r="K518" s="29" t="s">
        <v>2395</v>
      </c>
      <c r="L518" s="29" t="s">
        <v>2396</v>
      </c>
      <c r="M518" s="29" t="s">
        <v>1619</v>
      </c>
      <c r="N518" s="29" t="s">
        <v>2397</v>
      </c>
      <c r="O518" s="29" t="s">
        <v>1621</v>
      </c>
      <c r="P518" s="29" t="s">
        <v>3526</v>
      </c>
      <c r="Q518" s="29" t="s">
        <v>1623</v>
      </c>
      <c r="R518" s="29" t="s">
        <v>3527</v>
      </c>
      <c r="S518" s="29" t="s">
        <v>2637</v>
      </c>
      <c r="T518" s="29" t="s">
        <v>3352</v>
      </c>
      <c r="U518" s="29" t="s">
        <v>363</v>
      </c>
      <c r="V518" s="29" t="s">
        <v>2645</v>
      </c>
      <c r="W518" s="35" t="s">
        <v>1628</v>
      </c>
      <c r="X518" s="35" t="s">
        <v>2399</v>
      </c>
      <c r="Y518" s="35" t="s">
        <v>1630</v>
      </c>
      <c r="Z518" s="35" t="s">
        <v>2640</v>
      </c>
      <c r="AA518" s="35" t="s">
        <v>2646</v>
      </c>
      <c r="AB518" s="29" t="s">
        <v>2653</v>
      </c>
      <c r="AC518" s="35" t="s">
        <v>1633</v>
      </c>
      <c r="AD518" s="35" t="s">
        <v>1634</v>
      </c>
      <c r="AE518" s="35" t="s">
        <v>1634</v>
      </c>
      <c r="AF518" s="35" t="s">
        <v>1635</v>
      </c>
      <c r="AG518" s="35" t="s">
        <v>1636</v>
      </c>
      <c r="AI518" s="35"/>
      <c r="AJ518" s="35" t="s">
        <v>1637</v>
      </c>
      <c r="AK518" s="35" t="s">
        <v>1638</v>
      </c>
      <c r="AL518" s="29" t="s">
        <v>2866</v>
      </c>
      <c r="AM518" s="35"/>
      <c r="AN518" s="35"/>
      <c r="AO518" s="35"/>
      <c r="AP518" s="35"/>
      <c r="AQ518" s="35"/>
      <c r="AS518" s="35"/>
      <c r="AU518" s="35"/>
      <c r="AW518" s="35"/>
      <c r="AY518" s="35"/>
      <c r="AZ518" s="35" t="s">
        <v>1642</v>
      </c>
      <c r="BA518" s="35" t="s">
        <v>2002</v>
      </c>
      <c r="BB518" s="29" t="s">
        <v>1643</v>
      </c>
      <c r="BC518" s="29" t="s">
        <v>1644</v>
      </c>
      <c r="BD518" s="29" t="s">
        <v>3566</v>
      </c>
      <c r="BE518" s="29" t="s">
        <v>3567</v>
      </c>
      <c r="BF518" s="29" t="s">
        <v>3568</v>
      </c>
      <c r="BG518" s="29" t="s">
        <v>3564</v>
      </c>
      <c r="BH518" s="29" t="s">
        <v>3529</v>
      </c>
      <c r="BI518" s="35"/>
      <c r="BJ518" s="35"/>
      <c r="BK518" s="29" t="str" cm="1">
        <f t="array" ref="BK518">_xlfn.UNIQUE(MID(BB518,16,14))</f>
        <v>U012UNA01UH100</v>
      </c>
    </row>
    <row r="519" spans="1:63" hidden="1" x14ac:dyDescent="0.3">
      <c r="A519" s="29" t="s">
        <v>3524</v>
      </c>
      <c r="B519" s="36" t="str">
        <f t="shared" si="40"/>
        <v>G01NHE01BQ001-QM11</v>
      </c>
      <c r="C519" s="33" t="s">
        <v>3569</v>
      </c>
      <c r="D519" s="34" t="str">
        <f t="shared" si="41"/>
        <v>ELY1 O2 TRT QUAL SV11 CMD ON/OP</v>
      </c>
      <c r="E519" s="31">
        <f t="shared" si="42"/>
        <v>31</v>
      </c>
      <c r="F519" s="32" t="str">
        <f t="shared" si="43"/>
        <v>ELECTROLYSIS SYSTEM ELECTROLYSIS ARRAY 1 O2 TREATMENT O2 TREATMENT SYSTEM QUALITY MEASURING SYSTEMS H2 IN O2 MEASURING SYSTEM SOLENOID VALVE MANUAL COMMAND ON/OPEN</v>
      </c>
      <c r="G519" s="29" t="s">
        <v>1614</v>
      </c>
      <c r="H519" s="29" t="s">
        <v>1615</v>
      </c>
      <c r="I519" s="29" t="str">
        <f t="shared" si="44"/>
        <v>01</v>
      </c>
      <c r="J519" s="29" t="s">
        <v>1616</v>
      </c>
      <c r="K519" s="29" t="s">
        <v>2395</v>
      </c>
      <c r="L519" s="29" t="s">
        <v>2396</v>
      </c>
      <c r="M519" s="29" t="s">
        <v>1619</v>
      </c>
      <c r="N519" s="29" t="s">
        <v>2397</v>
      </c>
      <c r="O519" s="29" t="s">
        <v>1621</v>
      </c>
      <c r="P519" s="29" t="s">
        <v>3526</v>
      </c>
      <c r="Q519" s="29" t="s">
        <v>1623</v>
      </c>
      <c r="R519" s="29" t="s">
        <v>3527</v>
      </c>
      <c r="S519" s="29" t="s">
        <v>2637</v>
      </c>
      <c r="T519" s="29" t="s">
        <v>3352</v>
      </c>
      <c r="U519" s="29" t="s">
        <v>3337</v>
      </c>
      <c r="V519" s="29" t="s">
        <v>3338</v>
      </c>
      <c r="W519" s="35" t="s">
        <v>1628</v>
      </c>
      <c r="X519" s="35" t="s">
        <v>2399</v>
      </c>
      <c r="Y519" s="35" t="s">
        <v>1630</v>
      </c>
      <c r="Z519" s="35" t="s">
        <v>2640</v>
      </c>
      <c r="AA519" s="35" t="s">
        <v>3339</v>
      </c>
      <c r="AB519" s="29" t="s">
        <v>3361</v>
      </c>
      <c r="AC519" s="35" t="s">
        <v>1633</v>
      </c>
      <c r="AD519" s="35" t="s">
        <v>1634</v>
      </c>
      <c r="AE519" s="35" t="s">
        <v>1634</v>
      </c>
      <c r="AF519" s="35" t="s">
        <v>1635</v>
      </c>
      <c r="AG519" s="35" t="s">
        <v>2634</v>
      </c>
      <c r="AI519" s="35"/>
      <c r="AJ519" s="35" t="s">
        <v>3340</v>
      </c>
      <c r="AK519" s="35" t="s">
        <v>1672</v>
      </c>
      <c r="AL519" s="29" t="s">
        <v>3362</v>
      </c>
      <c r="AM519" s="35"/>
      <c r="AN519" s="35"/>
      <c r="AO519" s="35"/>
      <c r="AP519" s="35"/>
      <c r="AQ519" s="35"/>
      <c r="AS519" s="35"/>
      <c r="AU519" s="35"/>
      <c r="AW519" s="35"/>
      <c r="AY519" s="35"/>
      <c r="AZ519" s="35"/>
      <c r="BA519" s="35" t="s">
        <v>3139</v>
      </c>
      <c r="BB519" s="29" t="s">
        <v>3341</v>
      </c>
      <c r="BC519" s="29" t="s">
        <v>3342</v>
      </c>
      <c r="BD519" s="29" t="s">
        <v>3363</v>
      </c>
      <c r="BE519" s="29" t="s">
        <v>1805</v>
      </c>
      <c r="BF519" s="29" t="s">
        <v>2388</v>
      </c>
      <c r="BG519" s="29" t="s">
        <v>3570</v>
      </c>
      <c r="BH519" s="29" t="s">
        <v>3529</v>
      </c>
      <c r="BI519" s="35"/>
      <c r="BJ519" s="35"/>
      <c r="BK519" s="29" t="str" cm="1">
        <f t="array" ref="BK519">_xlfn.UNIQUE(MID(BB519,16,14))</f>
        <v>U012UNA01UH100</v>
      </c>
    </row>
    <row r="520" spans="1:63" x14ac:dyDescent="0.3">
      <c r="A520" s="29" t="s">
        <v>3524</v>
      </c>
      <c r="B520" s="36" t="str">
        <f t="shared" si="40"/>
        <v>G01NHE01BQ001-QM12</v>
      </c>
      <c r="C520" s="33" t="s">
        <v>3571</v>
      </c>
      <c r="D520" s="34" t="str">
        <f t="shared" si="41"/>
        <v>ELY1 O2 TRT QUAL SV12 CB ON/OPN</v>
      </c>
      <c r="E520" s="31">
        <f t="shared" si="42"/>
        <v>31</v>
      </c>
      <c r="F520" s="32" t="str">
        <f t="shared" si="43"/>
        <v>ELECTROLYSIS SYSTEM ELECTROLYSIS ARRAY 1 O2 TREATMENT O2 TREATMENT SYSTEM QUALITY MEASURING SYSTEMS H2 IN O2 MEASURING SYSTEM SOLENOID VALVE CHECK BACK ON/OPEN</v>
      </c>
      <c r="G520" s="29" t="s">
        <v>1614</v>
      </c>
      <c r="H520" s="29" t="s">
        <v>1615</v>
      </c>
      <c r="I520" s="29" t="str">
        <f t="shared" si="44"/>
        <v>01</v>
      </c>
      <c r="J520" s="29" t="s">
        <v>1616</v>
      </c>
      <c r="K520" s="29" t="s">
        <v>2395</v>
      </c>
      <c r="L520" s="29" t="s">
        <v>2396</v>
      </c>
      <c r="M520" s="29" t="s">
        <v>1619</v>
      </c>
      <c r="N520" s="29" t="s">
        <v>2397</v>
      </c>
      <c r="O520" s="29" t="s">
        <v>1621</v>
      </c>
      <c r="P520" s="29" t="s">
        <v>3526</v>
      </c>
      <c r="Q520" s="29" t="s">
        <v>1623</v>
      </c>
      <c r="R520" s="29" t="s">
        <v>3527</v>
      </c>
      <c r="S520" s="29" t="s">
        <v>3366</v>
      </c>
      <c r="T520" s="29" t="s">
        <v>3352</v>
      </c>
      <c r="U520" s="29" t="s">
        <v>790</v>
      </c>
      <c r="V520" s="29" t="s">
        <v>2639</v>
      </c>
      <c r="W520" s="35" t="s">
        <v>1628</v>
      </c>
      <c r="X520" s="35" t="s">
        <v>2399</v>
      </c>
      <c r="Y520" s="35" t="s">
        <v>1630</v>
      </c>
      <c r="Z520" s="35" t="s">
        <v>3367</v>
      </c>
      <c r="AA520" s="35" t="s">
        <v>2641</v>
      </c>
      <c r="AB520" s="29" t="s">
        <v>3368</v>
      </c>
      <c r="AC520" s="35" t="s">
        <v>1633</v>
      </c>
      <c r="AD520" s="35" t="s">
        <v>1634</v>
      </c>
      <c r="AE520" s="35" t="s">
        <v>1634</v>
      </c>
      <c r="AF520" s="35" t="s">
        <v>1635</v>
      </c>
      <c r="AG520" s="35" t="s">
        <v>1636</v>
      </c>
      <c r="AI520" s="35"/>
      <c r="AJ520" s="35" t="s">
        <v>1637</v>
      </c>
      <c r="AK520" s="35" t="s">
        <v>1638</v>
      </c>
      <c r="AL520" s="29" t="s">
        <v>2866</v>
      </c>
      <c r="AM520" s="35"/>
      <c r="AN520" s="35"/>
      <c r="AO520" s="35"/>
      <c r="AP520" s="35"/>
      <c r="AQ520" s="35"/>
      <c r="AS520" s="35"/>
      <c r="AU520" s="35"/>
      <c r="AW520" s="35"/>
      <c r="AY520" s="35"/>
      <c r="AZ520" s="35" t="s">
        <v>1642</v>
      </c>
      <c r="BA520" s="35" t="s">
        <v>2002</v>
      </c>
      <c r="BB520" s="29" t="s">
        <v>2346</v>
      </c>
      <c r="BC520" s="29" t="s">
        <v>1644</v>
      </c>
      <c r="BD520" s="29" t="s">
        <v>3369</v>
      </c>
      <c r="BE520" s="29" t="s">
        <v>3370</v>
      </c>
      <c r="BF520" s="29" t="s">
        <v>1619</v>
      </c>
      <c r="BG520" s="29" t="s">
        <v>3572</v>
      </c>
      <c r="BH520" s="29" t="s">
        <v>3529</v>
      </c>
      <c r="BI520" s="35"/>
      <c r="BJ520" s="35"/>
      <c r="BK520" s="29" t="str" cm="1">
        <f t="array" ref="BK520">_xlfn.UNIQUE(MID(BB520,16,14))</f>
        <v>U012UNA01UH100</v>
      </c>
    </row>
    <row r="521" spans="1:63" x14ac:dyDescent="0.3">
      <c r="A521" s="29" t="s">
        <v>2409</v>
      </c>
      <c r="B521" s="36" t="str">
        <f t="shared" si="40"/>
        <v>G01NHE01GT001-FL01</v>
      </c>
      <c r="C521" s="33" t="s">
        <v>3573</v>
      </c>
      <c r="D521" s="34" t="str">
        <f t="shared" si="41"/>
        <v>ELY1 O2 TRT LEAD OFF SFTY VLV CB ON/OPN</v>
      </c>
      <c r="E521" s="31">
        <f t="shared" si="42"/>
        <v>39</v>
      </c>
      <c r="F521" s="32" t="str">
        <f t="shared" si="43"/>
        <v>ELECTROLYSIS SYSTEM ELECTROLYSIS ARRAY 1 O2 TREATMENT O2 TREATMENT SYSTEM GAS LEAD OFF SYSTEMS GAS LEAD OFF SYSTEM 1 ANGLE SAFETY VALVE CHECK BACK ON/OPEN</v>
      </c>
      <c r="G521" s="29" t="s">
        <v>1614</v>
      </c>
      <c r="H521" s="29" t="s">
        <v>1615</v>
      </c>
      <c r="I521" s="29" t="str">
        <f t="shared" si="44"/>
        <v>01</v>
      </c>
      <c r="J521" s="29" t="s">
        <v>1616</v>
      </c>
      <c r="K521" s="29" t="s">
        <v>2395</v>
      </c>
      <c r="L521" s="29" t="s">
        <v>2396</v>
      </c>
      <c r="M521" s="29" t="s">
        <v>1619</v>
      </c>
      <c r="N521" s="29" t="s">
        <v>2397</v>
      </c>
      <c r="O521" s="29" t="s">
        <v>2357</v>
      </c>
      <c r="P521" s="29" t="s">
        <v>2358</v>
      </c>
      <c r="Q521" s="29" t="s">
        <v>1623</v>
      </c>
      <c r="R521" s="29" t="s">
        <v>2359</v>
      </c>
      <c r="S521" s="29" t="s">
        <v>3464</v>
      </c>
      <c r="T521" s="29" t="s">
        <v>3465</v>
      </c>
      <c r="U521" s="29" t="s">
        <v>790</v>
      </c>
      <c r="V521" s="29" t="s">
        <v>2639</v>
      </c>
      <c r="W521" s="35" t="s">
        <v>1628</v>
      </c>
      <c r="X521" s="35" t="s">
        <v>2399</v>
      </c>
      <c r="Y521" s="35" t="s">
        <v>2361</v>
      </c>
      <c r="Z521" s="35" t="s">
        <v>3466</v>
      </c>
      <c r="AA521" s="35" t="s">
        <v>2641</v>
      </c>
      <c r="AB521" s="29" t="s">
        <v>3467</v>
      </c>
      <c r="AC521" s="35" t="s">
        <v>1633</v>
      </c>
      <c r="AD521" s="35" t="s">
        <v>3468</v>
      </c>
      <c r="AE521" s="35" t="s">
        <v>3468</v>
      </c>
      <c r="AF521" s="35" t="s">
        <v>1635</v>
      </c>
      <c r="AG521" s="35" t="s">
        <v>1636</v>
      </c>
      <c r="AI521" s="35"/>
      <c r="AJ521" s="35" t="s">
        <v>1637</v>
      </c>
      <c r="AK521" s="35" t="s">
        <v>1672</v>
      </c>
      <c r="AL521" s="29" t="s">
        <v>1803</v>
      </c>
      <c r="AM521" s="35"/>
      <c r="AN521" s="35"/>
      <c r="AO521" s="35"/>
      <c r="AP521" s="35"/>
      <c r="AQ521" s="35"/>
      <c r="AS521" s="35"/>
      <c r="AU521" s="35"/>
      <c r="AW521" s="35"/>
      <c r="AY521" s="35"/>
      <c r="AZ521" s="35"/>
      <c r="BA521" s="35"/>
      <c r="BB521" s="29" t="s">
        <v>2003</v>
      </c>
      <c r="BC521" s="29" t="s">
        <v>2347</v>
      </c>
      <c r="BD521" s="29" t="s">
        <v>2739</v>
      </c>
      <c r="BE521" s="29" t="s">
        <v>1805</v>
      </c>
      <c r="BF521" s="29" t="s">
        <v>2388</v>
      </c>
      <c r="BG521" s="29" t="s">
        <v>3574</v>
      </c>
      <c r="BH521" s="29" t="s">
        <v>2413</v>
      </c>
      <c r="BI521" s="35"/>
      <c r="BJ521" s="35"/>
      <c r="BK521" s="29" t="str" cm="1">
        <f t="array" ref="BK521">_xlfn.UNIQUE(MID(BB521,16,14))</f>
        <v>U012UNA01UH100</v>
      </c>
    </row>
    <row r="522" spans="1:63" x14ac:dyDescent="0.3">
      <c r="A522" s="29" t="s">
        <v>2409</v>
      </c>
      <c r="B522" s="36" t="str">
        <f t="shared" si="40"/>
        <v>G01NHE01GT001-QN01</v>
      </c>
      <c r="C522" s="33" t="s">
        <v>3575</v>
      </c>
      <c r="D522" s="34" t="str">
        <f t="shared" si="41"/>
        <v>ELY1 O2 TRT LEAD OFF CV1 GRP FLT</v>
      </c>
      <c r="E522" s="31">
        <f t="shared" si="42"/>
        <v>32</v>
      </c>
      <c r="F522" s="32" t="str">
        <f t="shared" si="43"/>
        <v>ELECTROLYSIS SYSTEM ELECTROLYSIS ARRAY 1 O2 TREATMENT O2 TREATMENT SYSTEM GAS LEAD OFF SYSTEMS GAS LEAD OFF SYSTEM 1 CONTROL VALVE - O2 BLOW OFF GROUP FAULT ALARM</v>
      </c>
      <c r="G522" s="29" t="s">
        <v>1614</v>
      </c>
      <c r="H522" s="29" t="s">
        <v>1615</v>
      </c>
      <c r="I522" s="29" t="str">
        <f t="shared" si="44"/>
        <v>01</v>
      </c>
      <c r="J522" s="29" t="s">
        <v>1616</v>
      </c>
      <c r="K522" s="29" t="s">
        <v>2395</v>
      </c>
      <c r="L522" s="29" t="s">
        <v>2396</v>
      </c>
      <c r="M522" s="29" t="s">
        <v>1619</v>
      </c>
      <c r="N522" s="29" t="s">
        <v>2397</v>
      </c>
      <c r="O522" s="29" t="s">
        <v>2357</v>
      </c>
      <c r="P522" s="29" t="s">
        <v>2358</v>
      </c>
      <c r="Q522" s="29" t="s">
        <v>1623</v>
      </c>
      <c r="R522" s="29" t="s">
        <v>2359</v>
      </c>
      <c r="S522" s="29" t="s">
        <v>1800</v>
      </c>
      <c r="T522" s="29" t="s">
        <v>2415</v>
      </c>
      <c r="U522" s="29" t="s">
        <v>1033</v>
      </c>
      <c r="V522" s="29" t="s">
        <v>1288</v>
      </c>
      <c r="W522" s="35" t="s">
        <v>1628</v>
      </c>
      <c r="X522" s="35" t="s">
        <v>2399</v>
      </c>
      <c r="Y522" s="35" t="s">
        <v>2361</v>
      </c>
      <c r="Z522" s="35" t="s">
        <v>1802</v>
      </c>
      <c r="AA522" s="35" t="s">
        <v>2633</v>
      </c>
      <c r="AB522" s="29" t="s">
        <v>2015</v>
      </c>
      <c r="AC522" s="35" t="s">
        <v>1633</v>
      </c>
      <c r="AD522" s="35" t="s">
        <v>1634</v>
      </c>
      <c r="AE522" s="35" t="s">
        <v>1634</v>
      </c>
      <c r="AF522" s="35" t="s">
        <v>1635</v>
      </c>
      <c r="AG522" s="35" t="s">
        <v>1636</v>
      </c>
      <c r="AI522" s="35"/>
      <c r="AJ522" s="35" t="s">
        <v>1637</v>
      </c>
      <c r="AK522" s="35" t="s">
        <v>1672</v>
      </c>
      <c r="AL522" s="29" t="s">
        <v>2606</v>
      </c>
      <c r="AM522" s="35"/>
      <c r="AN522" s="35"/>
      <c r="AO522" s="35"/>
      <c r="AP522" s="35"/>
      <c r="AQ522" s="35"/>
      <c r="AS522" s="35"/>
      <c r="AU522" s="35"/>
      <c r="AW522" s="35"/>
      <c r="AY522" s="35"/>
      <c r="AZ522" s="35"/>
      <c r="BA522" s="35"/>
      <c r="BB522" s="29" t="s">
        <v>2195</v>
      </c>
      <c r="BC522" s="29" t="s">
        <v>2347</v>
      </c>
      <c r="BD522" s="29" t="s">
        <v>2635</v>
      </c>
      <c r="BE522" s="29" t="s">
        <v>1805</v>
      </c>
      <c r="BF522" s="29" t="s">
        <v>1619</v>
      </c>
      <c r="BG522" s="29" t="s">
        <v>2416</v>
      </c>
      <c r="BH522" s="29" t="s">
        <v>2413</v>
      </c>
      <c r="BI522" s="35"/>
      <c r="BJ522" s="35"/>
      <c r="BK522" s="29" t="str" cm="1">
        <f t="array" ref="BK522">_xlfn.UNIQUE(MID(BB522,16,14))</f>
        <v>U012UNA01UH100</v>
      </c>
    </row>
    <row r="523" spans="1:63" x14ac:dyDescent="0.3">
      <c r="A523" s="29" t="s">
        <v>2427</v>
      </c>
      <c r="B523" s="36" t="str">
        <f t="shared" si="40"/>
        <v>G01NHG01QM001-QM01</v>
      </c>
      <c r="C523" s="33" t="s">
        <v>3576</v>
      </c>
      <c r="D523" s="34" t="str">
        <f t="shared" si="41"/>
        <v>ELY1 PROC WTR SUP DIST SV1 CB ON/OPN</v>
      </c>
      <c r="E523" s="31">
        <f t="shared" si="42"/>
        <v>36</v>
      </c>
      <c r="F523" s="32" t="str">
        <f t="shared" si="43"/>
        <v>ELECTROLYSIS SYSTEM ELECTROLYSIS ARRAY 1 WATER SUPPLY SYSTEMS PROCESS WATER SUPPLY SYSTEM PROCESS WATER DISTRIBUTION SYSTEMS PROCESS WATER DISTRIBUTION SYSTEM 2-WAY SHUT-OFF VALVE - DEMIN WATER SUPPLY CHECK BACK ON/OPEN</v>
      </c>
      <c r="G523" s="29" t="s">
        <v>1614</v>
      </c>
      <c r="H523" s="29" t="s">
        <v>1615</v>
      </c>
      <c r="I523" s="29" t="str">
        <f t="shared" si="44"/>
        <v>01</v>
      </c>
      <c r="J523" s="29" t="s">
        <v>1616</v>
      </c>
      <c r="K523" s="29" t="s">
        <v>2429</v>
      </c>
      <c r="L523" s="29" t="s">
        <v>2430</v>
      </c>
      <c r="M523" s="29" t="s">
        <v>1619</v>
      </c>
      <c r="N523" s="29" t="s">
        <v>2431</v>
      </c>
      <c r="O523" s="29" t="s">
        <v>1811</v>
      </c>
      <c r="P523" s="29" t="s">
        <v>2432</v>
      </c>
      <c r="Q523" s="29" t="s">
        <v>1623</v>
      </c>
      <c r="R523" s="29" t="s">
        <v>2433</v>
      </c>
      <c r="S523" s="29" t="s">
        <v>3471</v>
      </c>
      <c r="T523" s="29" t="s">
        <v>3577</v>
      </c>
      <c r="U523" s="29" t="s">
        <v>790</v>
      </c>
      <c r="V523" s="29" t="s">
        <v>2639</v>
      </c>
      <c r="W523" s="35" t="s">
        <v>1628</v>
      </c>
      <c r="X523" s="35" t="s">
        <v>2435</v>
      </c>
      <c r="Y523" s="35" t="s">
        <v>1816</v>
      </c>
      <c r="Z523" s="35" t="s">
        <v>3473</v>
      </c>
      <c r="AA523" s="35" t="s">
        <v>2641</v>
      </c>
      <c r="AB523" s="29" t="s">
        <v>3474</v>
      </c>
      <c r="AC523" s="35" t="s">
        <v>1633</v>
      </c>
      <c r="AD523" s="35" t="s">
        <v>1634</v>
      </c>
      <c r="AE523" s="35" t="s">
        <v>1634</v>
      </c>
      <c r="AF523" s="35" t="s">
        <v>1635</v>
      </c>
      <c r="AG523" s="35" t="s">
        <v>1636</v>
      </c>
      <c r="AI523" s="35"/>
      <c r="AJ523" s="35" t="s">
        <v>1637</v>
      </c>
      <c r="AK523" s="35" t="s">
        <v>1672</v>
      </c>
      <c r="AL523" s="29" t="s">
        <v>1803</v>
      </c>
      <c r="AM523" s="35"/>
      <c r="AN523" s="35"/>
      <c r="AO523" s="35"/>
      <c r="AP523" s="35"/>
      <c r="AQ523" s="35"/>
      <c r="AS523" s="35"/>
      <c r="AU523" s="35"/>
      <c r="AW523" s="35"/>
      <c r="AY523" s="35"/>
      <c r="AZ523" s="35"/>
      <c r="BA523" s="35"/>
      <c r="BB523" s="29" t="s">
        <v>2195</v>
      </c>
      <c r="BC523" s="29" t="s">
        <v>2347</v>
      </c>
      <c r="BD523" s="29" t="s">
        <v>2739</v>
      </c>
      <c r="BE523" s="29" t="s">
        <v>1805</v>
      </c>
      <c r="BF523" s="29" t="s">
        <v>1905</v>
      </c>
      <c r="BG523" s="29" t="s">
        <v>3578</v>
      </c>
      <c r="BH523" s="29" t="s">
        <v>2335</v>
      </c>
      <c r="BI523" s="35"/>
      <c r="BJ523" s="35"/>
      <c r="BK523" s="29" t="str" cm="1">
        <f t="array" ref="BK523">_xlfn.UNIQUE(MID(BB523,16,14))</f>
        <v>U012UNA01UH100</v>
      </c>
    </row>
    <row r="524" spans="1:63" x14ac:dyDescent="0.3">
      <c r="A524" s="29" t="s">
        <v>2427</v>
      </c>
      <c r="B524" s="36" t="str">
        <f t="shared" si="40"/>
        <v>G01NHG01QM001-QM01</v>
      </c>
      <c r="C524" s="33" t="s">
        <v>3579</v>
      </c>
      <c r="D524" s="34" t="str">
        <f t="shared" si="41"/>
        <v>ELY1 PROC WTR SUP DIST SV1 CB OFF/CLD</v>
      </c>
      <c r="E524" s="31">
        <f t="shared" si="42"/>
        <v>37</v>
      </c>
      <c r="F524" s="32" t="str">
        <f t="shared" si="43"/>
        <v>ELECTROLYSIS SYSTEM ELECTROLYSIS ARRAY 1 WATER SUPPLY SYSTEMS PROCESS WATER SUPPLY SYSTEM PROCESS WATER DISTRIBUTION SYSTEMS PROCESS WATER DISTRIBUTION SYSTEM 2-WAY SHUT-OFF VALVE - DEMIN WATER SUPPLY CHECK BACK OFF/CLOSED</v>
      </c>
      <c r="G524" s="29" t="s">
        <v>1614</v>
      </c>
      <c r="H524" s="29" t="s">
        <v>1615</v>
      </c>
      <c r="I524" s="29" t="str">
        <f t="shared" si="44"/>
        <v>01</v>
      </c>
      <c r="J524" s="29" t="s">
        <v>1616</v>
      </c>
      <c r="K524" s="29" t="s">
        <v>2429</v>
      </c>
      <c r="L524" s="29" t="s">
        <v>2430</v>
      </c>
      <c r="M524" s="29" t="s">
        <v>1619</v>
      </c>
      <c r="N524" s="29" t="s">
        <v>2431</v>
      </c>
      <c r="O524" s="29" t="s">
        <v>1811</v>
      </c>
      <c r="P524" s="29" t="s">
        <v>2432</v>
      </c>
      <c r="Q524" s="29" t="s">
        <v>1623</v>
      </c>
      <c r="R524" s="29" t="s">
        <v>2433</v>
      </c>
      <c r="S524" s="29" t="s">
        <v>3471</v>
      </c>
      <c r="T524" s="29" t="s">
        <v>3577</v>
      </c>
      <c r="U524" s="29" t="s">
        <v>363</v>
      </c>
      <c r="V524" s="29" t="s">
        <v>2645</v>
      </c>
      <c r="W524" s="35" t="s">
        <v>1628</v>
      </c>
      <c r="X524" s="35" t="s">
        <v>2435</v>
      </c>
      <c r="Y524" s="35" t="s">
        <v>1816</v>
      </c>
      <c r="Z524" s="35" t="s">
        <v>3473</v>
      </c>
      <c r="AA524" s="35" t="s">
        <v>2646</v>
      </c>
      <c r="AB524" s="29" t="s">
        <v>3474</v>
      </c>
      <c r="AC524" s="35" t="s">
        <v>1633</v>
      </c>
      <c r="AD524" s="35" t="s">
        <v>1634</v>
      </c>
      <c r="AE524" s="35" t="s">
        <v>1634</v>
      </c>
      <c r="AF524" s="35" t="s">
        <v>1635</v>
      </c>
      <c r="AG524" s="35" t="s">
        <v>1636</v>
      </c>
      <c r="AI524" s="35"/>
      <c r="AJ524" s="35" t="s">
        <v>1637</v>
      </c>
      <c r="AK524" s="35" t="s">
        <v>1672</v>
      </c>
      <c r="AL524" s="29" t="s">
        <v>1803</v>
      </c>
      <c r="AM524" s="35"/>
      <c r="AN524" s="35"/>
      <c r="AO524" s="35"/>
      <c r="AP524" s="35"/>
      <c r="AQ524" s="35"/>
      <c r="AS524" s="35"/>
      <c r="AU524" s="35"/>
      <c r="AW524" s="35"/>
      <c r="AY524" s="35"/>
      <c r="AZ524" s="35"/>
      <c r="BA524" s="35"/>
      <c r="BB524" s="29" t="s">
        <v>2195</v>
      </c>
      <c r="BC524" s="29" t="s">
        <v>2347</v>
      </c>
      <c r="BD524" s="29" t="s">
        <v>3154</v>
      </c>
      <c r="BE524" s="29" t="s">
        <v>1805</v>
      </c>
      <c r="BF524" s="29" t="s">
        <v>1909</v>
      </c>
      <c r="BG524" s="29" t="s">
        <v>3578</v>
      </c>
      <c r="BH524" s="29" t="s">
        <v>2335</v>
      </c>
      <c r="BI524" s="35"/>
      <c r="BJ524" s="35"/>
      <c r="BK524" s="29" t="str" cm="1">
        <f t="array" ref="BK524">_xlfn.UNIQUE(MID(BB524,16,14))</f>
        <v>U012UNA01UH100</v>
      </c>
    </row>
    <row r="525" spans="1:63" x14ac:dyDescent="0.3">
      <c r="A525" s="29" t="s">
        <v>2427</v>
      </c>
      <c r="B525" s="36" t="str">
        <f t="shared" si="40"/>
        <v>G01NHG01QM001-QN01</v>
      </c>
      <c r="C525" s="33" t="s">
        <v>3580</v>
      </c>
      <c r="D525" s="34" t="str">
        <f t="shared" si="41"/>
        <v>ELY1 PROC WTR SUP DIST CV1 GRP FLT</v>
      </c>
      <c r="E525" s="31">
        <f t="shared" si="42"/>
        <v>34</v>
      </c>
      <c r="F525" s="32" t="str">
        <f t="shared" si="43"/>
        <v>ELECTROLYSIS SYSTEM ELECTROLYSIS ARRAY 1 WATER SUPPLY SYSTEMS PROCESS WATER SUPPLY SYSTEM PROCESS WATER DISTRIBUTION SYSTEMS PROCESS WATER DISTRIBUTION SYSTEM CONTROL VALVE - DEMIN WATER SUPPLY GROUP FAULT ALARM</v>
      </c>
      <c r="G525" s="29" t="s">
        <v>1614</v>
      </c>
      <c r="H525" s="29" t="s">
        <v>1615</v>
      </c>
      <c r="I525" s="29" t="str">
        <f t="shared" si="44"/>
        <v>01</v>
      </c>
      <c r="J525" s="29" t="s">
        <v>1616</v>
      </c>
      <c r="K525" s="29" t="s">
        <v>2429</v>
      </c>
      <c r="L525" s="29" t="s">
        <v>2430</v>
      </c>
      <c r="M525" s="29" t="s">
        <v>1619</v>
      </c>
      <c r="N525" s="29" t="s">
        <v>2431</v>
      </c>
      <c r="O525" s="29" t="s">
        <v>1811</v>
      </c>
      <c r="P525" s="29" t="s">
        <v>2432</v>
      </c>
      <c r="Q525" s="29" t="s">
        <v>1623</v>
      </c>
      <c r="R525" s="29" t="s">
        <v>2433</v>
      </c>
      <c r="S525" s="29" t="s">
        <v>1800</v>
      </c>
      <c r="T525" s="29" t="s">
        <v>2434</v>
      </c>
      <c r="U525" s="29" t="s">
        <v>1033</v>
      </c>
      <c r="V525" s="29" t="s">
        <v>1288</v>
      </c>
      <c r="W525" s="35" t="s">
        <v>1628</v>
      </c>
      <c r="X525" s="35" t="s">
        <v>2435</v>
      </c>
      <c r="Y525" s="35" t="s">
        <v>1816</v>
      </c>
      <c r="Z525" s="35" t="s">
        <v>1802</v>
      </c>
      <c r="AA525" s="35" t="s">
        <v>2633</v>
      </c>
      <c r="AB525" s="29" t="s">
        <v>2015</v>
      </c>
      <c r="AC525" s="35" t="s">
        <v>1633</v>
      </c>
      <c r="AD525" s="35" t="s">
        <v>1634</v>
      </c>
      <c r="AE525" s="35" t="s">
        <v>1634</v>
      </c>
      <c r="AF525" s="35" t="s">
        <v>1635</v>
      </c>
      <c r="AG525" s="35" t="s">
        <v>1636</v>
      </c>
      <c r="AI525" s="35"/>
      <c r="AJ525" s="35" t="s">
        <v>1637</v>
      </c>
      <c r="AK525" s="35" t="s">
        <v>1672</v>
      </c>
      <c r="AL525" s="29" t="s">
        <v>2606</v>
      </c>
      <c r="AM525" s="35"/>
      <c r="AN525" s="35"/>
      <c r="AO525" s="35"/>
      <c r="AP525" s="35"/>
      <c r="AQ525" s="35"/>
      <c r="AS525" s="35"/>
      <c r="AU525" s="35"/>
      <c r="AW525" s="35"/>
      <c r="AY525" s="35"/>
      <c r="AZ525" s="35"/>
      <c r="BA525" s="35"/>
      <c r="BB525" s="29" t="s">
        <v>2195</v>
      </c>
      <c r="BC525" s="29" t="s">
        <v>2347</v>
      </c>
      <c r="BD525" s="29" t="s">
        <v>2635</v>
      </c>
      <c r="BE525" s="29" t="s">
        <v>1805</v>
      </c>
      <c r="BF525" s="29" t="s">
        <v>1915</v>
      </c>
      <c r="BG525" s="29" t="s">
        <v>2436</v>
      </c>
      <c r="BH525" s="29" t="s">
        <v>2335</v>
      </c>
      <c r="BI525" s="35"/>
      <c r="BJ525" s="35"/>
      <c r="BK525" s="29" t="str" cm="1">
        <f t="array" ref="BK525">_xlfn.UNIQUE(MID(BB525,16,14))</f>
        <v>U012UNA01UH100</v>
      </c>
    </row>
    <row r="526" spans="1:63" x14ac:dyDescent="0.3">
      <c r="A526" s="29" t="s">
        <v>2489</v>
      </c>
      <c r="B526" s="36" t="str">
        <f t="shared" si="40"/>
        <v>G01NHP01WP001-QN01</v>
      </c>
      <c r="C526" s="33" t="s">
        <v>3581</v>
      </c>
      <c r="D526" s="34" t="str">
        <f t="shared" si="41"/>
        <v>ELY1 HEAT DISS PIPING CV1 GRP FLT</v>
      </c>
      <c r="E526" s="31">
        <f t="shared" si="42"/>
        <v>33</v>
      </c>
      <c r="F526" s="32" t="str">
        <f t="shared" si="43"/>
        <v>ELECTROLYSIS SYSTEM ELECTROLYSIS ARRAY 1 HEAT DISSIPATION SYSTEMS HEAT DISSIPATION (ELECTROLYSER SYSTEM) DISTRIBUTION COOLING WATER (ELECTROLYSER SYSTEM) PLANT COOLING WATER PIPE SYSTEM CONTROL VALVE - GAS COOLER H2 COOLING WATER GROUP FAULT ALARM</v>
      </c>
      <c r="G526" s="29" t="s">
        <v>1614</v>
      </c>
      <c r="H526" s="29" t="s">
        <v>1615</v>
      </c>
      <c r="I526" s="29" t="str">
        <f t="shared" si="44"/>
        <v>01</v>
      </c>
      <c r="J526" s="29" t="s">
        <v>1616</v>
      </c>
      <c r="K526" s="29" t="s">
        <v>2491</v>
      </c>
      <c r="L526" s="29" t="s">
        <v>2492</v>
      </c>
      <c r="M526" s="29" t="s">
        <v>1619</v>
      </c>
      <c r="N526" s="29" t="s">
        <v>2493</v>
      </c>
      <c r="O526" s="29" t="s">
        <v>1781</v>
      </c>
      <c r="P526" s="29" t="s">
        <v>2494</v>
      </c>
      <c r="Q526" s="29" t="s">
        <v>1623</v>
      </c>
      <c r="R526" s="29" t="s">
        <v>2495</v>
      </c>
      <c r="S526" s="29" t="s">
        <v>1800</v>
      </c>
      <c r="T526" s="29" t="s">
        <v>1348</v>
      </c>
      <c r="U526" s="29" t="s">
        <v>1033</v>
      </c>
      <c r="V526" s="29" t="s">
        <v>1288</v>
      </c>
      <c r="W526" s="35" t="s">
        <v>1628</v>
      </c>
      <c r="X526" s="35" t="s">
        <v>2496</v>
      </c>
      <c r="Y526" s="35" t="s">
        <v>1785</v>
      </c>
      <c r="Z526" s="35" t="s">
        <v>1802</v>
      </c>
      <c r="AA526" s="35" t="s">
        <v>2633</v>
      </c>
      <c r="AB526" s="29" t="s">
        <v>2015</v>
      </c>
      <c r="AC526" s="35" t="s">
        <v>1633</v>
      </c>
      <c r="AD526" s="35" t="s">
        <v>1634</v>
      </c>
      <c r="AE526" s="35" t="s">
        <v>1634</v>
      </c>
      <c r="AF526" s="35" t="s">
        <v>1635</v>
      </c>
      <c r="AG526" s="35" t="s">
        <v>1636</v>
      </c>
      <c r="AI526" s="35"/>
      <c r="AJ526" s="35" t="s">
        <v>1637</v>
      </c>
      <c r="AK526" s="35" t="s">
        <v>1672</v>
      </c>
      <c r="AL526" s="29" t="s">
        <v>2606</v>
      </c>
      <c r="AM526" s="35"/>
      <c r="AN526" s="35"/>
      <c r="AO526" s="35"/>
      <c r="AP526" s="35"/>
      <c r="AQ526" s="35"/>
      <c r="AS526" s="35"/>
      <c r="AU526" s="35"/>
      <c r="AW526" s="35"/>
      <c r="AY526" s="35"/>
      <c r="AZ526" s="35"/>
      <c r="BA526" s="35"/>
      <c r="BB526" s="29" t="s">
        <v>2195</v>
      </c>
      <c r="BC526" s="29" t="s">
        <v>2347</v>
      </c>
      <c r="BD526" s="29" t="s">
        <v>2635</v>
      </c>
      <c r="BE526" s="29" t="s">
        <v>1805</v>
      </c>
      <c r="BF526" s="29" t="s">
        <v>1919</v>
      </c>
      <c r="BG526" s="29" t="s">
        <v>2501</v>
      </c>
      <c r="BH526" s="29" t="s">
        <v>2364</v>
      </c>
      <c r="BI526" s="35"/>
      <c r="BJ526" s="35"/>
      <c r="BK526" s="29" t="str" cm="1">
        <f t="array" ref="BK526">_xlfn.UNIQUE(MID(BB526,16,14))</f>
        <v>U012UNA01UH100</v>
      </c>
    </row>
    <row r="527" spans="1:63" x14ac:dyDescent="0.3">
      <c r="A527" s="29" t="s">
        <v>2489</v>
      </c>
      <c r="B527" s="36" t="str">
        <f t="shared" si="40"/>
        <v>G01NHP01WP001-QN02</v>
      </c>
      <c r="C527" s="33" t="s">
        <v>3582</v>
      </c>
      <c r="D527" s="34" t="str">
        <f t="shared" si="41"/>
        <v>ELY1 HEAT DISS PIPING CV2 GRP FLT</v>
      </c>
      <c r="E527" s="31">
        <f t="shared" si="42"/>
        <v>33</v>
      </c>
      <c r="F527" s="32" t="str">
        <f t="shared" si="43"/>
        <v>ELECTROLYSIS SYSTEM ELECTROLYSIS ARRAY 1 HEAT DISSIPATION SYSTEMS HEAT DISSIPATION (ELECTROLYSER SYSTEM) DISTRIBUTION COOLING WATER (ELECTROLYSER SYSTEM) PLANT COOLING WATER PIPE SYSTEM CONTROL VALVE - GAS COOLER O2 COOLING WATER GROUP FAULT ALARM</v>
      </c>
      <c r="G527" s="29" t="s">
        <v>1614</v>
      </c>
      <c r="H527" s="29" t="s">
        <v>1615</v>
      </c>
      <c r="I527" s="29" t="str">
        <f t="shared" si="44"/>
        <v>01</v>
      </c>
      <c r="J527" s="29" t="s">
        <v>1616</v>
      </c>
      <c r="K527" s="29" t="s">
        <v>2491</v>
      </c>
      <c r="L527" s="29" t="s">
        <v>2492</v>
      </c>
      <c r="M527" s="29" t="s">
        <v>1619</v>
      </c>
      <c r="N527" s="29" t="s">
        <v>2493</v>
      </c>
      <c r="O527" s="29" t="s">
        <v>1781</v>
      </c>
      <c r="P527" s="29" t="s">
        <v>2494</v>
      </c>
      <c r="Q527" s="29" t="s">
        <v>1623</v>
      </c>
      <c r="R527" s="29" t="s">
        <v>2495</v>
      </c>
      <c r="S527" s="29" t="s">
        <v>2369</v>
      </c>
      <c r="T527" s="29" t="s">
        <v>1350</v>
      </c>
      <c r="U527" s="29" t="s">
        <v>1033</v>
      </c>
      <c r="V527" s="29" t="s">
        <v>1288</v>
      </c>
      <c r="W527" s="35" t="s">
        <v>1628</v>
      </c>
      <c r="X527" s="35" t="s">
        <v>2496</v>
      </c>
      <c r="Y527" s="35" t="s">
        <v>1785</v>
      </c>
      <c r="Z527" s="35" t="s">
        <v>2371</v>
      </c>
      <c r="AA527" s="35" t="s">
        <v>2633</v>
      </c>
      <c r="AB527" s="29" t="s">
        <v>2372</v>
      </c>
      <c r="AC527" s="35" t="s">
        <v>1633</v>
      </c>
      <c r="AD527" s="35" t="s">
        <v>1634</v>
      </c>
      <c r="AE527" s="35" t="s">
        <v>1634</v>
      </c>
      <c r="AF527" s="35" t="s">
        <v>1635</v>
      </c>
      <c r="AG527" s="35" t="s">
        <v>1636</v>
      </c>
      <c r="AI527" s="35"/>
      <c r="AJ527" s="35" t="s">
        <v>1637</v>
      </c>
      <c r="AK527" s="35" t="s">
        <v>1672</v>
      </c>
      <c r="AL527" s="29" t="s">
        <v>2606</v>
      </c>
      <c r="AM527" s="35"/>
      <c r="AN527" s="35"/>
      <c r="AO527" s="35"/>
      <c r="AP527" s="35"/>
      <c r="AQ527" s="35"/>
      <c r="AS527" s="35"/>
      <c r="AU527" s="35"/>
      <c r="AW527" s="35"/>
      <c r="AY527" s="35"/>
      <c r="AZ527" s="35"/>
      <c r="BA527" s="35"/>
      <c r="BB527" s="29" t="s">
        <v>2195</v>
      </c>
      <c r="BC527" s="29" t="s">
        <v>2347</v>
      </c>
      <c r="BD527" s="29" t="s">
        <v>2635</v>
      </c>
      <c r="BE527" s="29" t="s">
        <v>1805</v>
      </c>
      <c r="BF527" s="29" t="s">
        <v>1922</v>
      </c>
      <c r="BG527" s="29" t="s">
        <v>2503</v>
      </c>
      <c r="BH527" s="29" t="s">
        <v>2413</v>
      </c>
      <c r="BI527" s="35"/>
      <c r="BJ527" s="35"/>
      <c r="BK527" s="29" t="str" cm="1">
        <f t="array" ref="BK527">_xlfn.UNIQUE(MID(BB527,16,14))</f>
        <v>U012UNA01UH100</v>
      </c>
    </row>
    <row r="528" spans="1:63" x14ac:dyDescent="0.3">
      <c r="A528" s="29" t="s">
        <v>2504</v>
      </c>
      <c r="B528" s="36" t="str">
        <f t="shared" si="40"/>
        <v>G01NHX01QN001-QM11</v>
      </c>
      <c r="C528" s="33" t="s">
        <v>3583</v>
      </c>
      <c r="D528" s="34" t="str">
        <f t="shared" si="41"/>
        <v>ELY1 N2 DIST CTRL H2 SV11 CB MAN ON/OPN</v>
      </c>
      <c r="E528" s="31">
        <f t="shared" si="42"/>
        <v>39</v>
      </c>
      <c r="F528" s="32" t="str">
        <f t="shared" si="43"/>
        <v>ELECTROLYSIS SYSTEM ELECTROLYSIS ARRAY 1 AUXILIARY SYSTEMS NITROGEN DISTRIBUTION NITROGEN REGULATION SYSTEMS NITROGEN REGULATION H2 BALL VALVE - NITROGEN H2 BYPASS MANUAL COMMAND ON/OPEN</v>
      </c>
      <c r="G528" s="29" t="s">
        <v>1614</v>
      </c>
      <c r="H528" s="29" t="s">
        <v>1615</v>
      </c>
      <c r="I528" s="29" t="str">
        <f t="shared" si="44"/>
        <v>01</v>
      </c>
      <c r="J528" s="29" t="s">
        <v>1616</v>
      </c>
      <c r="K528" s="29" t="s">
        <v>2506</v>
      </c>
      <c r="L528" s="29" t="s">
        <v>2507</v>
      </c>
      <c r="M528" s="29" t="s">
        <v>1619</v>
      </c>
      <c r="N528" s="29" t="s">
        <v>2508</v>
      </c>
      <c r="O528" s="29" t="s">
        <v>2509</v>
      </c>
      <c r="P528" s="29" t="s">
        <v>2510</v>
      </c>
      <c r="Q528" s="29" t="s">
        <v>1623</v>
      </c>
      <c r="R528" s="29" t="s">
        <v>2511</v>
      </c>
      <c r="S528" s="29" t="s">
        <v>2637</v>
      </c>
      <c r="T528" s="29" t="s">
        <v>3584</v>
      </c>
      <c r="U528" s="29" t="s">
        <v>3457</v>
      </c>
      <c r="V528" s="29" t="s">
        <v>3338</v>
      </c>
      <c r="W528" s="35" t="s">
        <v>1628</v>
      </c>
      <c r="X528" s="35" t="s">
        <v>2512</v>
      </c>
      <c r="Y528" s="35" t="s">
        <v>2513</v>
      </c>
      <c r="Z528" s="35" t="s">
        <v>2640</v>
      </c>
      <c r="AA528" s="35" t="s">
        <v>3459</v>
      </c>
      <c r="AB528" s="29" t="s">
        <v>3353</v>
      </c>
      <c r="AC528" s="35" t="s">
        <v>1633</v>
      </c>
      <c r="AD528" s="35" t="s">
        <v>1634</v>
      </c>
      <c r="AE528" s="35" t="s">
        <v>1634</v>
      </c>
      <c r="AF528" s="35" t="s">
        <v>1635</v>
      </c>
      <c r="AG528" s="35" t="s">
        <v>1636</v>
      </c>
      <c r="AI528" s="35"/>
      <c r="AJ528" s="35" t="s">
        <v>1637</v>
      </c>
      <c r="AK528" s="35" t="s">
        <v>1672</v>
      </c>
      <c r="AL528" s="29" t="s">
        <v>1803</v>
      </c>
      <c r="AM528" s="35"/>
      <c r="AN528" s="35"/>
      <c r="AO528" s="35"/>
      <c r="AP528" s="35"/>
      <c r="AQ528" s="35"/>
      <c r="AS528" s="35"/>
      <c r="AU528" s="35"/>
      <c r="AW528" s="35"/>
      <c r="AY528" s="35"/>
      <c r="AZ528" s="35"/>
      <c r="BA528" s="35"/>
      <c r="BB528" s="29" t="s">
        <v>2195</v>
      </c>
      <c r="BC528" s="29" t="s">
        <v>2347</v>
      </c>
      <c r="BD528" s="29" t="s">
        <v>3461</v>
      </c>
      <c r="BE528" s="29" t="s">
        <v>1805</v>
      </c>
      <c r="BF528" s="29" t="s">
        <v>1931</v>
      </c>
      <c r="BG528" s="29" t="s">
        <v>3585</v>
      </c>
      <c r="BH528" s="29" t="s">
        <v>2515</v>
      </c>
      <c r="BI528" s="35"/>
      <c r="BJ528" s="35"/>
      <c r="BK528" s="29" t="str" cm="1">
        <f t="array" ref="BK528">_xlfn.UNIQUE(MID(BB528,16,14))</f>
        <v>U012UNA01UH100</v>
      </c>
    </row>
    <row r="529" spans="1:63" x14ac:dyDescent="0.3">
      <c r="A529" s="29" t="s">
        <v>2504</v>
      </c>
      <c r="B529" s="36" t="str">
        <f t="shared" si="40"/>
        <v>G01NHX01QN001-QM11</v>
      </c>
      <c r="C529" s="33" t="s">
        <v>3586</v>
      </c>
      <c r="D529" s="34" t="str">
        <f t="shared" si="41"/>
        <v>ELY1 N2 DIST CTRL H2 SV11 CB MAN OFF/CLD</v>
      </c>
      <c r="E529" s="31">
        <f t="shared" si="42"/>
        <v>40</v>
      </c>
      <c r="F529" s="32" t="str">
        <f t="shared" si="43"/>
        <v>ELECTROLYSIS SYSTEM ELECTROLYSIS ARRAY 1 AUXILIARY SYSTEMS NITROGEN DISTRIBUTION NITROGEN REGULATION SYSTEMS NITROGEN REGULATION H2 BALL VALVE - NITROGEN H2 BYPASS MANUAL COMMAND OFF/CLOSE</v>
      </c>
      <c r="G529" s="29" t="s">
        <v>1614</v>
      </c>
      <c r="H529" s="29" t="s">
        <v>1615</v>
      </c>
      <c r="I529" s="29" t="str">
        <f t="shared" si="44"/>
        <v>01</v>
      </c>
      <c r="J529" s="29" t="s">
        <v>1616</v>
      </c>
      <c r="K529" s="29" t="s">
        <v>2506</v>
      </c>
      <c r="L529" s="29" t="s">
        <v>2507</v>
      </c>
      <c r="M529" s="29" t="s">
        <v>1619</v>
      </c>
      <c r="N529" s="29" t="s">
        <v>2508</v>
      </c>
      <c r="O529" s="29" t="s">
        <v>2509</v>
      </c>
      <c r="P529" s="29" t="s">
        <v>2510</v>
      </c>
      <c r="Q529" s="29" t="s">
        <v>1623</v>
      </c>
      <c r="R529" s="29" t="s">
        <v>2511</v>
      </c>
      <c r="S529" s="29" t="s">
        <v>2637</v>
      </c>
      <c r="T529" s="29" t="s">
        <v>3584</v>
      </c>
      <c r="U529" s="29" t="s">
        <v>3587</v>
      </c>
      <c r="V529" s="29" t="s">
        <v>3588</v>
      </c>
      <c r="W529" s="35" t="s">
        <v>1628</v>
      </c>
      <c r="X529" s="35" t="s">
        <v>2512</v>
      </c>
      <c r="Y529" s="35" t="s">
        <v>2513</v>
      </c>
      <c r="Z529" s="35" t="s">
        <v>2640</v>
      </c>
      <c r="AA529" s="35" t="s">
        <v>3589</v>
      </c>
      <c r="AB529" s="29" t="s">
        <v>3353</v>
      </c>
      <c r="AC529" s="35" t="s">
        <v>1633</v>
      </c>
      <c r="AD529" s="35" t="s">
        <v>1634</v>
      </c>
      <c r="AE529" s="35" t="s">
        <v>1634</v>
      </c>
      <c r="AF529" s="35" t="s">
        <v>1635</v>
      </c>
      <c r="AG529" s="35" t="s">
        <v>1636</v>
      </c>
      <c r="AI529" s="35"/>
      <c r="AJ529" s="35" t="s">
        <v>1637</v>
      </c>
      <c r="AK529" s="35" t="s">
        <v>1672</v>
      </c>
      <c r="AL529" s="29" t="s">
        <v>1803</v>
      </c>
      <c r="AM529" s="35"/>
      <c r="AN529" s="35"/>
      <c r="AO529" s="35"/>
      <c r="AP529" s="35"/>
      <c r="AQ529" s="35"/>
      <c r="AS529" s="35"/>
      <c r="AU529" s="35"/>
      <c r="AW529" s="35"/>
      <c r="AY529" s="35"/>
      <c r="AZ529" s="35"/>
      <c r="BA529" s="35"/>
      <c r="BB529" s="29" t="s">
        <v>2195</v>
      </c>
      <c r="BC529" s="29" t="s">
        <v>2347</v>
      </c>
      <c r="BD529" s="29" t="s">
        <v>3590</v>
      </c>
      <c r="BE529" s="29" t="s">
        <v>1805</v>
      </c>
      <c r="BF529" s="29" t="s">
        <v>1936</v>
      </c>
      <c r="BG529" s="29" t="s">
        <v>3585</v>
      </c>
      <c r="BH529" s="29" t="s">
        <v>2515</v>
      </c>
      <c r="BI529" s="35"/>
      <c r="BJ529" s="35"/>
      <c r="BK529" s="29" t="str" cm="1">
        <f t="array" ref="BK529">_xlfn.UNIQUE(MID(BB529,16,14))</f>
        <v>U012UNA01UH100</v>
      </c>
    </row>
    <row r="530" spans="1:63" x14ac:dyDescent="0.3">
      <c r="A530" s="29" t="s">
        <v>2504</v>
      </c>
      <c r="B530" s="36" t="str">
        <f t="shared" si="40"/>
        <v>G01NHX01QN001-QM21</v>
      </c>
      <c r="C530" s="33" t="s">
        <v>3591</v>
      </c>
      <c r="D530" s="34" t="str">
        <f t="shared" si="41"/>
        <v>ELY1 N2 DIST CTRL H2 SV21 CB MAN ON/OPN</v>
      </c>
      <c r="E530" s="31">
        <f t="shared" si="42"/>
        <v>39</v>
      </c>
      <c r="F530" s="32" t="str">
        <f t="shared" si="43"/>
        <v>ELECTROLYSIS SYSTEM ELECTROLYSIS ARRAY 1 AUXILIARY SYSTEMS NITROGEN DISTRIBUTION NITROGEN REGULATION SYSTEMS NITROGEN REGULATION H2 BALL VALVE - NITROGEN H2 OUTLET MANUAL COMMAND ON/OPEN</v>
      </c>
      <c r="G530" s="29" t="s">
        <v>1614</v>
      </c>
      <c r="H530" s="29" t="s">
        <v>1615</v>
      </c>
      <c r="I530" s="29" t="str">
        <f t="shared" si="44"/>
        <v>01</v>
      </c>
      <c r="J530" s="29" t="s">
        <v>1616</v>
      </c>
      <c r="K530" s="29" t="s">
        <v>2506</v>
      </c>
      <c r="L530" s="29" t="s">
        <v>2507</v>
      </c>
      <c r="M530" s="29" t="s">
        <v>1619</v>
      </c>
      <c r="N530" s="29" t="s">
        <v>2508</v>
      </c>
      <c r="O530" s="29" t="s">
        <v>2509</v>
      </c>
      <c r="P530" s="29" t="s">
        <v>2510</v>
      </c>
      <c r="Q530" s="29" t="s">
        <v>1623</v>
      </c>
      <c r="R530" s="29" t="s">
        <v>2511</v>
      </c>
      <c r="S530" s="29" t="s">
        <v>3592</v>
      </c>
      <c r="T530" s="29" t="s">
        <v>3593</v>
      </c>
      <c r="U530" s="29" t="s">
        <v>3457</v>
      </c>
      <c r="V530" s="29" t="s">
        <v>3338</v>
      </c>
      <c r="W530" s="35" t="s">
        <v>1628</v>
      </c>
      <c r="X530" s="35" t="s">
        <v>2512</v>
      </c>
      <c r="Y530" s="35" t="s">
        <v>2513</v>
      </c>
      <c r="Z530" s="35" t="s">
        <v>3594</v>
      </c>
      <c r="AA530" s="35" t="s">
        <v>3459</v>
      </c>
      <c r="AB530" s="29" t="s">
        <v>3595</v>
      </c>
      <c r="AC530" s="35" t="s">
        <v>1633</v>
      </c>
      <c r="AD530" s="35" t="s">
        <v>1634</v>
      </c>
      <c r="AE530" s="35" t="s">
        <v>1634</v>
      </c>
      <c r="AF530" s="35" t="s">
        <v>1635</v>
      </c>
      <c r="AG530" s="35" t="s">
        <v>1636</v>
      </c>
      <c r="AI530" s="35"/>
      <c r="AJ530" s="35" t="s">
        <v>1637</v>
      </c>
      <c r="AK530" s="35" t="s">
        <v>1672</v>
      </c>
      <c r="AL530" s="29" t="s">
        <v>1803</v>
      </c>
      <c r="AM530" s="35"/>
      <c r="AN530" s="35"/>
      <c r="AO530" s="35"/>
      <c r="AP530" s="35"/>
      <c r="AQ530" s="35"/>
      <c r="AS530" s="35"/>
      <c r="AU530" s="35"/>
      <c r="AW530" s="35"/>
      <c r="AY530" s="35"/>
      <c r="AZ530" s="35"/>
      <c r="BA530" s="35"/>
      <c r="BB530" s="29" t="s">
        <v>2195</v>
      </c>
      <c r="BC530" s="29" t="s">
        <v>2347</v>
      </c>
      <c r="BD530" s="29" t="s">
        <v>3461</v>
      </c>
      <c r="BE530" s="29" t="s">
        <v>1805</v>
      </c>
      <c r="BF530" s="29" t="s">
        <v>2035</v>
      </c>
      <c r="BG530" s="29" t="s">
        <v>3596</v>
      </c>
      <c r="BH530" s="29" t="s">
        <v>2515</v>
      </c>
      <c r="BI530" s="35"/>
      <c r="BJ530" s="35"/>
      <c r="BK530" s="29" t="str" cm="1">
        <f t="array" ref="BK530">_xlfn.UNIQUE(MID(BB530,16,14))</f>
        <v>U012UNA01UH100</v>
      </c>
    </row>
    <row r="531" spans="1:63" x14ac:dyDescent="0.3">
      <c r="A531" s="29" t="s">
        <v>2504</v>
      </c>
      <c r="B531" s="36" t="str">
        <f t="shared" si="40"/>
        <v>G01NHX01QN001-QM21</v>
      </c>
      <c r="C531" s="33" t="s">
        <v>3597</v>
      </c>
      <c r="D531" s="34" t="str">
        <f t="shared" si="41"/>
        <v>ELY1 N2 DIST CTRL H2 SV21 CB MAN OFF/CLD</v>
      </c>
      <c r="E531" s="31">
        <f t="shared" si="42"/>
        <v>40</v>
      </c>
      <c r="F531" s="32" t="str">
        <f t="shared" si="43"/>
        <v>ELECTROLYSIS SYSTEM ELECTROLYSIS ARRAY 1 AUXILIARY SYSTEMS NITROGEN DISTRIBUTION NITROGEN REGULATION SYSTEMS NITROGEN REGULATION H2 BALL VALVE - NITROGEN H2 OUTLET MANUAL COMMAND OFF/CLOSE</v>
      </c>
      <c r="G531" s="29" t="s">
        <v>1614</v>
      </c>
      <c r="H531" s="29" t="s">
        <v>1615</v>
      </c>
      <c r="I531" s="29" t="str">
        <f t="shared" si="44"/>
        <v>01</v>
      </c>
      <c r="J531" s="29" t="s">
        <v>1616</v>
      </c>
      <c r="K531" s="29" t="s">
        <v>2506</v>
      </c>
      <c r="L531" s="29" t="s">
        <v>2507</v>
      </c>
      <c r="M531" s="29" t="s">
        <v>1619</v>
      </c>
      <c r="N531" s="29" t="s">
        <v>2508</v>
      </c>
      <c r="O531" s="29" t="s">
        <v>2509</v>
      </c>
      <c r="P531" s="29" t="s">
        <v>2510</v>
      </c>
      <c r="Q531" s="29" t="s">
        <v>1623</v>
      </c>
      <c r="R531" s="29" t="s">
        <v>2511</v>
      </c>
      <c r="S531" s="29" t="s">
        <v>3592</v>
      </c>
      <c r="T531" s="29" t="s">
        <v>3593</v>
      </c>
      <c r="U531" s="29" t="s">
        <v>3587</v>
      </c>
      <c r="V531" s="29" t="s">
        <v>3588</v>
      </c>
      <c r="W531" s="35" t="s">
        <v>1628</v>
      </c>
      <c r="X531" s="35" t="s">
        <v>2512</v>
      </c>
      <c r="Y531" s="35" t="s">
        <v>2513</v>
      </c>
      <c r="Z531" s="35" t="s">
        <v>3594</v>
      </c>
      <c r="AA531" s="35" t="s">
        <v>3589</v>
      </c>
      <c r="AB531" s="29" t="s">
        <v>3595</v>
      </c>
      <c r="AC531" s="35" t="s">
        <v>1633</v>
      </c>
      <c r="AD531" s="35" t="s">
        <v>1634</v>
      </c>
      <c r="AE531" s="35" t="s">
        <v>1634</v>
      </c>
      <c r="AF531" s="35" t="s">
        <v>1635</v>
      </c>
      <c r="AG531" s="35" t="s">
        <v>1636</v>
      </c>
      <c r="AI531" s="35"/>
      <c r="AJ531" s="35" t="s">
        <v>1637</v>
      </c>
      <c r="AK531" s="35" t="s">
        <v>1672</v>
      </c>
      <c r="AL531" s="29" t="s">
        <v>1803</v>
      </c>
      <c r="AM531" s="35"/>
      <c r="AN531" s="35"/>
      <c r="AO531" s="35"/>
      <c r="AP531" s="35"/>
      <c r="AQ531" s="35"/>
      <c r="AS531" s="35"/>
      <c r="AU531" s="35"/>
      <c r="AW531" s="35"/>
      <c r="AY531" s="35"/>
      <c r="AZ531" s="35"/>
      <c r="BA531" s="35"/>
      <c r="BB531" s="29" t="s">
        <v>2195</v>
      </c>
      <c r="BC531" s="29" t="s">
        <v>2347</v>
      </c>
      <c r="BD531" s="29" t="s">
        <v>3590</v>
      </c>
      <c r="BE531" s="29" t="s">
        <v>1805</v>
      </c>
      <c r="BF531" s="29" t="s">
        <v>1969</v>
      </c>
      <c r="BG531" s="29" t="s">
        <v>3596</v>
      </c>
      <c r="BH531" s="29" t="s">
        <v>2515</v>
      </c>
      <c r="BI531" s="35"/>
      <c r="BJ531" s="35"/>
      <c r="BK531" s="29" t="str" cm="1">
        <f t="array" ref="BK531">_xlfn.UNIQUE(MID(BB531,16,14))</f>
        <v>U012UNA01UH100</v>
      </c>
    </row>
    <row r="532" spans="1:63" x14ac:dyDescent="0.3">
      <c r="A532" s="29" t="s">
        <v>2504</v>
      </c>
      <c r="B532" s="36" t="str">
        <f t="shared" si="40"/>
        <v>G01NHX01QN001-QN01</v>
      </c>
      <c r="C532" s="33" t="s">
        <v>3598</v>
      </c>
      <c r="D532" s="34" t="str">
        <f t="shared" si="41"/>
        <v>ELY1 N2 DIST CTRL H2 CV1 GRP FLT</v>
      </c>
      <c r="E532" s="31">
        <f t="shared" si="42"/>
        <v>32</v>
      </c>
      <c r="F532" s="32" t="str">
        <f t="shared" si="43"/>
        <v>ELECTROLYSIS SYSTEM ELECTROLYSIS ARRAY 1 AUXILIARY SYSTEMS NITROGEN DISTRIBUTION NITROGEN REGULATION SYSTEMS NITROGEN REGULATION H2 CONTROL VALVE - NITROGEN H2 SIDE GROUP FAULT ALARM</v>
      </c>
      <c r="G532" s="29" t="s">
        <v>1614</v>
      </c>
      <c r="H532" s="29" t="s">
        <v>1615</v>
      </c>
      <c r="I532" s="29" t="str">
        <f t="shared" si="44"/>
        <v>01</v>
      </c>
      <c r="J532" s="29" t="s">
        <v>1616</v>
      </c>
      <c r="K532" s="29" t="s">
        <v>2506</v>
      </c>
      <c r="L532" s="29" t="s">
        <v>2507</v>
      </c>
      <c r="M532" s="29" t="s">
        <v>1619</v>
      </c>
      <c r="N532" s="29" t="s">
        <v>2508</v>
      </c>
      <c r="O532" s="29" t="s">
        <v>2509</v>
      </c>
      <c r="P532" s="29" t="s">
        <v>2510</v>
      </c>
      <c r="Q532" s="29" t="s">
        <v>1623</v>
      </c>
      <c r="R532" s="29" t="s">
        <v>2511</v>
      </c>
      <c r="S532" s="29" t="s">
        <v>1800</v>
      </c>
      <c r="T532" s="29" t="s">
        <v>2527</v>
      </c>
      <c r="U532" s="29" t="s">
        <v>1033</v>
      </c>
      <c r="V532" s="29" t="s">
        <v>1288</v>
      </c>
      <c r="W532" s="35" t="s">
        <v>1628</v>
      </c>
      <c r="X532" s="35" t="s">
        <v>2512</v>
      </c>
      <c r="Y532" s="35" t="s">
        <v>2513</v>
      </c>
      <c r="Z532" s="35" t="s">
        <v>1802</v>
      </c>
      <c r="AA532" s="35" t="s">
        <v>2633</v>
      </c>
      <c r="AB532" s="29" t="s">
        <v>2015</v>
      </c>
      <c r="AC532" s="35" t="s">
        <v>1633</v>
      </c>
      <c r="AD532" s="35" t="s">
        <v>1634</v>
      </c>
      <c r="AE532" s="35" t="s">
        <v>1634</v>
      </c>
      <c r="AF532" s="35" t="s">
        <v>1635</v>
      </c>
      <c r="AG532" s="35" t="s">
        <v>1636</v>
      </c>
      <c r="AI532" s="35"/>
      <c r="AJ532" s="35" t="s">
        <v>1637</v>
      </c>
      <c r="AK532" s="35" t="s">
        <v>1672</v>
      </c>
      <c r="AL532" s="29" t="s">
        <v>1803</v>
      </c>
      <c r="AM532" s="35"/>
      <c r="AN532" s="35"/>
      <c r="AO532" s="35"/>
      <c r="AP532" s="35"/>
      <c r="AQ532" s="35"/>
      <c r="AS532" s="35"/>
      <c r="AU532" s="35"/>
      <c r="AW532" s="35"/>
      <c r="AY532" s="35"/>
      <c r="AZ532" s="35"/>
      <c r="BA532" s="35"/>
      <c r="BB532" s="29" t="s">
        <v>2195</v>
      </c>
      <c r="BC532" s="29" t="s">
        <v>2347</v>
      </c>
      <c r="BD532" s="29" t="s">
        <v>2635</v>
      </c>
      <c r="BE532" s="29" t="s">
        <v>1805</v>
      </c>
      <c r="BF532" s="29" t="s">
        <v>1973</v>
      </c>
      <c r="BG532" s="29" t="s">
        <v>2528</v>
      </c>
      <c r="BH532" s="29" t="s">
        <v>2515</v>
      </c>
      <c r="BI532" s="35"/>
      <c r="BJ532" s="35"/>
      <c r="BK532" s="29" t="str" cm="1">
        <f t="array" ref="BK532">_xlfn.UNIQUE(MID(BB532,16,14))</f>
        <v>U012UNA01UH100</v>
      </c>
    </row>
    <row r="533" spans="1:63" x14ac:dyDescent="0.3">
      <c r="A533" s="29" t="s">
        <v>2529</v>
      </c>
      <c r="B533" s="36" t="str">
        <f t="shared" si="40"/>
        <v>G01NHX01QN002-QM11</v>
      </c>
      <c r="C533" s="33" t="s">
        <v>3599</v>
      </c>
      <c r="D533" s="34" t="str">
        <f t="shared" si="41"/>
        <v>ELY1 N2 DIST CTRL O2 SV11 CB MAN ON/OPN</v>
      </c>
      <c r="E533" s="31">
        <f t="shared" si="42"/>
        <v>39</v>
      </c>
      <c r="F533" s="32" t="str">
        <f t="shared" si="43"/>
        <v>ELECTROLYSIS SYSTEM ELECTROLYSIS ARRAY 1 AUXILIARY SYSTEMS NITROGEN DISTRIBUTION NITROGEN REGULATION SYSTEMS NITROGEN REGULATION O2 BALL VALVE - NITROGEN O2 BYPASS MANUAL COMMAND ON/OPEN</v>
      </c>
      <c r="G533" s="29" t="s">
        <v>1614</v>
      </c>
      <c r="H533" s="29" t="s">
        <v>1615</v>
      </c>
      <c r="I533" s="29" t="str">
        <f t="shared" si="44"/>
        <v>01</v>
      </c>
      <c r="J533" s="29" t="s">
        <v>1616</v>
      </c>
      <c r="K533" s="29" t="s">
        <v>2506</v>
      </c>
      <c r="L533" s="29" t="s">
        <v>2507</v>
      </c>
      <c r="M533" s="29" t="s">
        <v>1619</v>
      </c>
      <c r="N533" s="29" t="s">
        <v>2508</v>
      </c>
      <c r="O533" s="29" t="s">
        <v>2509</v>
      </c>
      <c r="P533" s="29" t="s">
        <v>2510</v>
      </c>
      <c r="Q533" s="29" t="s">
        <v>1872</v>
      </c>
      <c r="R533" s="29" t="s">
        <v>2531</v>
      </c>
      <c r="S533" s="29" t="s">
        <v>2637</v>
      </c>
      <c r="T533" s="29" t="s">
        <v>3600</v>
      </c>
      <c r="U533" s="29" t="s">
        <v>3457</v>
      </c>
      <c r="V533" s="29" t="s">
        <v>3338</v>
      </c>
      <c r="W533" s="35" t="s">
        <v>1628</v>
      </c>
      <c r="X533" s="35" t="s">
        <v>2512</v>
      </c>
      <c r="Y533" s="35" t="s">
        <v>2532</v>
      </c>
      <c r="Z533" s="35" t="s">
        <v>2640</v>
      </c>
      <c r="AA533" s="35" t="s">
        <v>3459</v>
      </c>
      <c r="AB533" s="29" t="s">
        <v>3353</v>
      </c>
      <c r="AC533" s="35" t="s">
        <v>1633</v>
      </c>
      <c r="AD533" s="35" t="s">
        <v>1634</v>
      </c>
      <c r="AE533" s="35" t="s">
        <v>1634</v>
      </c>
      <c r="AF533" s="35" t="s">
        <v>1635</v>
      </c>
      <c r="AG533" s="35" t="s">
        <v>1636</v>
      </c>
      <c r="AI533" s="35"/>
      <c r="AJ533" s="35" t="s">
        <v>1637</v>
      </c>
      <c r="AK533" s="35" t="s">
        <v>1672</v>
      </c>
      <c r="AL533" s="29" t="s">
        <v>1803</v>
      </c>
      <c r="AM533" s="35"/>
      <c r="AN533" s="35"/>
      <c r="AO533" s="35"/>
      <c r="AP533" s="35"/>
      <c r="AQ533" s="35"/>
      <c r="AS533" s="35"/>
      <c r="AU533" s="35"/>
      <c r="AW533" s="35"/>
      <c r="AY533" s="35"/>
      <c r="AZ533" s="35"/>
      <c r="BA533" s="35"/>
      <c r="BB533" s="29" t="s">
        <v>2195</v>
      </c>
      <c r="BC533" s="29" t="s">
        <v>2347</v>
      </c>
      <c r="BD533" s="29" t="s">
        <v>3461</v>
      </c>
      <c r="BE533" s="29" t="s">
        <v>1805</v>
      </c>
      <c r="BF533" s="29" t="s">
        <v>2048</v>
      </c>
      <c r="BG533" s="29" t="s">
        <v>3601</v>
      </c>
      <c r="BH533" s="29" t="s">
        <v>2515</v>
      </c>
      <c r="BI533" s="35"/>
      <c r="BJ533" s="35"/>
      <c r="BK533" s="29" t="str" cm="1">
        <f t="array" ref="BK533">_xlfn.UNIQUE(MID(BB533,16,14))</f>
        <v>U012UNA01UH100</v>
      </c>
    </row>
    <row r="534" spans="1:63" x14ac:dyDescent="0.3">
      <c r="A534" s="29" t="s">
        <v>2529</v>
      </c>
      <c r="B534" s="36" t="str">
        <f t="shared" si="40"/>
        <v>G01NHX01QN002-QM11</v>
      </c>
      <c r="C534" s="33" t="s">
        <v>3602</v>
      </c>
      <c r="D534" s="34" t="str">
        <f t="shared" si="41"/>
        <v>ELY1 N2 DIST CTRL O2 SV11 CB MAN OFF/CLD</v>
      </c>
      <c r="E534" s="31">
        <f t="shared" si="42"/>
        <v>40</v>
      </c>
      <c r="F534" s="32" t="str">
        <f t="shared" si="43"/>
        <v>ELECTROLYSIS SYSTEM ELECTROLYSIS ARRAY 1 AUXILIARY SYSTEMS NITROGEN DISTRIBUTION NITROGEN REGULATION SYSTEMS NITROGEN REGULATION O2 BALL VALVE - NITROGEN O2 BYPASS MANUAL COMMAND OFF/CLOSE</v>
      </c>
      <c r="G534" s="29" t="s">
        <v>1614</v>
      </c>
      <c r="H534" s="29" t="s">
        <v>1615</v>
      </c>
      <c r="I534" s="29" t="str">
        <f t="shared" si="44"/>
        <v>01</v>
      </c>
      <c r="J534" s="29" t="s">
        <v>1616</v>
      </c>
      <c r="K534" s="29" t="s">
        <v>2506</v>
      </c>
      <c r="L534" s="29" t="s">
        <v>2507</v>
      </c>
      <c r="M534" s="29" t="s">
        <v>1619</v>
      </c>
      <c r="N534" s="29" t="s">
        <v>2508</v>
      </c>
      <c r="O534" s="29" t="s">
        <v>2509</v>
      </c>
      <c r="P534" s="29" t="s">
        <v>2510</v>
      </c>
      <c r="Q534" s="29" t="s">
        <v>1872</v>
      </c>
      <c r="R534" s="29" t="s">
        <v>2531</v>
      </c>
      <c r="S534" s="29" t="s">
        <v>2637</v>
      </c>
      <c r="T534" s="29" t="s">
        <v>3600</v>
      </c>
      <c r="U534" s="29" t="s">
        <v>3587</v>
      </c>
      <c r="V534" s="29" t="s">
        <v>3588</v>
      </c>
      <c r="W534" s="35" t="s">
        <v>1628</v>
      </c>
      <c r="X534" s="35" t="s">
        <v>2512</v>
      </c>
      <c r="Y534" s="35" t="s">
        <v>2532</v>
      </c>
      <c r="Z534" s="35" t="s">
        <v>2640</v>
      </c>
      <c r="AA534" s="35" t="s">
        <v>3589</v>
      </c>
      <c r="AB534" s="29" t="s">
        <v>3353</v>
      </c>
      <c r="AC534" s="35" t="s">
        <v>1633</v>
      </c>
      <c r="AD534" s="35" t="s">
        <v>1634</v>
      </c>
      <c r="AE534" s="35" t="s">
        <v>1634</v>
      </c>
      <c r="AF534" s="35" t="s">
        <v>1635</v>
      </c>
      <c r="AG534" s="35" t="s">
        <v>1636</v>
      </c>
      <c r="AI534" s="35"/>
      <c r="AJ534" s="35" t="s">
        <v>1637</v>
      </c>
      <c r="AK534" s="35" t="s">
        <v>1672</v>
      </c>
      <c r="AL534" s="29" t="s">
        <v>1803</v>
      </c>
      <c r="AM534" s="35"/>
      <c r="AN534" s="35"/>
      <c r="AO534" s="35"/>
      <c r="AP534" s="35"/>
      <c r="AQ534" s="35"/>
      <c r="AS534" s="35"/>
      <c r="AU534" s="35"/>
      <c r="AW534" s="35"/>
      <c r="AY534" s="35"/>
      <c r="AZ534" s="35"/>
      <c r="BA534" s="35"/>
      <c r="BB534" s="29" t="s">
        <v>2195</v>
      </c>
      <c r="BC534" s="29" t="s">
        <v>2347</v>
      </c>
      <c r="BD534" s="29" t="s">
        <v>3590</v>
      </c>
      <c r="BE534" s="29" t="s">
        <v>1805</v>
      </c>
      <c r="BF534" s="29" t="s">
        <v>2051</v>
      </c>
      <c r="BG534" s="29" t="s">
        <v>3601</v>
      </c>
      <c r="BH534" s="29" t="s">
        <v>2515</v>
      </c>
      <c r="BI534" s="35"/>
      <c r="BJ534" s="35"/>
      <c r="BK534" s="29" t="str" cm="1">
        <f t="array" ref="BK534">_xlfn.UNIQUE(MID(BB534,16,14))</f>
        <v>U012UNA01UH100</v>
      </c>
    </row>
    <row r="535" spans="1:63" x14ac:dyDescent="0.3">
      <c r="A535" s="29" t="s">
        <v>2529</v>
      </c>
      <c r="B535" s="36" t="str">
        <f t="shared" si="40"/>
        <v>G01NHX01QN002-QM21</v>
      </c>
      <c r="C535" s="33" t="s">
        <v>3603</v>
      </c>
      <c r="D535" s="34" t="str">
        <f t="shared" si="41"/>
        <v>ELY1 N2 DIST CTRL O2 SV21 CB MAN ON/OPN</v>
      </c>
      <c r="E535" s="31">
        <f t="shared" si="42"/>
        <v>39</v>
      </c>
      <c r="F535" s="32" t="str">
        <f t="shared" si="43"/>
        <v>ELECTROLYSIS SYSTEM ELECTROLYSIS ARRAY 1 AUXILIARY SYSTEMS NITROGEN DISTRIBUTION NITROGEN REGULATION SYSTEMS NITROGEN REGULATION O2 BALL VALVE - NITROGEN O2 OUTLET MANUAL COMMAND ON/OPEN</v>
      </c>
      <c r="G535" s="29" t="s">
        <v>1614</v>
      </c>
      <c r="H535" s="29" t="s">
        <v>1615</v>
      </c>
      <c r="I535" s="29" t="str">
        <f t="shared" si="44"/>
        <v>01</v>
      </c>
      <c r="J535" s="29" t="s">
        <v>1616</v>
      </c>
      <c r="K535" s="29" t="s">
        <v>2506</v>
      </c>
      <c r="L535" s="29" t="s">
        <v>2507</v>
      </c>
      <c r="M535" s="29" t="s">
        <v>1619</v>
      </c>
      <c r="N535" s="29" t="s">
        <v>2508</v>
      </c>
      <c r="O535" s="29" t="s">
        <v>2509</v>
      </c>
      <c r="P535" s="29" t="s">
        <v>2510</v>
      </c>
      <c r="Q535" s="29" t="s">
        <v>1872</v>
      </c>
      <c r="R535" s="29" t="s">
        <v>2531</v>
      </c>
      <c r="S535" s="29" t="s">
        <v>3592</v>
      </c>
      <c r="T535" s="29" t="s">
        <v>3604</v>
      </c>
      <c r="U535" s="29" t="s">
        <v>3457</v>
      </c>
      <c r="V535" s="29" t="s">
        <v>3338</v>
      </c>
      <c r="W535" s="35" t="s">
        <v>1628</v>
      </c>
      <c r="X535" s="35" t="s">
        <v>2512</v>
      </c>
      <c r="Y535" s="35" t="s">
        <v>2532</v>
      </c>
      <c r="Z535" s="35" t="s">
        <v>3594</v>
      </c>
      <c r="AA535" s="35" t="s">
        <v>3459</v>
      </c>
      <c r="AB535" s="29" t="s">
        <v>3595</v>
      </c>
      <c r="AC535" s="35" t="s">
        <v>1633</v>
      </c>
      <c r="AD535" s="35" t="s">
        <v>1634</v>
      </c>
      <c r="AE535" s="35" t="s">
        <v>1634</v>
      </c>
      <c r="AF535" s="35" t="s">
        <v>1635</v>
      </c>
      <c r="AG535" s="35" t="s">
        <v>1636</v>
      </c>
      <c r="AI535" s="35"/>
      <c r="AJ535" s="35" t="s">
        <v>1637</v>
      </c>
      <c r="AK535" s="35" t="s">
        <v>1672</v>
      </c>
      <c r="AL535" s="29" t="s">
        <v>1803</v>
      </c>
      <c r="AM535" s="35"/>
      <c r="AN535" s="35"/>
      <c r="AO535" s="35"/>
      <c r="AP535" s="35"/>
      <c r="AQ535" s="35"/>
      <c r="AS535" s="35"/>
      <c r="AU535" s="35"/>
      <c r="AW535" s="35"/>
      <c r="AY535" s="35"/>
      <c r="AZ535" s="35"/>
      <c r="BA535" s="35"/>
      <c r="BB535" s="29" t="s">
        <v>2195</v>
      </c>
      <c r="BC535" s="29" t="s">
        <v>2347</v>
      </c>
      <c r="BD535" s="29" t="s">
        <v>3461</v>
      </c>
      <c r="BE535" s="29" t="s">
        <v>1805</v>
      </c>
      <c r="BF535" s="29" t="s">
        <v>2016</v>
      </c>
      <c r="BG535" s="29" t="s">
        <v>3605</v>
      </c>
      <c r="BH535" s="29" t="s">
        <v>2515</v>
      </c>
      <c r="BI535" s="35"/>
      <c r="BJ535" s="35"/>
      <c r="BK535" s="29" t="str" cm="1">
        <f t="array" ref="BK535">_xlfn.UNIQUE(MID(BB535,16,14))</f>
        <v>U012UNA01UH100</v>
      </c>
    </row>
    <row r="536" spans="1:63" x14ac:dyDescent="0.3">
      <c r="A536" s="29" t="s">
        <v>2529</v>
      </c>
      <c r="B536" s="36" t="str">
        <f t="shared" si="40"/>
        <v>G01NHX01QN002-QM21</v>
      </c>
      <c r="C536" s="33" t="s">
        <v>3606</v>
      </c>
      <c r="D536" s="34" t="str">
        <f t="shared" si="41"/>
        <v>ELY1 N2 DIST CTRL O2 SV21 CB MAN OFF/CLD</v>
      </c>
      <c r="E536" s="31">
        <f t="shared" si="42"/>
        <v>40</v>
      </c>
      <c r="F536" s="32" t="str">
        <f t="shared" si="43"/>
        <v>ELECTROLYSIS SYSTEM ELECTROLYSIS ARRAY 1 AUXILIARY SYSTEMS NITROGEN DISTRIBUTION NITROGEN REGULATION SYSTEMS NITROGEN REGULATION O2 BALL VALVE - NITROGEN O2 OUTLET MANUAL COMMAND OFF/CLOSE</v>
      </c>
      <c r="G536" s="29" t="s">
        <v>1614</v>
      </c>
      <c r="H536" s="29" t="s">
        <v>1615</v>
      </c>
      <c r="I536" s="29" t="str">
        <f t="shared" si="44"/>
        <v>01</v>
      </c>
      <c r="J536" s="29" t="s">
        <v>1616</v>
      </c>
      <c r="K536" s="29" t="s">
        <v>2506</v>
      </c>
      <c r="L536" s="29" t="s">
        <v>2507</v>
      </c>
      <c r="M536" s="29" t="s">
        <v>1619</v>
      </c>
      <c r="N536" s="29" t="s">
        <v>2508</v>
      </c>
      <c r="O536" s="29" t="s">
        <v>2509</v>
      </c>
      <c r="P536" s="29" t="s">
        <v>2510</v>
      </c>
      <c r="Q536" s="29" t="s">
        <v>1872</v>
      </c>
      <c r="R536" s="29" t="s">
        <v>2531</v>
      </c>
      <c r="S536" s="29" t="s">
        <v>3592</v>
      </c>
      <c r="T536" s="29" t="s">
        <v>3604</v>
      </c>
      <c r="U536" s="29" t="s">
        <v>3587</v>
      </c>
      <c r="V536" s="29" t="s">
        <v>3588</v>
      </c>
      <c r="W536" s="35" t="s">
        <v>1628</v>
      </c>
      <c r="X536" s="35" t="s">
        <v>2512</v>
      </c>
      <c r="Y536" s="35" t="s">
        <v>2532</v>
      </c>
      <c r="Z536" s="35" t="s">
        <v>3594</v>
      </c>
      <c r="AA536" s="35" t="s">
        <v>3589</v>
      </c>
      <c r="AB536" s="29" t="s">
        <v>3595</v>
      </c>
      <c r="AC536" s="35" t="s">
        <v>1633</v>
      </c>
      <c r="AD536" s="35" t="s">
        <v>1634</v>
      </c>
      <c r="AE536" s="35" t="s">
        <v>1634</v>
      </c>
      <c r="AF536" s="35" t="s">
        <v>1635</v>
      </c>
      <c r="AG536" s="35" t="s">
        <v>1636</v>
      </c>
      <c r="AI536" s="35"/>
      <c r="AJ536" s="35" t="s">
        <v>1637</v>
      </c>
      <c r="AK536" s="35" t="s">
        <v>1672</v>
      </c>
      <c r="AL536" s="29" t="s">
        <v>1803</v>
      </c>
      <c r="AM536" s="35"/>
      <c r="AN536" s="35"/>
      <c r="AO536" s="35"/>
      <c r="AP536" s="35"/>
      <c r="AQ536" s="35"/>
      <c r="AS536" s="35"/>
      <c r="AU536" s="35"/>
      <c r="AW536" s="35"/>
      <c r="AY536" s="35"/>
      <c r="AZ536" s="35"/>
      <c r="BA536" s="35"/>
      <c r="BB536" s="29" t="s">
        <v>2195</v>
      </c>
      <c r="BC536" s="29" t="s">
        <v>2347</v>
      </c>
      <c r="BD536" s="29" t="s">
        <v>3590</v>
      </c>
      <c r="BE536" s="29" t="s">
        <v>1805</v>
      </c>
      <c r="BF536" s="29" t="s">
        <v>2341</v>
      </c>
      <c r="BG536" s="29" t="s">
        <v>3605</v>
      </c>
      <c r="BH536" s="29" t="s">
        <v>2515</v>
      </c>
      <c r="BI536" s="35"/>
      <c r="BJ536" s="35"/>
      <c r="BK536" s="29" t="str" cm="1">
        <f t="array" ref="BK536">_xlfn.UNIQUE(MID(BB536,16,14))</f>
        <v>U012UNA01UH100</v>
      </c>
    </row>
    <row r="537" spans="1:63" x14ac:dyDescent="0.3">
      <c r="A537" s="29" t="s">
        <v>2529</v>
      </c>
      <c r="B537" s="36" t="str">
        <f t="shared" si="40"/>
        <v>G01NHX01QN002-QN01</v>
      </c>
      <c r="C537" s="33" t="s">
        <v>3607</v>
      </c>
      <c r="D537" s="34" t="str">
        <f t="shared" si="41"/>
        <v>ELY1 N2 DIST CTRL O2 CV1 GRP FLT</v>
      </c>
      <c r="E537" s="31">
        <f t="shared" si="42"/>
        <v>32</v>
      </c>
      <c r="F537" s="32" t="str">
        <f t="shared" si="43"/>
        <v>ELECTROLYSIS SYSTEM ELECTROLYSIS ARRAY 1 AUXILIARY SYSTEMS NITROGEN DISTRIBUTION NITROGEN REGULATION SYSTEMS NITROGEN REGULATION O2 CONTROL VALVE - NITROGEN O2 SIDE GROUP FAULT ALARM</v>
      </c>
      <c r="G537" s="29" t="s">
        <v>1614</v>
      </c>
      <c r="H537" s="29" t="s">
        <v>1615</v>
      </c>
      <c r="I537" s="29" t="str">
        <f t="shared" si="44"/>
        <v>01</v>
      </c>
      <c r="J537" s="29" t="s">
        <v>1616</v>
      </c>
      <c r="K537" s="29" t="s">
        <v>2506</v>
      </c>
      <c r="L537" s="29" t="s">
        <v>2507</v>
      </c>
      <c r="M537" s="29" t="s">
        <v>1619</v>
      </c>
      <c r="N537" s="29" t="s">
        <v>2508</v>
      </c>
      <c r="O537" s="29" t="s">
        <v>2509</v>
      </c>
      <c r="P537" s="29" t="s">
        <v>2510</v>
      </c>
      <c r="Q537" s="29" t="s">
        <v>1872</v>
      </c>
      <c r="R537" s="29" t="s">
        <v>2531</v>
      </c>
      <c r="S537" s="29" t="s">
        <v>1800</v>
      </c>
      <c r="T537" s="29" t="s">
        <v>2540</v>
      </c>
      <c r="U537" s="29" t="s">
        <v>1033</v>
      </c>
      <c r="V537" s="29" t="s">
        <v>1288</v>
      </c>
      <c r="W537" s="35" t="s">
        <v>1628</v>
      </c>
      <c r="X537" s="35" t="s">
        <v>2512</v>
      </c>
      <c r="Y537" s="35" t="s">
        <v>2532</v>
      </c>
      <c r="Z537" s="35" t="s">
        <v>1802</v>
      </c>
      <c r="AA537" s="35" t="s">
        <v>2633</v>
      </c>
      <c r="AB537" s="29" t="s">
        <v>2015</v>
      </c>
      <c r="AC537" s="35" t="s">
        <v>1633</v>
      </c>
      <c r="AD537" s="35" t="s">
        <v>1634</v>
      </c>
      <c r="AE537" s="35" t="s">
        <v>1634</v>
      </c>
      <c r="AF537" s="35" t="s">
        <v>1635</v>
      </c>
      <c r="AG537" s="35" t="s">
        <v>1636</v>
      </c>
      <c r="AI537" s="35"/>
      <c r="AJ537" s="35" t="s">
        <v>1637</v>
      </c>
      <c r="AK537" s="35" t="s">
        <v>1672</v>
      </c>
      <c r="AL537" s="29" t="s">
        <v>1803</v>
      </c>
      <c r="AM537" s="35"/>
      <c r="AN537" s="35"/>
      <c r="AO537" s="35"/>
      <c r="AP537" s="35"/>
      <c r="AQ537" s="35"/>
      <c r="AS537" s="35"/>
      <c r="AU537" s="35"/>
      <c r="AW537" s="35"/>
      <c r="AY537" s="35"/>
      <c r="AZ537" s="35"/>
      <c r="BA537" s="35"/>
      <c r="BB537" s="29" t="s">
        <v>2195</v>
      </c>
      <c r="BC537" s="29" t="s">
        <v>2347</v>
      </c>
      <c r="BD537" s="29" t="s">
        <v>2635</v>
      </c>
      <c r="BE537" s="29" t="s">
        <v>1805</v>
      </c>
      <c r="BF537" s="29" t="s">
        <v>2388</v>
      </c>
      <c r="BG537" s="29" t="s">
        <v>2541</v>
      </c>
      <c r="BH537" s="29" t="s">
        <v>2515</v>
      </c>
      <c r="BI537" s="35"/>
      <c r="BJ537" s="35"/>
      <c r="BK537" s="29" t="str" cm="1">
        <f t="array" ref="BK537">_xlfn.UNIQUE(MID(BB537,16,14))</f>
        <v>U012UNA01UH100</v>
      </c>
    </row>
    <row r="538" spans="1:63" x14ac:dyDescent="0.3">
      <c r="A538" s="29" t="s">
        <v>3608</v>
      </c>
      <c r="B538" s="36" t="str">
        <f t="shared" si="40"/>
        <v>G01NHY01KF001-BA11</v>
      </c>
      <c r="C538" s="33" t="s">
        <v>3609</v>
      </c>
      <c r="D538" s="34" t="str">
        <f t="shared" si="41"/>
        <v>ELY1 ARY CTRL U1 400VAC MON CB ON/OPN</v>
      </c>
      <c r="E538" s="31">
        <f t="shared" si="42"/>
        <v>37</v>
      </c>
      <c r="F538" s="32" t="str">
        <f t="shared" si="43"/>
        <v>ELECTROLYSIS SYSTEM ELECTROLYSIS ARRAY 1 ARRAY CONTROL SYSTEM ARRAY CONTROL SYSTEM CONTROL UNITS ARRAY CONTROL UNIT 400VAC MONITORING CHECK BACK ON/OPEN</v>
      </c>
      <c r="G538" s="29" t="s">
        <v>1614</v>
      </c>
      <c r="H538" s="29" t="s">
        <v>1615</v>
      </c>
      <c r="I538" s="29" t="str">
        <f t="shared" si="44"/>
        <v>01</v>
      </c>
      <c r="J538" s="29" t="s">
        <v>1616</v>
      </c>
      <c r="K538" s="29" t="s">
        <v>3610</v>
      </c>
      <c r="L538" s="29" t="s">
        <v>3611</v>
      </c>
      <c r="M538" s="29" t="s">
        <v>1619</v>
      </c>
      <c r="N538" s="29" t="s">
        <v>3611</v>
      </c>
      <c r="O538" s="29" t="s">
        <v>1771</v>
      </c>
      <c r="P538" s="29" t="s">
        <v>2055</v>
      </c>
      <c r="Q538" s="29" t="s">
        <v>1623</v>
      </c>
      <c r="R538" s="29" t="s">
        <v>3612</v>
      </c>
      <c r="S538" s="29" t="s">
        <v>2736</v>
      </c>
      <c r="T538" s="29" t="s">
        <v>2737</v>
      </c>
      <c r="U538" s="29" t="s">
        <v>790</v>
      </c>
      <c r="V538" s="29" t="s">
        <v>2639</v>
      </c>
      <c r="W538" s="35" t="s">
        <v>1628</v>
      </c>
      <c r="X538" s="35" t="s">
        <v>3613</v>
      </c>
      <c r="Y538" s="35" t="s">
        <v>1775</v>
      </c>
      <c r="Z538" s="35" t="s">
        <v>2738</v>
      </c>
      <c r="AA538" s="35" t="s">
        <v>2641</v>
      </c>
      <c r="AB538" s="29" t="s">
        <v>1638</v>
      </c>
      <c r="AC538" s="35" t="s">
        <v>1633</v>
      </c>
      <c r="AD538" s="35" t="s">
        <v>1634</v>
      </c>
      <c r="AE538" s="35" t="s">
        <v>1634</v>
      </c>
      <c r="AF538" s="35" t="s">
        <v>1635</v>
      </c>
      <c r="AG538" s="35" t="s">
        <v>2634</v>
      </c>
      <c r="AI538" s="35"/>
      <c r="AJ538" s="35" t="s">
        <v>1637</v>
      </c>
      <c r="AK538" s="35" t="s">
        <v>1672</v>
      </c>
      <c r="AL538" s="29" t="s">
        <v>2715</v>
      </c>
      <c r="AM538" s="35"/>
      <c r="AN538" s="35"/>
      <c r="AO538" s="35"/>
      <c r="AP538" s="35"/>
      <c r="AQ538" s="35"/>
      <c r="AS538" s="35"/>
      <c r="AU538" s="35"/>
      <c r="AW538" s="35"/>
      <c r="AY538" s="35"/>
      <c r="AZ538" s="35"/>
      <c r="BA538" s="35"/>
      <c r="BB538" s="29" t="s">
        <v>2333</v>
      </c>
      <c r="BC538" s="29" t="s">
        <v>2347</v>
      </c>
      <c r="BD538" s="29" t="s">
        <v>2739</v>
      </c>
      <c r="BE538" s="29" t="s">
        <v>1805</v>
      </c>
      <c r="BF538" s="29" t="s">
        <v>1619</v>
      </c>
      <c r="BG538" s="29" t="s">
        <v>3614</v>
      </c>
      <c r="BI538" s="35"/>
      <c r="BJ538" s="35"/>
      <c r="BK538" s="29" t="str" cm="1">
        <f t="array" ref="BK538">_xlfn.UNIQUE(MID(BB538,16,14))</f>
        <v>U012UNA01UH100</v>
      </c>
    </row>
    <row r="539" spans="1:63" x14ac:dyDescent="0.3">
      <c r="A539" s="29" t="s">
        <v>3608</v>
      </c>
      <c r="B539" s="36" t="str">
        <f t="shared" si="40"/>
        <v>G01NHY01KF001-BA21</v>
      </c>
      <c r="C539" s="33" t="s">
        <v>3615</v>
      </c>
      <c r="D539" s="34" t="str">
        <f t="shared" si="41"/>
        <v>ELY1 ARY CTRL U1 230VAC MON CB ON/OPN</v>
      </c>
      <c r="E539" s="31">
        <f t="shared" si="42"/>
        <v>37</v>
      </c>
      <c r="F539" s="32" t="str">
        <f t="shared" si="43"/>
        <v>ELECTROLYSIS SYSTEM ELECTROLYSIS ARRAY 1 ARRAY CONTROL SYSTEM ARRAY CONTROL SYSTEM CONTROL UNITS ARRAY CONTROL UNIT 2300VAC MONITORING CHECK BACK ON/OPEN</v>
      </c>
      <c r="G539" s="29" t="s">
        <v>1614</v>
      </c>
      <c r="H539" s="29" t="s">
        <v>1615</v>
      </c>
      <c r="I539" s="29" t="str">
        <f t="shared" si="44"/>
        <v>01</v>
      </c>
      <c r="J539" s="29" t="s">
        <v>1616</v>
      </c>
      <c r="K539" s="29" t="s">
        <v>3610</v>
      </c>
      <c r="L539" s="29" t="s">
        <v>3611</v>
      </c>
      <c r="M539" s="29" t="s">
        <v>1619</v>
      </c>
      <c r="N539" s="29" t="s">
        <v>3611</v>
      </c>
      <c r="O539" s="29" t="s">
        <v>1771</v>
      </c>
      <c r="P539" s="29" t="s">
        <v>2055</v>
      </c>
      <c r="Q539" s="29" t="s">
        <v>1623</v>
      </c>
      <c r="R539" s="29" t="s">
        <v>3612</v>
      </c>
      <c r="S539" s="29" t="s">
        <v>2742</v>
      </c>
      <c r="T539" s="29" t="s">
        <v>3616</v>
      </c>
      <c r="U539" s="29" t="s">
        <v>790</v>
      </c>
      <c r="V539" s="29" t="s">
        <v>2639</v>
      </c>
      <c r="W539" s="35" t="s">
        <v>1628</v>
      </c>
      <c r="X539" s="35" t="s">
        <v>3613</v>
      </c>
      <c r="Y539" s="35" t="s">
        <v>1775</v>
      </c>
      <c r="Z539" s="35" t="s">
        <v>2744</v>
      </c>
      <c r="AA539" s="35" t="s">
        <v>2641</v>
      </c>
      <c r="AB539" s="29" t="s">
        <v>1638</v>
      </c>
      <c r="AC539" s="35" t="s">
        <v>1633</v>
      </c>
      <c r="AD539" s="35" t="s">
        <v>1634</v>
      </c>
      <c r="AE539" s="35" t="s">
        <v>1634</v>
      </c>
      <c r="AF539" s="35" t="s">
        <v>1635</v>
      </c>
      <c r="AG539" s="35" t="s">
        <v>2634</v>
      </c>
      <c r="AI539" s="35"/>
      <c r="AJ539" s="35" t="s">
        <v>1637</v>
      </c>
      <c r="AK539" s="35" t="s">
        <v>1672</v>
      </c>
      <c r="AL539" s="29" t="s">
        <v>2715</v>
      </c>
      <c r="AM539" s="35"/>
      <c r="AN539" s="35"/>
      <c r="AO539" s="35"/>
      <c r="AP539" s="35"/>
      <c r="AQ539" s="35"/>
      <c r="AS539" s="35"/>
      <c r="AU539" s="35"/>
      <c r="AW539" s="35"/>
      <c r="AY539" s="35"/>
      <c r="AZ539" s="35"/>
      <c r="BA539" s="35"/>
      <c r="BB539" s="29" t="s">
        <v>2333</v>
      </c>
      <c r="BC539" s="29" t="s">
        <v>2347</v>
      </c>
      <c r="BD539" s="29" t="s">
        <v>2739</v>
      </c>
      <c r="BE539" s="29" t="s">
        <v>1805</v>
      </c>
      <c r="BF539" s="29" t="s">
        <v>1905</v>
      </c>
      <c r="BG539" s="29" t="s">
        <v>3617</v>
      </c>
      <c r="BI539" s="35"/>
      <c r="BJ539" s="35"/>
      <c r="BK539" s="29" t="str" cm="1">
        <f t="array" ref="BK539">_xlfn.UNIQUE(MID(BB539,16,14))</f>
        <v>U012UNA01UH100</v>
      </c>
    </row>
    <row r="540" spans="1:63" x14ac:dyDescent="0.3">
      <c r="A540" s="29" t="s">
        <v>3608</v>
      </c>
      <c r="B540" s="36" t="str">
        <f t="shared" si="40"/>
        <v>G01NHY01KF001-BA41</v>
      </c>
      <c r="C540" s="33" t="s">
        <v>3618</v>
      </c>
      <c r="D540" s="34" t="str">
        <f t="shared" si="41"/>
        <v>ELY1 ARY CTRL U1 UPS MON CB ON/OPN</v>
      </c>
      <c r="E540" s="31">
        <f t="shared" si="42"/>
        <v>34</v>
      </c>
      <c r="F540" s="32" t="str">
        <f t="shared" si="43"/>
        <v>ELECTROLYSIS SYSTEM ELECTROLYSIS ARRAY 1 ARRAY CONTROL SYSTEM ARRAY CONTROL SYSTEM CONTROL UNITS ARRAY CONTROL UNIT 230VAC UPS MONITORING CHECK BACK ON/OPEN</v>
      </c>
      <c r="G540" s="29" t="s">
        <v>1614</v>
      </c>
      <c r="H540" s="29" t="s">
        <v>1615</v>
      </c>
      <c r="I540" s="29" t="str">
        <f t="shared" si="44"/>
        <v>01</v>
      </c>
      <c r="J540" s="29" t="s">
        <v>1616</v>
      </c>
      <c r="K540" s="29" t="s">
        <v>3610</v>
      </c>
      <c r="L540" s="29" t="s">
        <v>3611</v>
      </c>
      <c r="M540" s="29" t="s">
        <v>1619</v>
      </c>
      <c r="N540" s="29" t="s">
        <v>3611</v>
      </c>
      <c r="O540" s="29" t="s">
        <v>1771</v>
      </c>
      <c r="P540" s="29" t="s">
        <v>2055</v>
      </c>
      <c r="Q540" s="29" t="s">
        <v>1623</v>
      </c>
      <c r="R540" s="29" t="s">
        <v>3612</v>
      </c>
      <c r="S540" s="29" t="s">
        <v>2747</v>
      </c>
      <c r="T540" s="29" t="s">
        <v>2748</v>
      </c>
      <c r="U540" s="29" t="s">
        <v>790</v>
      </c>
      <c r="V540" s="29" t="s">
        <v>2639</v>
      </c>
      <c r="W540" s="35" t="s">
        <v>1628</v>
      </c>
      <c r="X540" s="35" t="s">
        <v>3613</v>
      </c>
      <c r="Y540" s="35" t="s">
        <v>1775</v>
      </c>
      <c r="Z540" s="35" t="s">
        <v>2749</v>
      </c>
      <c r="AA540" s="35" t="s">
        <v>2641</v>
      </c>
      <c r="AB540" s="29" t="s">
        <v>1638</v>
      </c>
      <c r="AC540" s="35" t="s">
        <v>1633</v>
      </c>
      <c r="AD540" s="35" t="s">
        <v>1634</v>
      </c>
      <c r="AE540" s="35" t="s">
        <v>1634</v>
      </c>
      <c r="AF540" s="35" t="s">
        <v>1635</v>
      </c>
      <c r="AG540" s="35" t="s">
        <v>2634</v>
      </c>
      <c r="AI540" s="35"/>
      <c r="AJ540" s="35" t="s">
        <v>1637</v>
      </c>
      <c r="AK540" s="35" t="s">
        <v>1672</v>
      </c>
      <c r="AL540" s="29" t="s">
        <v>2715</v>
      </c>
      <c r="AM540" s="35"/>
      <c r="AN540" s="35"/>
      <c r="AO540" s="35"/>
      <c r="AP540" s="35"/>
      <c r="AQ540" s="35"/>
      <c r="AS540" s="35"/>
      <c r="AU540" s="35"/>
      <c r="AW540" s="35"/>
      <c r="AY540" s="35"/>
      <c r="AZ540" s="35"/>
      <c r="BA540" s="35"/>
      <c r="BB540" s="29" t="s">
        <v>2333</v>
      </c>
      <c r="BC540" s="29" t="s">
        <v>2347</v>
      </c>
      <c r="BD540" s="29" t="s">
        <v>2739</v>
      </c>
      <c r="BE540" s="29" t="s">
        <v>1805</v>
      </c>
      <c r="BF540" s="29" t="s">
        <v>1909</v>
      </c>
      <c r="BG540" s="29" t="s">
        <v>3619</v>
      </c>
      <c r="BI540" s="35"/>
      <c r="BJ540" s="35"/>
      <c r="BK540" s="29" t="str" cm="1">
        <f t="array" ref="BK540">_xlfn.UNIQUE(MID(BB540,16,14))</f>
        <v>U012UNA01UH100</v>
      </c>
    </row>
    <row r="541" spans="1:63" x14ac:dyDescent="0.3">
      <c r="A541" s="29" t="s">
        <v>3608</v>
      </c>
      <c r="B541" s="36" t="str">
        <f t="shared" si="40"/>
        <v>G01NHY01KF001-FC01</v>
      </c>
      <c r="C541" s="33" t="s">
        <v>3620</v>
      </c>
      <c r="D541" s="34" t="str">
        <f t="shared" si="41"/>
        <v>ELY1 ARY CTRL U1 24V MON1 CB ON/OPN</v>
      </c>
      <c r="E541" s="31">
        <f t="shared" si="42"/>
        <v>35</v>
      </c>
      <c r="F541" s="32" t="str">
        <f t="shared" si="43"/>
        <v>ELECTROLYSIS SYSTEM ELECTROLYSIS ARRAY 1 ARRAY CONTROL SYSTEM ARRAY CONTROL SYSTEM CONTROL UNITS ARRAY CONTROL UNIT 24VDC DISTRIBUTION CHECK BACK ON/OPEN</v>
      </c>
      <c r="G541" s="29" t="s">
        <v>1614</v>
      </c>
      <c r="H541" s="29" t="s">
        <v>1615</v>
      </c>
      <c r="I541" s="29" t="str">
        <f t="shared" si="44"/>
        <v>01</v>
      </c>
      <c r="J541" s="29" t="s">
        <v>1616</v>
      </c>
      <c r="K541" s="29" t="s">
        <v>3610</v>
      </c>
      <c r="L541" s="29" t="s">
        <v>3611</v>
      </c>
      <c r="M541" s="29" t="s">
        <v>1619</v>
      </c>
      <c r="N541" s="29" t="s">
        <v>3611</v>
      </c>
      <c r="O541" s="29" t="s">
        <v>1771</v>
      </c>
      <c r="P541" s="29" t="s">
        <v>2055</v>
      </c>
      <c r="Q541" s="29" t="s">
        <v>1623</v>
      </c>
      <c r="R541" s="29" t="s">
        <v>3612</v>
      </c>
      <c r="S541" s="29" t="s">
        <v>2657</v>
      </c>
      <c r="T541" s="29" t="s">
        <v>2658</v>
      </c>
      <c r="U541" s="29" t="s">
        <v>790</v>
      </c>
      <c r="V541" s="29" t="s">
        <v>2639</v>
      </c>
      <c r="W541" s="35" t="s">
        <v>1628</v>
      </c>
      <c r="X541" s="35" t="s">
        <v>3613</v>
      </c>
      <c r="Y541" s="35" t="s">
        <v>1775</v>
      </c>
      <c r="Z541" s="35" t="s">
        <v>2659</v>
      </c>
      <c r="AA541" s="35" t="s">
        <v>2641</v>
      </c>
      <c r="AB541" s="29" t="s">
        <v>2657</v>
      </c>
      <c r="AC541" s="35" t="s">
        <v>1633</v>
      </c>
      <c r="AD541" s="35" t="s">
        <v>1634</v>
      </c>
      <c r="AE541" s="35" t="s">
        <v>1634</v>
      </c>
      <c r="AF541" s="35" t="s">
        <v>1635</v>
      </c>
      <c r="AG541" s="35" t="s">
        <v>2660</v>
      </c>
      <c r="AI541" s="35"/>
      <c r="AJ541" s="35" t="s">
        <v>1637</v>
      </c>
      <c r="AK541" s="35" t="s">
        <v>1672</v>
      </c>
      <c r="AL541" s="29" t="s">
        <v>2715</v>
      </c>
      <c r="AM541" s="35"/>
      <c r="AN541" s="35"/>
      <c r="AO541" s="35"/>
      <c r="AP541" s="35"/>
      <c r="AQ541" s="35"/>
      <c r="AS541" s="35"/>
      <c r="AU541" s="35"/>
      <c r="AW541" s="35"/>
      <c r="AY541" s="35"/>
      <c r="AZ541" s="35"/>
      <c r="BA541" s="35"/>
      <c r="BB541" s="29" t="s">
        <v>2333</v>
      </c>
      <c r="BC541" s="29" t="s">
        <v>2347</v>
      </c>
      <c r="BD541" s="29" t="s">
        <v>2739</v>
      </c>
      <c r="BE541" s="29" t="s">
        <v>1805</v>
      </c>
      <c r="BF541" s="29" t="s">
        <v>1915</v>
      </c>
      <c r="BG541" s="29" t="s">
        <v>3621</v>
      </c>
      <c r="BI541" s="35"/>
      <c r="BJ541" s="35"/>
      <c r="BK541" s="29" t="str" cm="1">
        <f t="array" ref="BK541">_xlfn.UNIQUE(MID(BB541,16,14))</f>
        <v>U012UNA01UH100</v>
      </c>
    </row>
    <row r="542" spans="1:63" x14ac:dyDescent="0.3">
      <c r="A542" s="29" t="s">
        <v>3608</v>
      </c>
      <c r="B542" s="36" t="str">
        <f t="shared" si="40"/>
        <v>G01NHY01KF001-FC02</v>
      </c>
      <c r="C542" s="33" t="s">
        <v>3622</v>
      </c>
      <c r="D542" s="34" t="str">
        <f t="shared" si="41"/>
        <v>ELY1 ARY CTRL U1 24V MON2 CB ON/OPN</v>
      </c>
      <c r="E542" s="31">
        <f t="shared" si="42"/>
        <v>35</v>
      </c>
      <c r="F542" s="32" t="str">
        <f t="shared" si="43"/>
        <v>ELECTROLYSIS SYSTEM ELECTROLYSIS ARRAY 1 ARRAY CONTROL SYSTEM ARRAY CONTROL SYSTEM CONTROL UNITS ARRAY CONTROL UNIT 24VDC DISTRIBUTION CHECK BACK ON/OPEN</v>
      </c>
      <c r="G542" s="29" t="s">
        <v>1614</v>
      </c>
      <c r="H542" s="29" t="s">
        <v>1615</v>
      </c>
      <c r="I542" s="29" t="str">
        <f t="shared" si="44"/>
        <v>01</v>
      </c>
      <c r="J542" s="29" t="s">
        <v>1616</v>
      </c>
      <c r="K542" s="29" t="s">
        <v>3610</v>
      </c>
      <c r="L542" s="29" t="s">
        <v>3611</v>
      </c>
      <c r="M542" s="29" t="s">
        <v>1619</v>
      </c>
      <c r="N542" s="29" t="s">
        <v>3611</v>
      </c>
      <c r="O542" s="29" t="s">
        <v>1771</v>
      </c>
      <c r="P542" s="29" t="s">
        <v>2055</v>
      </c>
      <c r="Q542" s="29" t="s">
        <v>1623</v>
      </c>
      <c r="R542" s="29" t="s">
        <v>3612</v>
      </c>
      <c r="S542" s="29" t="s">
        <v>2754</v>
      </c>
      <c r="T542" s="29" t="s">
        <v>2658</v>
      </c>
      <c r="U542" s="29" t="s">
        <v>790</v>
      </c>
      <c r="V542" s="29" t="s">
        <v>2639</v>
      </c>
      <c r="W542" s="35" t="s">
        <v>1628</v>
      </c>
      <c r="X542" s="35" t="s">
        <v>3613</v>
      </c>
      <c r="Y542" s="35" t="s">
        <v>1775</v>
      </c>
      <c r="Z542" s="35" t="s">
        <v>2755</v>
      </c>
      <c r="AA542" s="35" t="s">
        <v>2641</v>
      </c>
      <c r="AB542" s="29" t="s">
        <v>2754</v>
      </c>
      <c r="AC542" s="35" t="s">
        <v>1633</v>
      </c>
      <c r="AD542" s="35" t="s">
        <v>1634</v>
      </c>
      <c r="AE542" s="35" t="s">
        <v>1634</v>
      </c>
      <c r="AF542" s="35" t="s">
        <v>1635</v>
      </c>
      <c r="AG542" s="35" t="s">
        <v>2660</v>
      </c>
      <c r="AI542" s="35"/>
      <c r="AJ542" s="35" t="s">
        <v>1637</v>
      </c>
      <c r="AK542" s="35" t="s">
        <v>1672</v>
      </c>
      <c r="AL542" s="29" t="s">
        <v>2715</v>
      </c>
      <c r="AM542" s="35"/>
      <c r="AN542" s="35"/>
      <c r="AO542" s="35"/>
      <c r="AP542" s="35"/>
      <c r="AQ542" s="35"/>
      <c r="AS542" s="35"/>
      <c r="AU542" s="35"/>
      <c r="AW542" s="35"/>
      <c r="AY542" s="35"/>
      <c r="AZ542" s="35"/>
      <c r="BA542" s="35"/>
      <c r="BB542" s="29" t="s">
        <v>2333</v>
      </c>
      <c r="BC542" s="29" t="s">
        <v>2347</v>
      </c>
      <c r="BD542" s="29" t="s">
        <v>2739</v>
      </c>
      <c r="BE542" s="29" t="s">
        <v>1805</v>
      </c>
      <c r="BF542" s="29" t="s">
        <v>1919</v>
      </c>
      <c r="BG542" s="29" t="s">
        <v>3623</v>
      </c>
      <c r="BI542" s="35"/>
      <c r="BJ542" s="35"/>
      <c r="BK542" s="29" t="str" cm="1">
        <f t="array" ref="BK542">_xlfn.UNIQUE(MID(BB542,16,14))</f>
        <v>U012UNA01UH100</v>
      </c>
    </row>
    <row r="543" spans="1:63" x14ac:dyDescent="0.3">
      <c r="A543" s="29" t="s">
        <v>3608</v>
      </c>
      <c r="B543" s="36" t="str">
        <f t="shared" si="40"/>
        <v>G01NHY01KF001-FC03</v>
      </c>
      <c r="C543" s="33" t="s">
        <v>3624</v>
      </c>
      <c r="D543" s="34" t="str">
        <f t="shared" si="41"/>
        <v>ELY1 ARY CTRL U1 24V MON3 CB ON/OPN</v>
      </c>
      <c r="E543" s="31">
        <f t="shared" si="42"/>
        <v>35</v>
      </c>
      <c r="F543" s="32" t="str">
        <f t="shared" si="43"/>
        <v>ELECTROLYSIS SYSTEM ELECTROLYSIS ARRAY 1 ARRAY CONTROL SYSTEM ARRAY CONTROL SYSTEM CONTROL UNITS ARRAY CONTROL UNIT 24VDC DISTRIBUTION CHECK BACK ON/OPEN</v>
      </c>
      <c r="G543" s="29" t="s">
        <v>1614</v>
      </c>
      <c r="H543" s="29" t="s">
        <v>1615</v>
      </c>
      <c r="I543" s="29" t="str">
        <f t="shared" si="44"/>
        <v>01</v>
      </c>
      <c r="J543" s="29" t="s">
        <v>1616</v>
      </c>
      <c r="K543" s="29" t="s">
        <v>3610</v>
      </c>
      <c r="L543" s="29" t="s">
        <v>3611</v>
      </c>
      <c r="M543" s="29" t="s">
        <v>1619</v>
      </c>
      <c r="N543" s="29" t="s">
        <v>3611</v>
      </c>
      <c r="O543" s="29" t="s">
        <v>1771</v>
      </c>
      <c r="P543" s="29" t="s">
        <v>2055</v>
      </c>
      <c r="Q543" s="29" t="s">
        <v>1623</v>
      </c>
      <c r="R543" s="29" t="s">
        <v>3612</v>
      </c>
      <c r="S543" s="29" t="s">
        <v>2759</v>
      </c>
      <c r="T543" s="29" t="s">
        <v>2658</v>
      </c>
      <c r="U543" s="29" t="s">
        <v>790</v>
      </c>
      <c r="V543" s="29" t="s">
        <v>2639</v>
      </c>
      <c r="W543" s="35" t="s">
        <v>1628</v>
      </c>
      <c r="X543" s="35" t="s">
        <v>3613</v>
      </c>
      <c r="Y543" s="35" t="s">
        <v>1775</v>
      </c>
      <c r="Z543" s="35" t="s">
        <v>2760</v>
      </c>
      <c r="AA543" s="35" t="s">
        <v>2641</v>
      </c>
      <c r="AB543" s="29" t="s">
        <v>2759</v>
      </c>
      <c r="AC543" s="35" t="s">
        <v>1633</v>
      </c>
      <c r="AD543" s="35" t="s">
        <v>1634</v>
      </c>
      <c r="AE543" s="35" t="s">
        <v>1634</v>
      </c>
      <c r="AF543" s="35" t="s">
        <v>1635</v>
      </c>
      <c r="AG543" s="35" t="s">
        <v>2634</v>
      </c>
      <c r="AI543" s="35"/>
      <c r="AJ543" s="35" t="s">
        <v>1637</v>
      </c>
      <c r="AK543" s="35" t="s">
        <v>1672</v>
      </c>
      <c r="AL543" s="29" t="s">
        <v>2715</v>
      </c>
      <c r="AM543" s="35"/>
      <c r="AN543" s="35"/>
      <c r="AO543" s="35"/>
      <c r="AP543" s="35"/>
      <c r="AQ543" s="35"/>
      <c r="AS543" s="35"/>
      <c r="AU543" s="35"/>
      <c r="AW543" s="35"/>
      <c r="AY543" s="35"/>
      <c r="AZ543" s="35"/>
      <c r="BA543" s="35"/>
      <c r="BB543" s="29" t="s">
        <v>2333</v>
      </c>
      <c r="BC543" s="29" t="s">
        <v>2347</v>
      </c>
      <c r="BD543" s="29" t="s">
        <v>2739</v>
      </c>
      <c r="BE543" s="29" t="s">
        <v>1805</v>
      </c>
      <c r="BF543" s="29" t="s">
        <v>1922</v>
      </c>
      <c r="BG543" s="29" t="s">
        <v>3625</v>
      </c>
      <c r="BI543" s="35"/>
      <c r="BJ543" s="35"/>
      <c r="BK543" s="29" t="str" cm="1">
        <f t="array" ref="BK543">_xlfn.UNIQUE(MID(BB543,16,14))</f>
        <v>U012UNA01UH100</v>
      </c>
    </row>
    <row r="544" spans="1:63" x14ac:dyDescent="0.3">
      <c r="A544" s="29" t="s">
        <v>3608</v>
      </c>
      <c r="B544" s="36" t="str">
        <f t="shared" si="40"/>
        <v>G01NHY01KF001-FC11</v>
      </c>
      <c r="C544" s="33" t="s">
        <v>3626</v>
      </c>
      <c r="D544" s="34" t="str">
        <f t="shared" si="41"/>
        <v>ELY1 ARY CTRL U1 400VAC IN CB ON/OPN</v>
      </c>
      <c r="E544" s="31">
        <f t="shared" si="42"/>
        <v>36</v>
      </c>
      <c r="F544" s="32" t="str">
        <f t="shared" si="43"/>
        <v>ELECTROLYSIS SYSTEM ELECTROLYSIS ARRAY 1 ARRAY CONTROL SYSTEM ARRAY CONTROL SYSTEM CONTROL UNITS ARRAY CONTROL UNIT 400VAC INPUT CHECK BACK ON/OPEN</v>
      </c>
      <c r="G544" s="29" t="s">
        <v>1614</v>
      </c>
      <c r="H544" s="29" t="s">
        <v>1615</v>
      </c>
      <c r="I544" s="29" t="str">
        <f t="shared" si="44"/>
        <v>01</v>
      </c>
      <c r="J544" s="29" t="s">
        <v>1616</v>
      </c>
      <c r="K544" s="29" t="s">
        <v>3610</v>
      </c>
      <c r="L544" s="29" t="s">
        <v>3611</v>
      </c>
      <c r="M544" s="29" t="s">
        <v>1619</v>
      </c>
      <c r="N544" s="29" t="s">
        <v>3611</v>
      </c>
      <c r="O544" s="29" t="s">
        <v>1771</v>
      </c>
      <c r="P544" s="29" t="s">
        <v>2055</v>
      </c>
      <c r="Q544" s="29" t="s">
        <v>1623</v>
      </c>
      <c r="R544" s="29" t="s">
        <v>3612</v>
      </c>
      <c r="S544" s="29" t="s">
        <v>2763</v>
      </c>
      <c r="T544" s="29" t="s">
        <v>2764</v>
      </c>
      <c r="U544" s="29" t="s">
        <v>790</v>
      </c>
      <c r="V544" s="29" t="s">
        <v>2639</v>
      </c>
      <c r="W544" s="35" t="s">
        <v>1628</v>
      </c>
      <c r="X544" s="35" t="s">
        <v>3613</v>
      </c>
      <c r="Y544" s="35" t="s">
        <v>1775</v>
      </c>
      <c r="Z544" s="35" t="s">
        <v>2765</v>
      </c>
      <c r="AA544" s="35" t="s">
        <v>2641</v>
      </c>
      <c r="AB544" s="29" t="s">
        <v>2766</v>
      </c>
      <c r="AC544" s="35" t="s">
        <v>1633</v>
      </c>
      <c r="AD544" s="35" t="s">
        <v>1634</v>
      </c>
      <c r="AE544" s="35" t="s">
        <v>1634</v>
      </c>
      <c r="AF544" s="35" t="s">
        <v>1635</v>
      </c>
      <c r="AG544" s="35" t="s">
        <v>2634</v>
      </c>
      <c r="AI544" s="35"/>
      <c r="AJ544" s="35" t="s">
        <v>1637</v>
      </c>
      <c r="AK544" s="35" t="s">
        <v>1672</v>
      </c>
      <c r="AL544" s="29" t="s">
        <v>2715</v>
      </c>
      <c r="AM544" s="35"/>
      <c r="AN544" s="35"/>
      <c r="AO544" s="35"/>
      <c r="AP544" s="35"/>
      <c r="AQ544" s="35"/>
      <c r="AS544" s="35"/>
      <c r="AU544" s="35"/>
      <c r="AW544" s="35"/>
      <c r="AY544" s="35"/>
      <c r="AZ544" s="35"/>
      <c r="BA544" s="35"/>
      <c r="BB544" s="29" t="s">
        <v>2333</v>
      </c>
      <c r="BC544" s="29" t="s">
        <v>2347</v>
      </c>
      <c r="BD544" s="29" t="s">
        <v>2739</v>
      </c>
      <c r="BE544" s="29" t="s">
        <v>1805</v>
      </c>
      <c r="BF544" s="29" t="s">
        <v>1931</v>
      </c>
      <c r="BG544" s="29" t="s">
        <v>3627</v>
      </c>
      <c r="BI544" s="35"/>
      <c r="BJ544" s="35"/>
      <c r="BK544" s="29" t="str" cm="1">
        <f t="array" ref="BK544">_xlfn.UNIQUE(MID(BB544,16,14))</f>
        <v>U012UNA01UH100</v>
      </c>
    </row>
    <row r="545" spans="1:63" x14ac:dyDescent="0.3">
      <c r="A545" s="29" t="s">
        <v>3608</v>
      </c>
      <c r="B545" s="36" t="str">
        <f t="shared" si="40"/>
        <v>G01NHY01KF001-FC21</v>
      </c>
      <c r="C545" s="33" t="s">
        <v>3628</v>
      </c>
      <c r="D545" s="34" t="str">
        <f t="shared" si="41"/>
        <v>ELY1 ARY CTRL U1 230VAC1 CB ON/OPN</v>
      </c>
      <c r="E545" s="31">
        <f t="shared" si="42"/>
        <v>34</v>
      </c>
      <c r="F545" s="32" t="str">
        <f t="shared" si="43"/>
        <v>ELECTROLYSIS SYSTEM ELECTROLYSIS ARRAY 1 ARRAY CONTROL SYSTEM ARRAY CONTROL SYSTEM CONTROL UNITS ARRAY CONTROL UNIT 230VAC DISTRIBUTION CHECK BACK ON/OPEN</v>
      </c>
      <c r="G545" s="29" t="s">
        <v>1614</v>
      </c>
      <c r="H545" s="29" t="s">
        <v>1615</v>
      </c>
      <c r="I545" s="29" t="str">
        <f t="shared" si="44"/>
        <v>01</v>
      </c>
      <c r="J545" s="29" t="s">
        <v>1616</v>
      </c>
      <c r="K545" s="29" t="s">
        <v>3610</v>
      </c>
      <c r="L545" s="29" t="s">
        <v>3611</v>
      </c>
      <c r="M545" s="29" t="s">
        <v>1619</v>
      </c>
      <c r="N545" s="29" t="s">
        <v>3611</v>
      </c>
      <c r="O545" s="29" t="s">
        <v>1771</v>
      </c>
      <c r="P545" s="29" t="s">
        <v>2055</v>
      </c>
      <c r="Q545" s="29" t="s">
        <v>1623</v>
      </c>
      <c r="R545" s="29" t="s">
        <v>3612</v>
      </c>
      <c r="S545" s="29" t="s">
        <v>2769</v>
      </c>
      <c r="T545" s="29" t="s">
        <v>2770</v>
      </c>
      <c r="U545" s="29" t="s">
        <v>790</v>
      </c>
      <c r="V545" s="29" t="s">
        <v>2639</v>
      </c>
      <c r="W545" s="35" t="s">
        <v>1628</v>
      </c>
      <c r="X545" s="35" t="s">
        <v>3613</v>
      </c>
      <c r="Y545" s="35" t="s">
        <v>1775</v>
      </c>
      <c r="Z545" s="35" t="s">
        <v>2771</v>
      </c>
      <c r="AA545" s="35" t="s">
        <v>2641</v>
      </c>
      <c r="AB545" s="29" t="s">
        <v>2766</v>
      </c>
      <c r="AC545" s="35" t="s">
        <v>1633</v>
      </c>
      <c r="AD545" s="35" t="s">
        <v>1634</v>
      </c>
      <c r="AE545" s="35" t="s">
        <v>1634</v>
      </c>
      <c r="AF545" s="35" t="s">
        <v>1635</v>
      </c>
      <c r="AG545" s="35" t="s">
        <v>2634</v>
      </c>
      <c r="AI545" s="35"/>
      <c r="AJ545" s="35" t="s">
        <v>1637</v>
      </c>
      <c r="AK545" s="35" t="s">
        <v>1672</v>
      </c>
      <c r="AL545" s="29" t="s">
        <v>2715</v>
      </c>
      <c r="AM545" s="35"/>
      <c r="AN545" s="35"/>
      <c r="AO545" s="35"/>
      <c r="AP545" s="35"/>
      <c r="AQ545" s="35"/>
      <c r="AS545" s="35"/>
      <c r="AU545" s="35"/>
      <c r="AW545" s="35"/>
      <c r="AY545" s="35"/>
      <c r="AZ545" s="35"/>
      <c r="BA545" s="35"/>
      <c r="BB545" s="29" t="s">
        <v>2333</v>
      </c>
      <c r="BC545" s="29" t="s">
        <v>2347</v>
      </c>
      <c r="BD545" s="29" t="s">
        <v>2739</v>
      </c>
      <c r="BE545" s="29" t="s">
        <v>1805</v>
      </c>
      <c r="BF545" s="29" t="s">
        <v>1936</v>
      </c>
      <c r="BG545" s="29" t="s">
        <v>3629</v>
      </c>
      <c r="BI545" s="35"/>
      <c r="BJ545" s="35"/>
      <c r="BK545" s="29" t="str" cm="1">
        <f t="array" ref="BK545">_xlfn.UNIQUE(MID(BB545,16,14))</f>
        <v>U012UNA01UH100</v>
      </c>
    </row>
    <row r="546" spans="1:63" x14ac:dyDescent="0.3">
      <c r="A546" s="29" t="s">
        <v>3608</v>
      </c>
      <c r="B546" s="36" t="str">
        <f t="shared" si="40"/>
        <v>G01NHY01KF001-FC22</v>
      </c>
      <c r="C546" s="33" t="s">
        <v>3630</v>
      </c>
      <c r="D546" s="34" t="str">
        <f t="shared" si="41"/>
        <v>ELY1 ARY CTRL U1 230VAC2 CB ON/OPN</v>
      </c>
      <c r="E546" s="31">
        <f t="shared" si="42"/>
        <v>34</v>
      </c>
      <c r="F546" s="32" t="str">
        <f t="shared" si="43"/>
        <v>ELECTROLYSIS SYSTEM ELECTROLYSIS ARRAY 1 ARRAY CONTROL SYSTEM ARRAY CONTROL SYSTEM CONTROL UNITS ARRAY CONTROL UNIT 230VAC DISTRIBUTION CHECK BACK ON/OPEN</v>
      </c>
      <c r="G546" s="29" t="s">
        <v>1614</v>
      </c>
      <c r="H546" s="29" t="s">
        <v>1615</v>
      </c>
      <c r="I546" s="29" t="str">
        <f t="shared" si="44"/>
        <v>01</v>
      </c>
      <c r="J546" s="29" t="s">
        <v>1616</v>
      </c>
      <c r="K546" s="29" t="s">
        <v>3610</v>
      </c>
      <c r="L546" s="29" t="s">
        <v>3611</v>
      </c>
      <c r="M546" s="29" t="s">
        <v>1619</v>
      </c>
      <c r="N546" s="29" t="s">
        <v>3611</v>
      </c>
      <c r="O546" s="29" t="s">
        <v>1771</v>
      </c>
      <c r="P546" s="29" t="s">
        <v>2055</v>
      </c>
      <c r="Q546" s="29" t="s">
        <v>1623</v>
      </c>
      <c r="R546" s="29" t="s">
        <v>3612</v>
      </c>
      <c r="S546" s="29" t="s">
        <v>2774</v>
      </c>
      <c r="T546" s="29" t="s">
        <v>2770</v>
      </c>
      <c r="U546" s="29" t="s">
        <v>790</v>
      </c>
      <c r="V546" s="29" t="s">
        <v>2639</v>
      </c>
      <c r="W546" s="35" t="s">
        <v>1628</v>
      </c>
      <c r="X546" s="35" t="s">
        <v>3613</v>
      </c>
      <c r="Y546" s="35" t="s">
        <v>1775</v>
      </c>
      <c r="Z546" s="35" t="s">
        <v>2775</v>
      </c>
      <c r="AA546" s="35" t="s">
        <v>2641</v>
      </c>
      <c r="AB546" s="29" t="s">
        <v>2766</v>
      </c>
      <c r="AC546" s="35" t="s">
        <v>1633</v>
      </c>
      <c r="AD546" s="35" t="s">
        <v>1634</v>
      </c>
      <c r="AE546" s="35" t="s">
        <v>1634</v>
      </c>
      <c r="AF546" s="35" t="s">
        <v>1635</v>
      </c>
      <c r="AG546" s="35" t="s">
        <v>2634</v>
      </c>
      <c r="AI546" s="35"/>
      <c r="AJ546" s="35" t="s">
        <v>1637</v>
      </c>
      <c r="AK546" s="35" t="s">
        <v>1672</v>
      </c>
      <c r="AL546" s="29" t="s">
        <v>2715</v>
      </c>
      <c r="AM546" s="35"/>
      <c r="AN546" s="35"/>
      <c r="AO546" s="35"/>
      <c r="AP546" s="35"/>
      <c r="AQ546" s="35"/>
      <c r="AS546" s="35"/>
      <c r="AU546" s="35"/>
      <c r="AW546" s="35"/>
      <c r="AY546" s="35"/>
      <c r="AZ546" s="35"/>
      <c r="BA546" s="35"/>
      <c r="BB546" s="29" t="s">
        <v>2333</v>
      </c>
      <c r="BC546" s="29" t="s">
        <v>2347</v>
      </c>
      <c r="BD546" s="29" t="s">
        <v>2739</v>
      </c>
      <c r="BE546" s="29" t="s">
        <v>1805</v>
      </c>
      <c r="BF546" s="29" t="s">
        <v>2035</v>
      </c>
      <c r="BG546" s="29" t="s">
        <v>3631</v>
      </c>
      <c r="BI546" s="35"/>
      <c r="BJ546" s="35"/>
      <c r="BK546" s="29" t="str" cm="1">
        <f t="array" ref="BK546">_xlfn.UNIQUE(MID(BB546,16,14))</f>
        <v>U012UNA01UH100</v>
      </c>
    </row>
    <row r="547" spans="1:63" x14ac:dyDescent="0.3">
      <c r="A547" s="29" t="s">
        <v>3608</v>
      </c>
      <c r="B547" s="36" t="str">
        <f t="shared" si="40"/>
        <v>G01NHY01KF001-FC23</v>
      </c>
      <c r="C547" s="33" t="s">
        <v>3632</v>
      </c>
      <c r="D547" s="34" t="str">
        <f t="shared" si="41"/>
        <v>ELY1 ARY CTRL U1 230VAC3 CB ON/OPN</v>
      </c>
      <c r="E547" s="31">
        <f t="shared" si="42"/>
        <v>34</v>
      </c>
      <c r="F547" s="32" t="str">
        <f t="shared" si="43"/>
        <v>ELECTROLYSIS SYSTEM ELECTROLYSIS ARRAY 1 ARRAY CONTROL SYSTEM ARRAY CONTROL SYSTEM CONTROL UNITS ARRAY CONTROL UNIT 230VAC DISTRIBUTION CHECK BACK ON/OPEN</v>
      </c>
      <c r="G547" s="29" t="s">
        <v>1614</v>
      </c>
      <c r="H547" s="29" t="s">
        <v>1615</v>
      </c>
      <c r="I547" s="29" t="str">
        <f t="shared" si="44"/>
        <v>01</v>
      </c>
      <c r="J547" s="29" t="s">
        <v>1616</v>
      </c>
      <c r="K547" s="29" t="s">
        <v>3610</v>
      </c>
      <c r="L547" s="29" t="s">
        <v>3611</v>
      </c>
      <c r="M547" s="29" t="s">
        <v>1619</v>
      </c>
      <c r="N547" s="29" t="s">
        <v>3611</v>
      </c>
      <c r="O547" s="29" t="s">
        <v>1771</v>
      </c>
      <c r="P547" s="29" t="s">
        <v>2055</v>
      </c>
      <c r="Q547" s="29" t="s">
        <v>1623</v>
      </c>
      <c r="R547" s="29" t="s">
        <v>3612</v>
      </c>
      <c r="S547" s="29" t="s">
        <v>2778</v>
      </c>
      <c r="T547" s="29" t="s">
        <v>2770</v>
      </c>
      <c r="U547" s="29" t="s">
        <v>790</v>
      </c>
      <c r="V547" s="29" t="s">
        <v>2639</v>
      </c>
      <c r="W547" s="35" t="s">
        <v>1628</v>
      </c>
      <c r="X547" s="35" t="s">
        <v>3613</v>
      </c>
      <c r="Y547" s="35" t="s">
        <v>1775</v>
      </c>
      <c r="Z547" s="35" t="s">
        <v>2779</v>
      </c>
      <c r="AA547" s="35" t="s">
        <v>2641</v>
      </c>
      <c r="AB547" s="29" t="s">
        <v>2766</v>
      </c>
      <c r="AC547" s="35" t="s">
        <v>1633</v>
      </c>
      <c r="AD547" s="35" t="s">
        <v>1634</v>
      </c>
      <c r="AE547" s="35" t="s">
        <v>1634</v>
      </c>
      <c r="AF547" s="35" t="s">
        <v>1635</v>
      </c>
      <c r="AG547" s="35" t="s">
        <v>2634</v>
      </c>
      <c r="AI547" s="35"/>
      <c r="AJ547" s="35" t="s">
        <v>1637</v>
      </c>
      <c r="AK547" s="35" t="s">
        <v>1672</v>
      </c>
      <c r="AL547" s="29" t="s">
        <v>2715</v>
      </c>
      <c r="AM547" s="35"/>
      <c r="AN547" s="35"/>
      <c r="AO547" s="35"/>
      <c r="AP547" s="35"/>
      <c r="AQ547" s="35"/>
      <c r="AS547" s="35"/>
      <c r="AU547" s="35"/>
      <c r="AW547" s="35"/>
      <c r="AY547" s="35"/>
      <c r="AZ547" s="35"/>
      <c r="BA547" s="35"/>
      <c r="BB547" s="29" t="s">
        <v>2333</v>
      </c>
      <c r="BC547" s="29" t="s">
        <v>2347</v>
      </c>
      <c r="BD547" s="29" t="s">
        <v>2739</v>
      </c>
      <c r="BE547" s="29" t="s">
        <v>1805</v>
      </c>
      <c r="BF547" s="29" t="s">
        <v>1969</v>
      </c>
      <c r="BG547" s="29" t="s">
        <v>3633</v>
      </c>
      <c r="BI547" s="35"/>
      <c r="BJ547" s="35"/>
      <c r="BK547" s="29" t="str" cm="1">
        <f t="array" ref="BK547">_xlfn.UNIQUE(MID(BB547,16,14))</f>
        <v>U012UNA01UH100</v>
      </c>
    </row>
    <row r="548" spans="1:63" x14ac:dyDescent="0.3">
      <c r="A548" s="29" t="s">
        <v>3608</v>
      </c>
      <c r="B548" s="36" t="str">
        <f t="shared" si="40"/>
        <v>G01NHY01KF001-FC24</v>
      </c>
      <c r="C548" s="33" t="s">
        <v>3634</v>
      </c>
      <c r="D548" s="34" t="str">
        <f t="shared" si="41"/>
        <v>ELY1 ARY CTRL U1 230VAC4 CB ON/OPN</v>
      </c>
      <c r="E548" s="31">
        <f t="shared" si="42"/>
        <v>34</v>
      </c>
      <c r="F548" s="32" t="str">
        <f t="shared" si="43"/>
        <v>ELECTROLYSIS SYSTEM ELECTROLYSIS ARRAY 1 ARRAY CONTROL SYSTEM ARRAY CONTROL SYSTEM CONTROL UNITS ARRAY CONTROL UNIT 230VAC DISTRIBUTION CHECK BACK ON/OPEN</v>
      </c>
      <c r="G548" s="29" t="s">
        <v>1614</v>
      </c>
      <c r="H548" s="29" t="s">
        <v>1615</v>
      </c>
      <c r="I548" s="29" t="str">
        <f t="shared" si="44"/>
        <v>01</v>
      </c>
      <c r="J548" s="29" t="s">
        <v>1616</v>
      </c>
      <c r="K548" s="29" t="s">
        <v>3610</v>
      </c>
      <c r="L548" s="29" t="s">
        <v>3611</v>
      </c>
      <c r="M548" s="29" t="s">
        <v>1619</v>
      </c>
      <c r="N548" s="29" t="s">
        <v>3611</v>
      </c>
      <c r="O548" s="29" t="s">
        <v>1771</v>
      </c>
      <c r="P548" s="29" t="s">
        <v>2055</v>
      </c>
      <c r="Q548" s="29" t="s">
        <v>1623</v>
      </c>
      <c r="R548" s="29" t="s">
        <v>3612</v>
      </c>
      <c r="S548" s="29" t="s">
        <v>2782</v>
      </c>
      <c r="T548" s="29" t="s">
        <v>2770</v>
      </c>
      <c r="U548" s="29" t="s">
        <v>790</v>
      </c>
      <c r="V548" s="29" t="s">
        <v>2639</v>
      </c>
      <c r="W548" s="35" t="s">
        <v>1628</v>
      </c>
      <c r="X548" s="35" t="s">
        <v>3613</v>
      </c>
      <c r="Y548" s="35" t="s">
        <v>1775</v>
      </c>
      <c r="Z548" s="35" t="s">
        <v>2783</v>
      </c>
      <c r="AA548" s="35" t="s">
        <v>2641</v>
      </c>
      <c r="AB548" s="29" t="s">
        <v>2766</v>
      </c>
      <c r="AC548" s="35" t="s">
        <v>1633</v>
      </c>
      <c r="AD548" s="35" t="s">
        <v>1634</v>
      </c>
      <c r="AE548" s="35" t="s">
        <v>1634</v>
      </c>
      <c r="AF548" s="35" t="s">
        <v>1635</v>
      </c>
      <c r="AG548" s="35" t="s">
        <v>2634</v>
      </c>
      <c r="AI548" s="35"/>
      <c r="AJ548" s="35" t="s">
        <v>1637</v>
      </c>
      <c r="AK548" s="35" t="s">
        <v>1672</v>
      </c>
      <c r="AL548" s="29" t="s">
        <v>2715</v>
      </c>
      <c r="AM548" s="35"/>
      <c r="AN548" s="35"/>
      <c r="AO548" s="35"/>
      <c r="AP548" s="35"/>
      <c r="AQ548" s="35"/>
      <c r="AS548" s="35"/>
      <c r="AU548" s="35"/>
      <c r="AW548" s="35"/>
      <c r="AY548" s="35"/>
      <c r="AZ548" s="35"/>
      <c r="BA548" s="35"/>
      <c r="BB548" s="29" t="s">
        <v>2333</v>
      </c>
      <c r="BC548" s="29" t="s">
        <v>2347</v>
      </c>
      <c r="BD548" s="29" t="s">
        <v>2739</v>
      </c>
      <c r="BE548" s="29" t="s">
        <v>1805</v>
      </c>
      <c r="BF548" s="29" t="s">
        <v>1973</v>
      </c>
      <c r="BG548" s="29" t="s">
        <v>3635</v>
      </c>
      <c r="BI548" s="35"/>
      <c r="BJ548" s="35"/>
      <c r="BK548" s="29" t="str" cm="1">
        <f t="array" ref="BK548">_xlfn.UNIQUE(MID(BB548,16,14))</f>
        <v>U012UNA01UH100</v>
      </c>
    </row>
    <row r="549" spans="1:63" x14ac:dyDescent="0.3">
      <c r="A549" s="29" t="s">
        <v>3608</v>
      </c>
      <c r="B549" s="36" t="str">
        <f t="shared" si="40"/>
        <v>G01NHY01KF001-FC25</v>
      </c>
      <c r="C549" s="33" t="s">
        <v>3636</v>
      </c>
      <c r="D549" s="34" t="str">
        <f t="shared" si="41"/>
        <v>ELY1 ARY CTRL U1 230VAC5 CB ON/OPN</v>
      </c>
      <c r="E549" s="31">
        <f t="shared" si="42"/>
        <v>34</v>
      </c>
      <c r="F549" s="32" t="str">
        <f t="shared" si="43"/>
        <v>ELECTROLYSIS SYSTEM ELECTROLYSIS ARRAY 1 ARRAY CONTROL SYSTEM ARRAY CONTROL SYSTEM CONTROL UNITS ARRAY CONTROL UNIT 230VAC DISTRIBUTION CHECK BACK ON/OPEN</v>
      </c>
      <c r="G549" s="29" t="s">
        <v>1614</v>
      </c>
      <c r="H549" s="29" t="s">
        <v>1615</v>
      </c>
      <c r="I549" s="29" t="str">
        <f t="shared" si="44"/>
        <v>01</v>
      </c>
      <c r="J549" s="29" t="s">
        <v>1616</v>
      </c>
      <c r="K549" s="29" t="s">
        <v>3610</v>
      </c>
      <c r="L549" s="29" t="s">
        <v>3611</v>
      </c>
      <c r="M549" s="29" t="s">
        <v>1619</v>
      </c>
      <c r="N549" s="29" t="s">
        <v>3611</v>
      </c>
      <c r="O549" s="29" t="s">
        <v>1771</v>
      </c>
      <c r="P549" s="29" t="s">
        <v>2055</v>
      </c>
      <c r="Q549" s="29" t="s">
        <v>1623</v>
      </c>
      <c r="R549" s="29" t="s">
        <v>3612</v>
      </c>
      <c r="S549" s="29" t="s">
        <v>2786</v>
      </c>
      <c r="T549" s="29" t="s">
        <v>2770</v>
      </c>
      <c r="U549" s="29" t="s">
        <v>790</v>
      </c>
      <c r="V549" s="29" t="s">
        <v>2639</v>
      </c>
      <c r="W549" s="35" t="s">
        <v>1628</v>
      </c>
      <c r="X549" s="35" t="s">
        <v>3613</v>
      </c>
      <c r="Y549" s="35" t="s">
        <v>1775</v>
      </c>
      <c r="Z549" s="35" t="s">
        <v>2787</v>
      </c>
      <c r="AA549" s="35" t="s">
        <v>2641</v>
      </c>
      <c r="AB549" s="29" t="s">
        <v>2766</v>
      </c>
      <c r="AC549" s="35" t="s">
        <v>1633</v>
      </c>
      <c r="AD549" s="35" t="s">
        <v>1634</v>
      </c>
      <c r="AE549" s="35" t="s">
        <v>1634</v>
      </c>
      <c r="AF549" s="35" t="s">
        <v>1635</v>
      </c>
      <c r="AG549" s="35" t="s">
        <v>2634</v>
      </c>
      <c r="AI549" s="35"/>
      <c r="AJ549" s="35" t="s">
        <v>1637</v>
      </c>
      <c r="AK549" s="35" t="s">
        <v>1672</v>
      </c>
      <c r="AL549" s="29" t="s">
        <v>2715</v>
      </c>
      <c r="AM549" s="35"/>
      <c r="AN549" s="35"/>
      <c r="AO549" s="35"/>
      <c r="AP549" s="35"/>
      <c r="AQ549" s="35"/>
      <c r="AS549" s="35"/>
      <c r="AU549" s="35"/>
      <c r="AW549" s="35"/>
      <c r="AY549" s="35"/>
      <c r="AZ549" s="35"/>
      <c r="BA549" s="35"/>
      <c r="BB549" s="29" t="s">
        <v>2333</v>
      </c>
      <c r="BC549" s="29" t="s">
        <v>2347</v>
      </c>
      <c r="BD549" s="29" t="s">
        <v>2739</v>
      </c>
      <c r="BE549" s="29" t="s">
        <v>1805</v>
      </c>
      <c r="BF549" s="29" t="s">
        <v>2048</v>
      </c>
      <c r="BG549" s="29" t="s">
        <v>3637</v>
      </c>
      <c r="BI549" s="35"/>
      <c r="BJ549" s="35"/>
      <c r="BK549" s="29" t="str" cm="1">
        <f t="array" ref="BK549">_xlfn.UNIQUE(MID(BB549,16,14))</f>
        <v>U012UNA01UH100</v>
      </c>
    </row>
    <row r="550" spans="1:63" x14ac:dyDescent="0.3">
      <c r="A550" s="29" t="s">
        <v>3608</v>
      </c>
      <c r="B550" s="36" t="str">
        <f t="shared" si="40"/>
        <v>G01NHY01KF001-FC41</v>
      </c>
      <c r="C550" s="33" t="s">
        <v>3638</v>
      </c>
      <c r="D550" s="34" t="str">
        <f t="shared" si="41"/>
        <v>ELY1 ARY CTRL U1 230VAC UPS1 CB ON/OPN</v>
      </c>
      <c r="E550" s="31">
        <f t="shared" si="42"/>
        <v>38</v>
      </c>
      <c r="F550" s="32" t="str">
        <f t="shared" si="43"/>
        <v>ELECTROLYSIS SYSTEM ELECTROLYSIS ARRAY 1 ARRAY CONTROL SYSTEM ARRAY CONTROL SYSTEM CONTROL UNITS ARRAY CONTROL UNIT 230VAC UPS DISTRIBUTION CHECK BACK ON/OPEN</v>
      </c>
      <c r="G550" s="29" t="s">
        <v>1614</v>
      </c>
      <c r="H550" s="29" t="s">
        <v>1615</v>
      </c>
      <c r="I550" s="29" t="str">
        <f t="shared" si="44"/>
        <v>01</v>
      </c>
      <c r="J550" s="29" t="s">
        <v>1616</v>
      </c>
      <c r="K550" s="29" t="s">
        <v>3610</v>
      </c>
      <c r="L550" s="29" t="s">
        <v>3611</v>
      </c>
      <c r="M550" s="29" t="s">
        <v>1619</v>
      </c>
      <c r="N550" s="29" t="s">
        <v>3611</v>
      </c>
      <c r="O550" s="29" t="s">
        <v>1771</v>
      </c>
      <c r="P550" s="29" t="s">
        <v>2055</v>
      </c>
      <c r="Q550" s="29" t="s">
        <v>1623</v>
      </c>
      <c r="R550" s="29" t="s">
        <v>3612</v>
      </c>
      <c r="S550" s="29" t="s">
        <v>2814</v>
      </c>
      <c r="T550" s="29" t="s">
        <v>2815</v>
      </c>
      <c r="U550" s="29" t="s">
        <v>790</v>
      </c>
      <c r="V550" s="29" t="s">
        <v>2639</v>
      </c>
      <c r="W550" s="35" t="s">
        <v>1628</v>
      </c>
      <c r="X550" s="35" t="s">
        <v>3613</v>
      </c>
      <c r="Y550" s="35" t="s">
        <v>1775</v>
      </c>
      <c r="Z550" s="35" t="s">
        <v>2816</v>
      </c>
      <c r="AA550" s="35" t="s">
        <v>2641</v>
      </c>
      <c r="AB550" s="29" t="s">
        <v>2766</v>
      </c>
      <c r="AC550" s="35" t="s">
        <v>1633</v>
      </c>
      <c r="AD550" s="35" t="s">
        <v>1634</v>
      </c>
      <c r="AE550" s="35" t="s">
        <v>1634</v>
      </c>
      <c r="AF550" s="35" t="s">
        <v>1635</v>
      </c>
      <c r="AG550" s="35" t="s">
        <v>2634</v>
      </c>
      <c r="AI550" s="35"/>
      <c r="AJ550" s="35" t="s">
        <v>1637</v>
      </c>
      <c r="AK550" s="35" t="s">
        <v>1672</v>
      </c>
      <c r="AL550" s="29" t="s">
        <v>2715</v>
      </c>
      <c r="AM550" s="35"/>
      <c r="AN550" s="35"/>
      <c r="AO550" s="35"/>
      <c r="AP550" s="35"/>
      <c r="AQ550" s="35"/>
      <c r="AS550" s="35"/>
      <c r="AU550" s="35"/>
      <c r="AW550" s="35"/>
      <c r="AY550" s="35"/>
      <c r="AZ550" s="35"/>
      <c r="BA550" s="35"/>
      <c r="BB550" s="29" t="s">
        <v>2333</v>
      </c>
      <c r="BC550" s="29" t="s">
        <v>2347</v>
      </c>
      <c r="BD550" s="29" t="s">
        <v>2739</v>
      </c>
      <c r="BE550" s="29" t="s">
        <v>1805</v>
      </c>
      <c r="BF550" s="29" t="s">
        <v>2051</v>
      </c>
      <c r="BG550" s="29" t="s">
        <v>3639</v>
      </c>
      <c r="BI550" s="35"/>
      <c r="BJ550" s="35"/>
      <c r="BK550" s="29" t="str" cm="1">
        <f t="array" ref="BK550">_xlfn.UNIQUE(MID(BB550,16,14))</f>
        <v>U012UNA01UH100</v>
      </c>
    </row>
    <row r="551" spans="1:63" x14ac:dyDescent="0.3">
      <c r="A551" s="29" t="s">
        <v>3608</v>
      </c>
      <c r="B551" s="36" t="str">
        <f t="shared" si="40"/>
        <v>G01NHY01KF001-FC42</v>
      </c>
      <c r="C551" s="33" t="s">
        <v>3640</v>
      </c>
      <c r="D551" s="34" t="str">
        <f t="shared" si="41"/>
        <v>ELY1 ARY CTRL U1 230VAC UPS2 CB ON/OPN</v>
      </c>
      <c r="E551" s="31">
        <f t="shared" si="42"/>
        <v>38</v>
      </c>
      <c r="F551" s="32" t="str">
        <f t="shared" si="43"/>
        <v>ELECTROLYSIS SYSTEM ELECTROLYSIS ARRAY 1 ARRAY CONTROL SYSTEM ARRAY CONTROL SYSTEM CONTROL UNITS ARRAY CONTROL UNIT 230VAC UPS DISTRIBUTION CHECK BACK ON/OPEN</v>
      </c>
      <c r="G551" s="29" t="s">
        <v>1614</v>
      </c>
      <c r="H551" s="29" t="s">
        <v>1615</v>
      </c>
      <c r="I551" s="29" t="str">
        <f t="shared" si="44"/>
        <v>01</v>
      </c>
      <c r="J551" s="29" t="s">
        <v>1616</v>
      </c>
      <c r="K551" s="29" t="s">
        <v>3610</v>
      </c>
      <c r="L551" s="29" t="s">
        <v>3611</v>
      </c>
      <c r="M551" s="29" t="s">
        <v>1619</v>
      </c>
      <c r="N551" s="29" t="s">
        <v>3611</v>
      </c>
      <c r="O551" s="29" t="s">
        <v>1771</v>
      </c>
      <c r="P551" s="29" t="s">
        <v>2055</v>
      </c>
      <c r="Q551" s="29" t="s">
        <v>1623</v>
      </c>
      <c r="R551" s="29" t="s">
        <v>3612</v>
      </c>
      <c r="S551" s="29" t="s">
        <v>2819</v>
      </c>
      <c r="T551" s="29" t="s">
        <v>2815</v>
      </c>
      <c r="U551" s="29" t="s">
        <v>790</v>
      </c>
      <c r="V551" s="29" t="s">
        <v>2639</v>
      </c>
      <c r="W551" s="35" t="s">
        <v>1628</v>
      </c>
      <c r="X551" s="35" t="s">
        <v>3613</v>
      </c>
      <c r="Y551" s="35" t="s">
        <v>1775</v>
      </c>
      <c r="Z551" s="35" t="s">
        <v>2820</v>
      </c>
      <c r="AA551" s="35" t="s">
        <v>2641</v>
      </c>
      <c r="AB551" s="29" t="s">
        <v>2766</v>
      </c>
      <c r="AC551" s="35" t="s">
        <v>1633</v>
      </c>
      <c r="AD551" s="35" t="s">
        <v>1634</v>
      </c>
      <c r="AE551" s="35" t="s">
        <v>1634</v>
      </c>
      <c r="AF551" s="35" t="s">
        <v>1635</v>
      </c>
      <c r="AG551" s="35" t="s">
        <v>2634</v>
      </c>
      <c r="AI551" s="35"/>
      <c r="AJ551" s="35" t="s">
        <v>1637</v>
      </c>
      <c r="AK551" s="35" t="s">
        <v>1672</v>
      </c>
      <c r="AL551" s="29" t="s">
        <v>2715</v>
      </c>
      <c r="AM551" s="35"/>
      <c r="AN551" s="35"/>
      <c r="AO551" s="35"/>
      <c r="AP551" s="35"/>
      <c r="AQ551" s="35"/>
      <c r="AS551" s="35"/>
      <c r="AU551" s="35"/>
      <c r="AW551" s="35"/>
      <c r="AY551" s="35"/>
      <c r="AZ551" s="35"/>
      <c r="BA551" s="35"/>
      <c r="BB551" s="29" t="s">
        <v>2333</v>
      </c>
      <c r="BC551" s="29" t="s">
        <v>2347</v>
      </c>
      <c r="BD551" s="29" t="s">
        <v>2739</v>
      </c>
      <c r="BE551" s="29" t="s">
        <v>1805</v>
      </c>
      <c r="BF551" s="29" t="s">
        <v>2016</v>
      </c>
      <c r="BG551" s="29" t="s">
        <v>3641</v>
      </c>
      <c r="BI551" s="35"/>
      <c r="BJ551" s="35"/>
      <c r="BK551" s="29" t="str" cm="1">
        <f t="array" ref="BK551">_xlfn.UNIQUE(MID(BB551,16,14))</f>
        <v>U012UNA01UH100</v>
      </c>
    </row>
    <row r="552" spans="1:63" x14ac:dyDescent="0.3">
      <c r="A552" s="29" t="s">
        <v>3608</v>
      </c>
      <c r="B552" s="36" t="str">
        <f t="shared" si="40"/>
        <v>G01NHY01KF001-FC43</v>
      </c>
      <c r="C552" s="33" t="s">
        <v>3642</v>
      </c>
      <c r="D552" s="34" t="str">
        <f t="shared" si="41"/>
        <v>ELY1 ARY CTRL U1 230VAC UPS3 CB ON/OPN</v>
      </c>
      <c r="E552" s="31">
        <f t="shared" si="42"/>
        <v>38</v>
      </c>
      <c r="F552" s="32" t="str">
        <f t="shared" si="43"/>
        <v>ELECTROLYSIS SYSTEM ELECTROLYSIS ARRAY 1 ARRAY CONTROL SYSTEM ARRAY CONTROL SYSTEM CONTROL UNITS ARRAY CONTROL UNIT 230VAC UPS DISTRIBUTION CHECK BACK ON/OPEN</v>
      </c>
      <c r="G552" s="29" t="s">
        <v>1614</v>
      </c>
      <c r="H552" s="29" t="s">
        <v>1615</v>
      </c>
      <c r="I552" s="29" t="str">
        <f t="shared" si="44"/>
        <v>01</v>
      </c>
      <c r="J552" s="29" t="s">
        <v>1616</v>
      </c>
      <c r="K552" s="29" t="s">
        <v>3610</v>
      </c>
      <c r="L552" s="29" t="s">
        <v>3611</v>
      </c>
      <c r="M552" s="29" t="s">
        <v>1619</v>
      </c>
      <c r="N552" s="29" t="s">
        <v>3611</v>
      </c>
      <c r="O552" s="29" t="s">
        <v>1771</v>
      </c>
      <c r="P552" s="29" t="s">
        <v>2055</v>
      </c>
      <c r="Q552" s="29" t="s">
        <v>1623</v>
      </c>
      <c r="R552" s="29" t="s">
        <v>3612</v>
      </c>
      <c r="S552" s="29" t="s">
        <v>2823</v>
      </c>
      <c r="T552" s="29" t="s">
        <v>2815</v>
      </c>
      <c r="U552" s="29" t="s">
        <v>790</v>
      </c>
      <c r="V552" s="29" t="s">
        <v>2639</v>
      </c>
      <c r="W552" s="35" t="s">
        <v>1628</v>
      </c>
      <c r="X552" s="35" t="s">
        <v>3613</v>
      </c>
      <c r="Y552" s="35" t="s">
        <v>1775</v>
      </c>
      <c r="Z552" s="35" t="s">
        <v>2824</v>
      </c>
      <c r="AA552" s="35" t="s">
        <v>2641</v>
      </c>
      <c r="AB552" s="29" t="s">
        <v>2766</v>
      </c>
      <c r="AC552" s="35" t="s">
        <v>1633</v>
      </c>
      <c r="AD552" s="35" t="s">
        <v>1634</v>
      </c>
      <c r="AE552" s="35" t="s">
        <v>1634</v>
      </c>
      <c r="AF552" s="35" t="s">
        <v>1635</v>
      </c>
      <c r="AG552" s="35" t="s">
        <v>2634</v>
      </c>
      <c r="AI552" s="35"/>
      <c r="AJ552" s="35" t="s">
        <v>1637</v>
      </c>
      <c r="AK552" s="35" t="s">
        <v>1672</v>
      </c>
      <c r="AL552" s="29" t="s">
        <v>2715</v>
      </c>
      <c r="AM552" s="35"/>
      <c r="AN552" s="35"/>
      <c r="AO552" s="35"/>
      <c r="AP552" s="35"/>
      <c r="AQ552" s="35"/>
      <c r="AS552" s="35"/>
      <c r="AU552" s="35"/>
      <c r="AW552" s="35"/>
      <c r="AY552" s="35"/>
      <c r="AZ552" s="35"/>
      <c r="BA552" s="35"/>
      <c r="BB552" s="29" t="s">
        <v>2333</v>
      </c>
      <c r="BC552" s="29" t="s">
        <v>2347</v>
      </c>
      <c r="BD552" s="29" t="s">
        <v>2739</v>
      </c>
      <c r="BE552" s="29" t="s">
        <v>1805</v>
      </c>
      <c r="BF552" s="29" t="s">
        <v>2341</v>
      </c>
      <c r="BG552" s="29" t="s">
        <v>3643</v>
      </c>
      <c r="BI552" s="35"/>
      <c r="BJ552" s="35"/>
      <c r="BK552" s="29" t="str" cm="1">
        <f t="array" ref="BK552">_xlfn.UNIQUE(MID(BB552,16,14))</f>
        <v>U012UNA01UH100</v>
      </c>
    </row>
    <row r="553" spans="1:63" x14ac:dyDescent="0.3">
      <c r="A553" s="29" t="s">
        <v>3608</v>
      </c>
      <c r="B553" s="36" t="str">
        <f t="shared" si="40"/>
        <v>G01NHY01KF001-FC44</v>
      </c>
      <c r="C553" s="33" t="s">
        <v>3644</v>
      </c>
      <c r="D553" s="34" t="str">
        <f t="shared" si="41"/>
        <v>ELY1 ARY CTRL U1 230VAC UPS4 CB ON/OPN</v>
      </c>
      <c r="E553" s="31">
        <f t="shared" si="42"/>
        <v>38</v>
      </c>
      <c r="F553" s="32" t="str">
        <f t="shared" si="43"/>
        <v>ELECTROLYSIS SYSTEM ELECTROLYSIS ARRAY 1 ARRAY CONTROL SYSTEM ARRAY CONTROL SYSTEM CONTROL UNITS ARRAY CONTROL UNIT 230VAC UPS DISTRIBUTION CHECK BACK ON/OPEN</v>
      </c>
      <c r="G553" s="29" t="s">
        <v>1614</v>
      </c>
      <c r="H553" s="29" t="s">
        <v>1615</v>
      </c>
      <c r="I553" s="29" t="str">
        <f t="shared" si="44"/>
        <v>01</v>
      </c>
      <c r="J553" s="29" t="s">
        <v>1616</v>
      </c>
      <c r="K553" s="29" t="s">
        <v>3610</v>
      </c>
      <c r="L553" s="29" t="s">
        <v>3611</v>
      </c>
      <c r="M553" s="29" t="s">
        <v>1619</v>
      </c>
      <c r="N553" s="29" t="s">
        <v>3611</v>
      </c>
      <c r="O553" s="29" t="s">
        <v>1771</v>
      </c>
      <c r="P553" s="29" t="s">
        <v>2055</v>
      </c>
      <c r="Q553" s="29" t="s">
        <v>1623</v>
      </c>
      <c r="R553" s="29" t="s">
        <v>3612</v>
      </c>
      <c r="S553" s="29" t="s">
        <v>3645</v>
      </c>
      <c r="T553" s="29" t="s">
        <v>2815</v>
      </c>
      <c r="U553" s="29" t="s">
        <v>790</v>
      </c>
      <c r="V553" s="29" t="s">
        <v>2639</v>
      </c>
      <c r="W553" s="35" t="s">
        <v>1628</v>
      </c>
      <c r="X553" s="35" t="s">
        <v>3613</v>
      </c>
      <c r="Y553" s="35" t="s">
        <v>1775</v>
      </c>
      <c r="Z553" s="35" t="s">
        <v>3646</v>
      </c>
      <c r="AA553" s="35" t="s">
        <v>2641</v>
      </c>
      <c r="AB553" s="29" t="s">
        <v>2766</v>
      </c>
      <c r="AC553" s="35" t="s">
        <v>1633</v>
      </c>
      <c r="AD553" s="35" t="s">
        <v>1634</v>
      </c>
      <c r="AE553" s="35" t="s">
        <v>1634</v>
      </c>
      <c r="AF553" s="35" t="s">
        <v>1635</v>
      </c>
      <c r="AG553" s="35" t="s">
        <v>2634</v>
      </c>
      <c r="AI553" s="35"/>
      <c r="AJ553" s="35" t="s">
        <v>1637</v>
      </c>
      <c r="AK553" s="35" t="s">
        <v>1672</v>
      </c>
      <c r="AL553" s="29" t="s">
        <v>2715</v>
      </c>
      <c r="AM553" s="35"/>
      <c r="AN553" s="35"/>
      <c r="AO553" s="35"/>
      <c r="AP553" s="35"/>
      <c r="AQ553" s="35"/>
      <c r="AS553" s="35"/>
      <c r="AU553" s="35"/>
      <c r="AW553" s="35"/>
      <c r="AY553" s="35"/>
      <c r="AZ553" s="35"/>
      <c r="BA553" s="35"/>
      <c r="BB553" s="29" t="s">
        <v>2333</v>
      </c>
      <c r="BC553" s="29" t="s">
        <v>2347</v>
      </c>
      <c r="BD553" s="29" t="s">
        <v>2739</v>
      </c>
      <c r="BE553" s="29" t="s">
        <v>1805</v>
      </c>
      <c r="BF553" s="29" t="s">
        <v>2388</v>
      </c>
      <c r="BG553" s="29" t="s">
        <v>3647</v>
      </c>
      <c r="BI553" s="35"/>
      <c r="BJ553" s="35"/>
      <c r="BK553" s="29" t="str" cm="1">
        <f t="array" ref="BK553">_xlfn.UNIQUE(MID(BB553,16,14))</f>
        <v>U012UNA01UH100</v>
      </c>
    </row>
    <row r="554" spans="1:63" x14ac:dyDescent="0.3">
      <c r="A554" s="29" t="s">
        <v>3608</v>
      </c>
      <c r="B554" s="36" t="str">
        <f t="shared" si="40"/>
        <v>G01NHY01KF001-FC45</v>
      </c>
      <c r="C554" s="33" t="s">
        <v>3648</v>
      </c>
      <c r="D554" s="34" t="str">
        <f t="shared" si="41"/>
        <v>ELY1 ARY CTRL U1 230VAC UPS5 CB ON/OPN</v>
      </c>
      <c r="E554" s="31">
        <f t="shared" si="42"/>
        <v>38</v>
      </c>
      <c r="F554" s="32" t="str">
        <f t="shared" si="43"/>
        <v>ELECTROLYSIS SYSTEM ELECTROLYSIS ARRAY 1 ARRAY CONTROL SYSTEM ARRAY CONTROL SYSTEM CONTROL UNITS ARRAY CONTROL UNIT 230VAC UPS DISTRIBUTION CHECK BACK ON/OPEN</v>
      </c>
      <c r="G554" s="29" t="s">
        <v>1614</v>
      </c>
      <c r="H554" s="29" t="s">
        <v>1615</v>
      </c>
      <c r="I554" s="29" t="str">
        <f t="shared" si="44"/>
        <v>01</v>
      </c>
      <c r="J554" s="29" t="s">
        <v>1616</v>
      </c>
      <c r="K554" s="29" t="s">
        <v>3610</v>
      </c>
      <c r="L554" s="29" t="s">
        <v>3611</v>
      </c>
      <c r="M554" s="29" t="s">
        <v>1619</v>
      </c>
      <c r="N554" s="29" t="s">
        <v>3611</v>
      </c>
      <c r="O554" s="29" t="s">
        <v>1771</v>
      </c>
      <c r="P554" s="29" t="s">
        <v>2055</v>
      </c>
      <c r="Q554" s="29" t="s">
        <v>1623</v>
      </c>
      <c r="R554" s="29" t="s">
        <v>3612</v>
      </c>
      <c r="S554" s="29" t="s">
        <v>3649</v>
      </c>
      <c r="T554" s="29" t="s">
        <v>2815</v>
      </c>
      <c r="U554" s="29" t="s">
        <v>790</v>
      </c>
      <c r="V554" s="29" t="s">
        <v>2639</v>
      </c>
      <c r="W554" s="35" t="s">
        <v>1628</v>
      </c>
      <c r="X554" s="35" t="s">
        <v>3613</v>
      </c>
      <c r="Y554" s="35" t="s">
        <v>1775</v>
      </c>
      <c r="Z554" s="35" t="s">
        <v>3650</v>
      </c>
      <c r="AA554" s="35" t="s">
        <v>2641</v>
      </c>
      <c r="AB554" s="29" t="s">
        <v>2766</v>
      </c>
      <c r="AC554" s="35" t="s">
        <v>1633</v>
      </c>
      <c r="AD554" s="35" t="s">
        <v>1634</v>
      </c>
      <c r="AE554" s="35" t="s">
        <v>1634</v>
      </c>
      <c r="AF554" s="35" t="s">
        <v>1635</v>
      </c>
      <c r="AG554" s="35" t="s">
        <v>2634</v>
      </c>
      <c r="AI554" s="35"/>
      <c r="AJ554" s="35" t="s">
        <v>1637</v>
      </c>
      <c r="AK554" s="35" t="s">
        <v>1672</v>
      </c>
      <c r="AL554" s="29" t="s">
        <v>2715</v>
      </c>
      <c r="AM554" s="35"/>
      <c r="AN554" s="35"/>
      <c r="AO554" s="35"/>
      <c r="AP554" s="35"/>
      <c r="AQ554" s="35"/>
      <c r="AS554" s="35"/>
      <c r="AU554" s="35"/>
      <c r="AW554" s="35"/>
      <c r="AY554" s="35"/>
      <c r="AZ554" s="35"/>
      <c r="BA554" s="35"/>
      <c r="BB554" s="29" t="s">
        <v>2420</v>
      </c>
      <c r="BC554" s="29" t="s">
        <v>2347</v>
      </c>
      <c r="BD554" s="29" t="s">
        <v>2739</v>
      </c>
      <c r="BE554" s="29" t="s">
        <v>1805</v>
      </c>
      <c r="BF554" s="29" t="s">
        <v>1619</v>
      </c>
      <c r="BG554" s="29" t="s">
        <v>3651</v>
      </c>
      <c r="BI554" s="35"/>
      <c r="BJ554" s="35"/>
      <c r="BK554" s="29" t="str" cm="1">
        <f t="array" ref="BK554">_xlfn.UNIQUE(MID(BB554,16,14))</f>
        <v>U012UNA01UH100</v>
      </c>
    </row>
    <row r="555" spans="1:63" x14ac:dyDescent="0.3">
      <c r="A555" s="29" t="s">
        <v>3608</v>
      </c>
      <c r="B555" s="36" t="str">
        <f t="shared" si="40"/>
        <v>G01NHY01KF001-FC46</v>
      </c>
      <c r="C555" s="33" t="s">
        <v>3652</v>
      </c>
      <c r="D555" s="34" t="str">
        <f t="shared" si="41"/>
        <v>ELY1 ARY CTRL U1 230VAC UPS6 CB ON/OPN</v>
      </c>
      <c r="E555" s="31">
        <f t="shared" si="42"/>
        <v>38</v>
      </c>
      <c r="F555" s="32" t="str">
        <f t="shared" si="43"/>
        <v>ELECTROLYSIS SYSTEM ELECTROLYSIS ARRAY 1 ARRAY CONTROL SYSTEM ARRAY CONTROL SYSTEM CONTROL UNITS ARRAY CONTROL UNIT 230VAC UPS DISTRIBUTION CHECK BACK ON/OPEN</v>
      </c>
      <c r="G555" s="29" t="s">
        <v>1614</v>
      </c>
      <c r="H555" s="29" t="s">
        <v>1615</v>
      </c>
      <c r="I555" s="29" t="str">
        <f t="shared" si="44"/>
        <v>01</v>
      </c>
      <c r="J555" s="29" t="s">
        <v>1616</v>
      </c>
      <c r="K555" s="29" t="s">
        <v>3610</v>
      </c>
      <c r="L555" s="29" t="s">
        <v>3611</v>
      </c>
      <c r="M555" s="29" t="s">
        <v>1619</v>
      </c>
      <c r="N555" s="29" t="s">
        <v>3611</v>
      </c>
      <c r="O555" s="29" t="s">
        <v>1771</v>
      </c>
      <c r="P555" s="29" t="s">
        <v>2055</v>
      </c>
      <c r="Q555" s="29" t="s">
        <v>1623</v>
      </c>
      <c r="R555" s="29" t="s">
        <v>3612</v>
      </c>
      <c r="S555" s="29" t="s">
        <v>3653</v>
      </c>
      <c r="T555" s="29" t="s">
        <v>2815</v>
      </c>
      <c r="U555" s="29" t="s">
        <v>790</v>
      </c>
      <c r="V555" s="29" t="s">
        <v>2639</v>
      </c>
      <c r="W555" s="35" t="s">
        <v>1628</v>
      </c>
      <c r="X555" s="35" t="s">
        <v>3613</v>
      </c>
      <c r="Y555" s="35" t="s">
        <v>1775</v>
      </c>
      <c r="Z555" s="35" t="s">
        <v>3654</v>
      </c>
      <c r="AA555" s="35" t="s">
        <v>2641</v>
      </c>
      <c r="AB555" s="29" t="s">
        <v>2766</v>
      </c>
      <c r="AC555" s="35" t="s">
        <v>1633</v>
      </c>
      <c r="AD555" s="35" t="s">
        <v>1634</v>
      </c>
      <c r="AE555" s="35" t="s">
        <v>1634</v>
      </c>
      <c r="AF555" s="35" t="s">
        <v>1635</v>
      </c>
      <c r="AG555" s="35" t="s">
        <v>2634</v>
      </c>
      <c r="AI555" s="35"/>
      <c r="AJ555" s="35" t="s">
        <v>1637</v>
      </c>
      <c r="AK555" s="35" t="s">
        <v>1672</v>
      </c>
      <c r="AL555" s="29" t="s">
        <v>2715</v>
      </c>
      <c r="AM555" s="35"/>
      <c r="AN555" s="35"/>
      <c r="AO555" s="35"/>
      <c r="AP555" s="35"/>
      <c r="AQ555" s="35"/>
      <c r="AS555" s="35"/>
      <c r="AU555" s="35"/>
      <c r="AW555" s="35"/>
      <c r="AY555" s="35"/>
      <c r="AZ555" s="35"/>
      <c r="BA555" s="35"/>
      <c r="BB555" s="29" t="s">
        <v>2420</v>
      </c>
      <c r="BC555" s="29" t="s">
        <v>2347</v>
      </c>
      <c r="BD555" s="29" t="s">
        <v>2739</v>
      </c>
      <c r="BE555" s="29" t="s">
        <v>1805</v>
      </c>
      <c r="BF555" s="29" t="s">
        <v>1905</v>
      </c>
      <c r="BG555" s="29" t="s">
        <v>3655</v>
      </c>
      <c r="BI555" s="35"/>
      <c r="BJ555" s="35"/>
      <c r="BK555" s="29" t="str" cm="1">
        <f t="array" ref="BK555">_xlfn.UNIQUE(MID(BB555,16,14))</f>
        <v>U012UNA01UH100</v>
      </c>
    </row>
    <row r="556" spans="1:63" x14ac:dyDescent="0.3">
      <c r="A556" s="29" t="s">
        <v>3608</v>
      </c>
      <c r="B556" s="36" t="str">
        <f t="shared" si="40"/>
        <v>G01NHY01KF001-FC47</v>
      </c>
      <c r="C556" s="33" t="s">
        <v>3656</v>
      </c>
      <c r="D556" s="34" t="str">
        <f t="shared" si="41"/>
        <v>ELY1 ARY CTRL U1 230VAC UPS7 CB ON/OPN</v>
      </c>
      <c r="E556" s="31">
        <f t="shared" si="42"/>
        <v>38</v>
      </c>
      <c r="F556" s="32" t="str">
        <f t="shared" si="43"/>
        <v>ELECTROLYSIS SYSTEM ELECTROLYSIS ARRAY 1 ARRAY CONTROL SYSTEM ARRAY CONTROL SYSTEM CONTROL UNITS ARRAY CONTROL UNIT 230VAC UPS DISTRIBUTION CHECK BACK ON/OPEN</v>
      </c>
      <c r="G556" s="29" t="s">
        <v>1614</v>
      </c>
      <c r="H556" s="29" t="s">
        <v>1615</v>
      </c>
      <c r="I556" s="29" t="str">
        <f t="shared" si="44"/>
        <v>01</v>
      </c>
      <c r="J556" s="29" t="s">
        <v>1616</v>
      </c>
      <c r="K556" s="29" t="s">
        <v>3610</v>
      </c>
      <c r="L556" s="29" t="s">
        <v>3611</v>
      </c>
      <c r="M556" s="29" t="s">
        <v>1619</v>
      </c>
      <c r="N556" s="29" t="s">
        <v>3611</v>
      </c>
      <c r="O556" s="29" t="s">
        <v>1771</v>
      </c>
      <c r="P556" s="29" t="s">
        <v>2055</v>
      </c>
      <c r="Q556" s="29" t="s">
        <v>1623</v>
      </c>
      <c r="R556" s="29" t="s">
        <v>3612</v>
      </c>
      <c r="S556" s="29" t="s">
        <v>3657</v>
      </c>
      <c r="T556" s="29" t="s">
        <v>2815</v>
      </c>
      <c r="U556" s="29" t="s">
        <v>790</v>
      </c>
      <c r="V556" s="29" t="s">
        <v>2639</v>
      </c>
      <c r="W556" s="35" t="s">
        <v>1628</v>
      </c>
      <c r="X556" s="35" t="s">
        <v>3613</v>
      </c>
      <c r="Y556" s="35" t="s">
        <v>1775</v>
      </c>
      <c r="Z556" s="35" t="s">
        <v>3658</v>
      </c>
      <c r="AA556" s="35" t="s">
        <v>2641</v>
      </c>
      <c r="AB556" s="29" t="s">
        <v>2766</v>
      </c>
      <c r="AC556" s="35" t="s">
        <v>1633</v>
      </c>
      <c r="AD556" s="35" t="s">
        <v>1634</v>
      </c>
      <c r="AE556" s="35" t="s">
        <v>1634</v>
      </c>
      <c r="AF556" s="35" t="s">
        <v>1635</v>
      </c>
      <c r="AG556" s="35" t="s">
        <v>2634</v>
      </c>
      <c r="AI556" s="35"/>
      <c r="AJ556" s="35" t="s">
        <v>1637</v>
      </c>
      <c r="AK556" s="35" t="s">
        <v>1672</v>
      </c>
      <c r="AL556" s="29" t="s">
        <v>2715</v>
      </c>
      <c r="AM556" s="35"/>
      <c r="AN556" s="35"/>
      <c r="AO556" s="35"/>
      <c r="AP556" s="35"/>
      <c r="AQ556" s="35"/>
      <c r="AS556" s="35"/>
      <c r="AU556" s="35"/>
      <c r="AW556" s="35"/>
      <c r="AY556" s="35"/>
      <c r="AZ556" s="35"/>
      <c r="BA556" s="35"/>
      <c r="BB556" s="29" t="s">
        <v>2420</v>
      </c>
      <c r="BC556" s="29" t="s">
        <v>2347</v>
      </c>
      <c r="BD556" s="29" t="s">
        <v>2739</v>
      </c>
      <c r="BE556" s="29" t="s">
        <v>1805</v>
      </c>
      <c r="BF556" s="29" t="s">
        <v>1909</v>
      </c>
      <c r="BG556" s="29" t="s">
        <v>3659</v>
      </c>
      <c r="BI556" s="35"/>
      <c r="BJ556" s="35"/>
      <c r="BK556" s="29" t="str" cm="1">
        <f t="array" ref="BK556">_xlfn.UNIQUE(MID(BB556,16,14))</f>
        <v>U012UNA01UH100</v>
      </c>
    </row>
    <row r="557" spans="1:63" x14ac:dyDescent="0.3">
      <c r="A557" s="29" t="s">
        <v>3608</v>
      </c>
      <c r="B557" s="36" t="str">
        <f t="shared" si="40"/>
        <v>G01NHY01KF001-FC48</v>
      </c>
      <c r="C557" s="33" t="s">
        <v>3660</v>
      </c>
      <c r="D557" s="34" t="str">
        <f t="shared" si="41"/>
        <v>ELY1 ARY CTRL U1 230VAC UPS8 CB ON/OPN</v>
      </c>
      <c r="E557" s="31">
        <f t="shared" si="42"/>
        <v>38</v>
      </c>
      <c r="F557" s="32" t="str">
        <f t="shared" si="43"/>
        <v>ELECTROLYSIS SYSTEM ELECTROLYSIS ARRAY 1 ARRAY CONTROL SYSTEM ARRAY CONTROL SYSTEM CONTROL UNITS ARRAY CONTROL UNIT 230VAC UPS DISTRIBUTION CHECK BACK ON/OPEN</v>
      </c>
      <c r="G557" s="29" t="s">
        <v>1614</v>
      </c>
      <c r="H557" s="29" t="s">
        <v>1615</v>
      </c>
      <c r="I557" s="29" t="str">
        <f t="shared" si="44"/>
        <v>01</v>
      </c>
      <c r="J557" s="29" t="s">
        <v>1616</v>
      </c>
      <c r="K557" s="29" t="s">
        <v>3610</v>
      </c>
      <c r="L557" s="29" t="s">
        <v>3611</v>
      </c>
      <c r="M557" s="29" t="s">
        <v>1619</v>
      </c>
      <c r="N557" s="29" t="s">
        <v>3611</v>
      </c>
      <c r="O557" s="29" t="s">
        <v>1771</v>
      </c>
      <c r="P557" s="29" t="s">
        <v>2055</v>
      </c>
      <c r="Q557" s="29" t="s">
        <v>1623</v>
      </c>
      <c r="R557" s="29" t="s">
        <v>3612</v>
      </c>
      <c r="S557" s="29" t="s">
        <v>3661</v>
      </c>
      <c r="T557" s="29" t="s">
        <v>2815</v>
      </c>
      <c r="U557" s="29" t="s">
        <v>790</v>
      </c>
      <c r="V557" s="29" t="s">
        <v>2639</v>
      </c>
      <c r="W557" s="35" t="s">
        <v>1628</v>
      </c>
      <c r="X557" s="35" t="s">
        <v>3613</v>
      </c>
      <c r="Y557" s="35" t="s">
        <v>1775</v>
      </c>
      <c r="Z557" s="35" t="s">
        <v>3662</v>
      </c>
      <c r="AA557" s="35" t="s">
        <v>2641</v>
      </c>
      <c r="AB557" s="29" t="s">
        <v>2766</v>
      </c>
      <c r="AC557" s="35" t="s">
        <v>1633</v>
      </c>
      <c r="AD557" s="35" t="s">
        <v>1634</v>
      </c>
      <c r="AE557" s="35" t="s">
        <v>1634</v>
      </c>
      <c r="AF557" s="35" t="s">
        <v>1635</v>
      </c>
      <c r="AG557" s="35" t="s">
        <v>2634</v>
      </c>
      <c r="AI557" s="35"/>
      <c r="AJ557" s="35" t="s">
        <v>1637</v>
      </c>
      <c r="AK557" s="35" t="s">
        <v>1672</v>
      </c>
      <c r="AL557" s="29" t="s">
        <v>2715</v>
      </c>
      <c r="AM557" s="35"/>
      <c r="AN557" s="35"/>
      <c r="AO557" s="35"/>
      <c r="AP557" s="35"/>
      <c r="AQ557" s="35"/>
      <c r="AS557" s="35"/>
      <c r="AU557" s="35"/>
      <c r="AW557" s="35"/>
      <c r="AY557" s="35"/>
      <c r="AZ557" s="35"/>
      <c r="BA557" s="35"/>
      <c r="BB557" s="29" t="s">
        <v>2420</v>
      </c>
      <c r="BC557" s="29" t="s">
        <v>2347</v>
      </c>
      <c r="BD557" s="29" t="s">
        <v>2739</v>
      </c>
      <c r="BE557" s="29" t="s">
        <v>1805</v>
      </c>
      <c r="BF557" s="29" t="s">
        <v>1915</v>
      </c>
      <c r="BG557" s="29" t="s">
        <v>3663</v>
      </c>
      <c r="BI557" s="35"/>
      <c r="BJ557" s="35"/>
      <c r="BK557" s="29" t="str" cm="1">
        <f t="array" ref="BK557">_xlfn.UNIQUE(MID(BB557,16,14))</f>
        <v>U012UNA01UH100</v>
      </c>
    </row>
    <row r="558" spans="1:63" x14ac:dyDescent="0.3">
      <c r="A558" s="29" t="s">
        <v>3608</v>
      </c>
      <c r="B558" s="36" t="str">
        <f t="shared" si="40"/>
        <v>G01NHY01KF001-FC49</v>
      </c>
      <c r="C558" s="33" t="s">
        <v>3664</v>
      </c>
      <c r="D558" s="34" t="str">
        <f t="shared" si="41"/>
        <v>ELY1 ARY CTRL U1 230VAC UPS9 CB ON/OPN</v>
      </c>
      <c r="E558" s="31">
        <f t="shared" si="42"/>
        <v>38</v>
      </c>
      <c r="F558" s="32" t="str">
        <f t="shared" si="43"/>
        <v>ELECTROLYSIS SYSTEM ELECTROLYSIS ARRAY 1 ARRAY CONTROL SYSTEM ARRAY CONTROL SYSTEM CONTROL UNITS ARRAY CONTROL UNIT 230VAC UPS DISTRIBUTION CHECK BACK ON/OPEN</v>
      </c>
      <c r="G558" s="29" t="s">
        <v>1614</v>
      </c>
      <c r="H558" s="29" t="s">
        <v>1615</v>
      </c>
      <c r="I558" s="29" t="str">
        <f t="shared" si="44"/>
        <v>01</v>
      </c>
      <c r="J558" s="29" t="s">
        <v>1616</v>
      </c>
      <c r="K558" s="29" t="s">
        <v>3610</v>
      </c>
      <c r="L558" s="29" t="s">
        <v>3611</v>
      </c>
      <c r="M558" s="29" t="s">
        <v>1619</v>
      </c>
      <c r="N558" s="29" t="s">
        <v>3611</v>
      </c>
      <c r="O558" s="29" t="s">
        <v>1771</v>
      </c>
      <c r="P558" s="29" t="s">
        <v>2055</v>
      </c>
      <c r="Q558" s="29" t="s">
        <v>1623</v>
      </c>
      <c r="R558" s="29" t="s">
        <v>3612</v>
      </c>
      <c r="S558" s="29" t="s">
        <v>3665</v>
      </c>
      <c r="T558" s="29" t="s">
        <v>2815</v>
      </c>
      <c r="U558" s="29" t="s">
        <v>790</v>
      </c>
      <c r="V558" s="29" t="s">
        <v>2639</v>
      </c>
      <c r="W558" s="35" t="s">
        <v>1628</v>
      </c>
      <c r="X558" s="35" t="s">
        <v>3613</v>
      </c>
      <c r="Y558" s="35" t="s">
        <v>1775</v>
      </c>
      <c r="Z558" s="35" t="s">
        <v>3666</v>
      </c>
      <c r="AA558" s="35" t="s">
        <v>2641</v>
      </c>
      <c r="AB558" s="29" t="s">
        <v>2766</v>
      </c>
      <c r="AC558" s="35" t="s">
        <v>1633</v>
      </c>
      <c r="AD558" s="35" t="s">
        <v>1634</v>
      </c>
      <c r="AE558" s="35" t="s">
        <v>1634</v>
      </c>
      <c r="AF558" s="35" t="s">
        <v>1635</v>
      </c>
      <c r="AG558" s="35" t="s">
        <v>2634</v>
      </c>
      <c r="AI558" s="35"/>
      <c r="AJ558" s="35" t="s">
        <v>1637</v>
      </c>
      <c r="AK558" s="35" t="s">
        <v>1672</v>
      </c>
      <c r="AL558" s="29" t="s">
        <v>2715</v>
      </c>
      <c r="AM558" s="35"/>
      <c r="AN558" s="35"/>
      <c r="AO558" s="35"/>
      <c r="AP558" s="35"/>
      <c r="AQ558" s="35"/>
      <c r="AS558" s="35"/>
      <c r="AU558" s="35"/>
      <c r="AW558" s="35"/>
      <c r="AY558" s="35"/>
      <c r="AZ558" s="35"/>
      <c r="BA558" s="35"/>
      <c r="BB558" s="29" t="s">
        <v>2420</v>
      </c>
      <c r="BC558" s="29" t="s">
        <v>2347</v>
      </c>
      <c r="BD558" s="29" t="s">
        <v>2739</v>
      </c>
      <c r="BE558" s="29" t="s">
        <v>1805</v>
      </c>
      <c r="BF558" s="29" t="s">
        <v>1919</v>
      </c>
      <c r="BG558" s="29" t="s">
        <v>3667</v>
      </c>
      <c r="BI558" s="35"/>
      <c r="BJ558" s="35"/>
      <c r="BK558" s="29" t="str" cm="1">
        <f t="array" ref="BK558">_xlfn.UNIQUE(MID(BB558,16,14))</f>
        <v>U012UNA01UH100</v>
      </c>
    </row>
    <row r="559" spans="1:63" x14ac:dyDescent="0.3">
      <c r="A559" s="29" t="s">
        <v>3608</v>
      </c>
      <c r="B559" s="36" t="str">
        <f t="shared" si="40"/>
        <v>G01NHY01KF001-FC50</v>
      </c>
      <c r="C559" s="33" t="s">
        <v>3668</v>
      </c>
      <c r="D559" s="34" t="str">
        <f t="shared" si="41"/>
        <v>ELY1 ARY CTRL U1 230VAC UPS10 CB ON/OPN</v>
      </c>
      <c r="E559" s="31">
        <f t="shared" si="42"/>
        <v>39</v>
      </c>
      <c r="F559" s="32" t="str">
        <f t="shared" si="43"/>
        <v>ELECTROLYSIS SYSTEM ELECTROLYSIS ARRAY 1 ARRAY CONTROL SYSTEM ARRAY CONTROL SYSTEM CONTROL UNITS ARRAY CONTROL UNIT 230VAC UPS DISTRIBUTION CHECK BACK ON/OPEN</v>
      </c>
      <c r="G559" s="29" t="s">
        <v>1614</v>
      </c>
      <c r="H559" s="29" t="s">
        <v>1615</v>
      </c>
      <c r="I559" s="29" t="str">
        <f t="shared" si="44"/>
        <v>01</v>
      </c>
      <c r="J559" s="29" t="s">
        <v>1616</v>
      </c>
      <c r="K559" s="29" t="s">
        <v>3610</v>
      </c>
      <c r="L559" s="29" t="s">
        <v>3611</v>
      </c>
      <c r="M559" s="29" t="s">
        <v>1619</v>
      </c>
      <c r="N559" s="29" t="s">
        <v>3611</v>
      </c>
      <c r="O559" s="29" t="s">
        <v>1771</v>
      </c>
      <c r="P559" s="29" t="s">
        <v>2055</v>
      </c>
      <c r="Q559" s="29" t="s">
        <v>1623</v>
      </c>
      <c r="R559" s="29" t="s">
        <v>3612</v>
      </c>
      <c r="S559" s="29" t="s">
        <v>3669</v>
      </c>
      <c r="T559" s="29" t="s">
        <v>2815</v>
      </c>
      <c r="U559" s="29" t="s">
        <v>790</v>
      </c>
      <c r="V559" s="29" t="s">
        <v>2639</v>
      </c>
      <c r="W559" s="35" t="s">
        <v>1628</v>
      </c>
      <c r="X559" s="35" t="s">
        <v>3613</v>
      </c>
      <c r="Y559" s="35" t="s">
        <v>1775</v>
      </c>
      <c r="Z559" s="35" t="s">
        <v>3670</v>
      </c>
      <c r="AA559" s="35" t="s">
        <v>2641</v>
      </c>
      <c r="AB559" s="29" t="s">
        <v>2766</v>
      </c>
      <c r="AC559" s="35" t="s">
        <v>1633</v>
      </c>
      <c r="AD559" s="35" t="s">
        <v>1634</v>
      </c>
      <c r="AE559" s="35" t="s">
        <v>1634</v>
      </c>
      <c r="AF559" s="35" t="s">
        <v>1635</v>
      </c>
      <c r="AG559" s="35" t="s">
        <v>2634</v>
      </c>
      <c r="AI559" s="35"/>
      <c r="AJ559" s="35" t="s">
        <v>1637</v>
      </c>
      <c r="AK559" s="35" t="s">
        <v>1672</v>
      </c>
      <c r="AL559" s="29" t="s">
        <v>2715</v>
      </c>
      <c r="AM559" s="35"/>
      <c r="AN559" s="35"/>
      <c r="AO559" s="35"/>
      <c r="AP559" s="35"/>
      <c r="AQ559" s="35"/>
      <c r="AS559" s="35"/>
      <c r="AU559" s="35"/>
      <c r="AW559" s="35"/>
      <c r="AY559" s="35"/>
      <c r="AZ559" s="35"/>
      <c r="BA559" s="35"/>
      <c r="BB559" s="29" t="s">
        <v>2420</v>
      </c>
      <c r="BC559" s="29" t="s">
        <v>2347</v>
      </c>
      <c r="BD559" s="29" t="s">
        <v>2739</v>
      </c>
      <c r="BE559" s="29" t="s">
        <v>1805</v>
      </c>
      <c r="BF559" s="29" t="s">
        <v>1922</v>
      </c>
      <c r="BG559" s="29" t="s">
        <v>3671</v>
      </c>
      <c r="BI559" s="35"/>
      <c r="BJ559" s="35"/>
      <c r="BK559" s="29" t="str" cm="1">
        <f t="array" ref="BK559">_xlfn.UNIQUE(MID(BB559,16,14))</f>
        <v>U012UNA01UH100</v>
      </c>
    </row>
    <row r="560" spans="1:63" x14ac:dyDescent="0.3">
      <c r="A560" s="29" t="s">
        <v>3608</v>
      </c>
      <c r="B560" s="36" t="str">
        <f t="shared" si="40"/>
        <v>G01NHY01KF001-FC51</v>
      </c>
      <c r="C560" s="33" t="s">
        <v>3672</v>
      </c>
      <c r="D560" s="34" t="str">
        <f t="shared" si="41"/>
        <v>ELY1 ARY CTRL U1 230VAC UPS11 CB ON/OPN</v>
      </c>
      <c r="E560" s="31">
        <f t="shared" si="42"/>
        <v>39</v>
      </c>
      <c r="F560" s="32" t="str">
        <f t="shared" si="43"/>
        <v>ELECTROLYSIS SYSTEM ELECTROLYSIS ARRAY 1 ARRAY CONTROL SYSTEM ARRAY CONTROL SYSTEM CONTROL UNITS ARRAY CONTROL UNIT 230VAC UPS DISTRIBUTION CHECK BACK ON/OPEN</v>
      </c>
      <c r="G560" s="29" t="s">
        <v>1614</v>
      </c>
      <c r="H560" s="29" t="s">
        <v>1615</v>
      </c>
      <c r="I560" s="29" t="str">
        <f t="shared" si="44"/>
        <v>01</v>
      </c>
      <c r="J560" s="29" t="s">
        <v>1616</v>
      </c>
      <c r="K560" s="29" t="s">
        <v>3610</v>
      </c>
      <c r="L560" s="29" t="s">
        <v>3611</v>
      </c>
      <c r="M560" s="29" t="s">
        <v>1619</v>
      </c>
      <c r="N560" s="29" t="s">
        <v>3611</v>
      </c>
      <c r="O560" s="29" t="s">
        <v>1771</v>
      </c>
      <c r="P560" s="29" t="s">
        <v>2055</v>
      </c>
      <c r="Q560" s="29" t="s">
        <v>1623</v>
      </c>
      <c r="R560" s="29" t="s">
        <v>3612</v>
      </c>
      <c r="S560" s="29" t="s">
        <v>3673</v>
      </c>
      <c r="T560" s="29" t="s">
        <v>2815</v>
      </c>
      <c r="U560" s="29" t="s">
        <v>790</v>
      </c>
      <c r="V560" s="29" t="s">
        <v>2639</v>
      </c>
      <c r="W560" s="35" t="s">
        <v>1628</v>
      </c>
      <c r="X560" s="35" t="s">
        <v>3613</v>
      </c>
      <c r="Y560" s="35" t="s">
        <v>1775</v>
      </c>
      <c r="Z560" s="35" t="s">
        <v>3674</v>
      </c>
      <c r="AA560" s="35" t="s">
        <v>2641</v>
      </c>
      <c r="AB560" s="29" t="s">
        <v>2766</v>
      </c>
      <c r="AC560" s="35" t="s">
        <v>1633</v>
      </c>
      <c r="AD560" s="35" t="s">
        <v>1634</v>
      </c>
      <c r="AE560" s="35" t="s">
        <v>1634</v>
      </c>
      <c r="AF560" s="35" t="s">
        <v>1635</v>
      </c>
      <c r="AG560" s="35" t="s">
        <v>2634</v>
      </c>
      <c r="AI560" s="35"/>
      <c r="AJ560" s="35" t="s">
        <v>1637</v>
      </c>
      <c r="AK560" s="35" t="s">
        <v>1672</v>
      </c>
      <c r="AL560" s="29" t="s">
        <v>2715</v>
      </c>
      <c r="AM560" s="35"/>
      <c r="AN560" s="35"/>
      <c r="AO560" s="35"/>
      <c r="AP560" s="35"/>
      <c r="AQ560" s="35"/>
      <c r="AS560" s="35"/>
      <c r="AU560" s="35"/>
      <c r="AW560" s="35"/>
      <c r="AY560" s="35"/>
      <c r="AZ560" s="35"/>
      <c r="BA560" s="35"/>
      <c r="BB560" s="29" t="s">
        <v>2420</v>
      </c>
      <c r="BC560" s="29" t="s">
        <v>2347</v>
      </c>
      <c r="BD560" s="29" t="s">
        <v>2739</v>
      </c>
      <c r="BE560" s="29" t="s">
        <v>1805</v>
      </c>
      <c r="BF560" s="29" t="s">
        <v>1931</v>
      </c>
      <c r="BG560" s="29" t="s">
        <v>3675</v>
      </c>
      <c r="BI560" s="35"/>
      <c r="BJ560" s="35"/>
      <c r="BK560" s="29" t="str" cm="1">
        <f t="array" ref="BK560">_xlfn.UNIQUE(MID(BB560,16,14))</f>
        <v>U012UNA01UH100</v>
      </c>
    </row>
    <row r="561" spans="1:63" x14ac:dyDescent="0.3">
      <c r="A561" s="29" t="s">
        <v>3608</v>
      </c>
      <c r="B561" s="36" t="str">
        <f t="shared" si="40"/>
        <v>G01NHY01KF001-FC52</v>
      </c>
      <c r="C561" s="33" t="s">
        <v>3676</v>
      </c>
      <c r="D561" s="34" t="str">
        <f t="shared" si="41"/>
        <v>ELY1 ARY CTRL U1 230VAC UPS12 CB ON/OPN</v>
      </c>
      <c r="E561" s="31">
        <f t="shared" si="42"/>
        <v>39</v>
      </c>
      <c r="F561" s="32" t="str">
        <f t="shared" si="43"/>
        <v>ELECTROLYSIS SYSTEM ELECTROLYSIS ARRAY 1 ARRAY CONTROL SYSTEM ARRAY CONTROL SYSTEM CONTROL UNITS ARRAY CONTROL UNIT 230VAC UPS DISTRIBUTION CHECK BACK ON/OPEN</v>
      </c>
      <c r="G561" s="29" t="s">
        <v>1614</v>
      </c>
      <c r="H561" s="29" t="s">
        <v>1615</v>
      </c>
      <c r="I561" s="29" t="str">
        <f t="shared" si="44"/>
        <v>01</v>
      </c>
      <c r="J561" s="29" t="s">
        <v>1616</v>
      </c>
      <c r="K561" s="29" t="s">
        <v>3610</v>
      </c>
      <c r="L561" s="29" t="s">
        <v>3611</v>
      </c>
      <c r="M561" s="29" t="s">
        <v>1619</v>
      </c>
      <c r="N561" s="29" t="s">
        <v>3611</v>
      </c>
      <c r="O561" s="29" t="s">
        <v>1771</v>
      </c>
      <c r="P561" s="29" t="s">
        <v>2055</v>
      </c>
      <c r="Q561" s="29" t="s">
        <v>1623</v>
      </c>
      <c r="R561" s="29" t="s">
        <v>3612</v>
      </c>
      <c r="S561" s="29" t="s">
        <v>3677</v>
      </c>
      <c r="T561" s="29" t="s">
        <v>2815</v>
      </c>
      <c r="U561" s="29" t="s">
        <v>790</v>
      </c>
      <c r="V561" s="29" t="s">
        <v>2639</v>
      </c>
      <c r="W561" s="35" t="s">
        <v>1628</v>
      </c>
      <c r="X561" s="35" t="s">
        <v>3613</v>
      </c>
      <c r="Y561" s="35" t="s">
        <v>1775</v>
      </c>
      <c r="Z561" s="35" t="s">
        <v>3678</v>
      </c>
      <c r="AA561" s="35" t="s">
        <v>2641</v>
      </c>
      <c r="AB561" s="29" t="s">
        <v>2766</v>
      </c>
      <c r="AC561" s="35" t="s">
        <v>1633</v>
      </c>
      <c r="AD561" s="35" t="s">
        <v>1634</v>
      </c>
      <c r="AE561" s="35" t="s">
        <v>1634</v>
      </c>
      <c r="AF561" s="35" t="s">
        <v>1635</v>
      </c>
      <c r="AG561" s="35" t="s">
        <v>2634</v>
      </c>
      <c r="AI561" s="35"/>
      <c r="AJ561" s="35" t="s">
        <v>1637</v>
      </c>
      <c r="AK561" s="35" t="s">
        <v>1672</v>
      </c>
      <c r="AL561" s="29" t="s">
        <v>2715</v>
      </c>
      <c r="AM561" s="35"/>
      <c r="AN561" s="35"/>
      <c r="AO561" s="35"/>
      <c r="AP561" s="35"/>
      <c r="AQ561" s="35"/>
      <c r="AS561" s="35"/>
      <c r="AU561" s="35"/>
      <c r="AW561" s="35"/>
      <c r="AY561" s="35"/>
      <c r="AZ561" s="35"/>
      <c r="BA561" s="35"/>
      <c r="BB561" s="29" t="s">
        <v>2420</v>
      </c>
      <c r="BC561" s="29" t="s">
        <v>2347</v>
      </c>
      <c r="BD561" s="29" t="s">
        <v>2739</v>
      </c>
      <c r="BE561" s="29" t="s">
        <v>1805</v>
      </c>
      <c r="BF561" s="29" t="s">
        <v>1936</v>
      </c>
      <c r="BG561" s="29" t="s">
        <v>3679</v>
      </c>
      <c r="BI561" s="35"/>
      <c r="BJ561" s="35"/>
      <c r="BK561" s="29" t="str" cm="1">
        <f t="array" ref="BK561">_xlfn.UNIQUE(MID(BB561,16,14))</f>
        <v>U012UNA01UH100</v>
      </c>
    </row>
    <row r="562" spans="1:63" x14ac:dyDescent="0.3">
      <c r="A562" s="29" t="s">
        <v>3608</v>
      </c>
      <c r="B562" s="36" t="str">
        <f t="shared" si="40"/>
        <v>G01NHY01KF001-FC53</v>
      </c>
      <c r="C562" s="33" t="s">
        <v>3680</v>
      </c>
      <c r="D562" s="34" t="str">
        <f t="shared" si="41"/>
        <v>ELY1 ARY CTRL U1 230VAC UPS13 CB ON/OPN</v>
      </c>
      <c r="E562" s="31">
        <f t="shared" si="42"/>
        <v>39</v>
      </c>
      <c r="F562" s="32" t="str">
        <f t="shared" si="43"/>
        <v>ELECTROLYSIS SYSTEM ELECTROLYSIS ARRAY 1 ARRAY CONTROL SYSTEM ARRAY CONTROL SYSTEM CONTROL UNITS ARRAY CONTROL UNIT 230VAC UPS DISTRIBUTION CHECK BACK ON/OPEN</v>
      </c>
      <c r="G562" s="29" t="s">
        <v>1614</v>
      </c>
      <c r="H562" s="29" t="s">
        <v>1615</v>
      </c>
      <c r="I562" s="29" t="str">
        <f t="shared" si="44"/>
        <v>01</v>
      </c>
      <c r="J562" s="29" t="s">
        <v>1616</v>
      </c>
      <c r="K562" s="29" t="s">
        <v>3610</v>
      </c>
      <c r="L562" s="29" t="s">
        <v>3611</v>
      </c>
      <c r="M562" s="29" t="s">
        <v>1619</v>
      </c>
      <c r="N562" s="29" t="s">
        <v>3611</v>
      </c>
      <c r="O562" s="29" t="s">
        <v>1771</v>
      </c>
      <c r="P562" s="29" t="s">
        <v>2055</v>
      </c>
      <c r="Q562" s="29" t="s">
        <v>1623</v>
      </c>
      <c r="R562" s="29" t="s">
        <v>3612</v>
      </c>
      <c r="S562" s="29" t="s">
        <v>3681</v>
      </c>
      <c r="T562" s="29" t="s">
        <v>2815</v>
      </c>
      <c r="U562" s="29" t="s">
        <v>790</v>
      </c>
      <c r="V562" s="29" t="s">
        <v>2639</v>
      </c>
      <c r="W562" s="35" t="s">
        <v>1628</v>
      </c>
      <c r="X562" s="35" t="s">
        <v>3613</v>
      </c>
      <c r="Y562" s="35" t="s">
        <v>1775</v>
      </c>
      <c r="Z562" s="35" t="s">
        <v>3682</v>
      </c>
      <c r="AA562" s="35" t="s">
        <v>2641</v>
      </c>
      <c r="AC562" s="35" t="s">
        <v>1633</v>
      </c>
      <c r="AD562" s="35" t="s">
        <v>1634</v>
      </c>
      <c r="AE562" s="35" t="s">
        <v>1634</v>
      </c>
      <c r="AF562" s="35" t="s">
        <v>1635</v>
      </c>
      <c r="AG562" s="35" t="s">
        <v>2634</v>
      </c>
      <c r="AI562" s="35"/>
      <c r="AJ562" s="35" t="s">
        <v>1637</v>
      </c>
      <c r="AK562" s="35" t="s">
        <v>1672</v>
      </c>
      <c r="AL562" s="29" t="s">
        <v>2715</v>
      </c>
      <c r="AM562" s="35"/>
      <c r="AN562" s="35"/>
      <c r="AO562" s="35"/>
      <c r="AP562" s="35"/>
      <c r="AQ562" s="35"/>
      <c r="AS562" s="35"/>
      <c r="AU562" s="35"/>
      <c r="AW562" s="35"/>
      <c r="AY562" s="35"/>
      <c r="AZ562" s="35"/>
      <c r="BA562" s="35"/>
      <c r="BB562" s="29" t="s">
        <v>2420</v>
      </c>
      <c r="BC562" s="29" t="s">
        <v>2347</v>
      </c>
      <c r="BD562" s="29" t="s">
        <v>2739</v>
      </c>
      <c r="BE562" s="29" t="s">
        <v>1805</v>
      </c>
      <c r="BF562" s="29" t="s">
        <v>2035</v>
      </c>
      <c r="BG562" s="29" t="s">
        <v>3683</v>
      </c>
      <c r="BI562" s="35"/>
      <c r="BJ562" s="35"/>
      <c r="BK562" s="29" t="str" cm="1">
        <f t="array" ref="BK562">_xlfn.UNIQUE(MID(BB562,16,14))</f>
        <v>U012UNA01UH100</v>
      </c>
    </row>
    <row r="563" spans="1:63" x14ac:dyDescent="0.3">
      <c r="A563" s="29" t="s">
        <v>3608</v>
      </c>
      <c r="B563" s="36" t="str">
        <f t="shared" si="40"/>
        <v>G01NHY01KF001-QA11</v>
      </c>
      <c r="C563" s="33" t="s">
        <v>3684</v>
      </c>
      <c r="D563" s="34" t="str">
        <f t="shared" si="41"/>
        <v>ELY1 ARY CTRL U1 SW 400VAC1 CB ON/OPN</v>
      </c>
      <c r="E563" s="31">
        <f t="shared" si="42"/>
        <v>37</v>
      </c>
      <c r="F563" s="32" t="str">
        <f t="shared" si="43"/>
        <v>ELECTROLYSIS SYSTEM ELECTROLYSIS ARRAY 1 ARRAY CONTROL SYSTEM ARRAY CONTROL SYSTEM CONTROL UNITS ARRAY CONTROL UNIT 400VAC DISTRIBUTION CHECK BACK ON/OPEN</v>
      </c>
      <c r="G563" s="29" t="s">
        <v>1614</v>
      </c>
      <c r="H563" s="29" t="s">
        <v>1615</v>
      </c>
      <c r="I563" s="29" t="str">
        <f t="shared" si="44"/>
        <v>01</v>
      </c>
      <c r="J563" s="29" t="s">
        <v>1616</v>
      </c>
      <c r="K563" s="29" t="s">
        <v>3610</v>
      </c>
      <c r="L563" s="29" t="s">
        <v>3611</v>
      </c>
      <c r="M563" s="29" t="s">
        <v>1619</v>
      </c>
      <c r="N563" s="29" t="s">
        <v>3611</v>
      </c>
      <c r="O563" s="29" t="s">
        <v>1771</v>
      </c>
      <c r="P563" s="29" t="s">
        <v>2055</v>
      </c>
      <c r="Q563" s="29" t="s">
        <v>1623</v>
      </c>
      <c r="R563" s="29" t="s">
        <v>3612</v>
      </c>
      <c r="S563" s="29" t="s">
        <v>2828</v>
      </c>
      <c r="T563" s="29" t="s">
        <v>2829</v>
      </c>
      <c r="U563" s="29" t="s">
        <v>790</v>
      </c>
      <c r="V563" s="29" t="s">
        <v>2639</v>
      </c>
      <c r="W563" s="35" t="s">
        <v>1628</v>
      </c>
      <c r="X563" s="35" t="s">
        <v>3613</v>
      </c>
      <c r="Y563" s="35" t="s">
        <v>1775</v>
      </c>
      <c r="Z563" s="35" t="s">
        <v>2830</v>
      </c>
      <c r="AA563" s="35" t="s">
        <v>2641</v>
      </c>
      <c r="AB563" s="29" t="s">
        <v>2831</v>
      </c>
      <c r="AC563" s="35" t="s">
        <v>1633</v>
      </c>
      <c r="AD563" s="35" t="s">
        <v>1634</v>
      </c>
      <c r="AE563" s="35" t="s">
        <v>1634</v>
      </c>
      <c r="AF563" s="35" t="s">
        <v>1635</v>
      </c>
      <c r="AG563" s="35" t="s">
        <v>2634</v>
      </c>
      <c r="AI563" s="35"/>
      <c r="AJ563" s="35" t="s">
        <v>1637</v>
      </c>
      <c r="AK563" s="35" t="s">
        <v>1672</v>
      </c>
      <c r="AL563" s="29" t="s">
        <v>2715</v>
      </c>
      <c r="AM563" s="35"/>
      <c r="AN563" s="35"/>
      <c r="AO563" s="35"/>
      <c r="AP563" s="35"/>
      <c r="AQ563" s="35"/>
      <c r="AS563" s="35"/>
      <c r="AU563" s="35"/>
      <c r="AW563" s="35"/>
      <c r="AY563" s="35"/>
      <c r="AZ563" s="35"/>
      <c r="BA563" s="35"/>
      <c r="BB563" s="29" t="s">
        <v>2420</v>
      </c>
      <c r="BC563" s="29" t="s">
        <v>2347</v>
      </c>
      <c r="BD563" s="29" t="s">
        <v>2739</v>
      </c>
      <c r="BE563" s="29" t="s">
        <v>1805</v>
      </c>
      <c r="BF563" s="29" t="s">
        <v>1969</v>
      </c>
      <c r="BG563" s="29" t="s">
        <v>3685</v>
      </c>
      <c r="BI563" s="35"/>
      <c r="BJ563" s="35"/>
      <c r="BK563" s="29" t="str" cm="1">
        <f t="array" ref="BK563">_xlfn.UNIQUE(MID(BB563,16,14))</f>
        <v>U012UNA01UH100</v>
      </c>
    </row>
    <row r="564" spans="1:63" x14ac:dyDescent="0.3">
      <c r="A564" s="29" t="s">
        <v>3608</v>
      </c>
      <c r="B564" s="36" t="str">
        <f t="shared" si="40"/>
        <v>G01NHY01KF001-QA12</v>
      </c>
      <c r="C564" s="33" t="s">
        <v>3686</v>
      </c>
      <c r="D564" s="34" t="str">
        <f t="shared" si="41"/>
        <v>ELY1 ARY CTRL U1 SW 400VAC2 CB ON/OPN</v>
      </c>
      <c r="E564" s="31">
        <f t="shared" si="42"/>
        <v>37</v>
      </c>
      <c r="F564" s="32" t="str">
        <f t="shared" si="43"/>
        <v>ELECTROLYSIS SYSTEM ELECTROLYSIS ARRAY 1 ARRAY CONTROL SYSTEM ARRAY CONTROL SYSTEM CONTROL UNITS ARRAY CONTROL UNIT 400VAC DISTRIBUTION CHECK BACK ON/OPEN</v>
      </c>
      <c r="G564" s="29" t="s">
        <v>1614</v>
      </c>
      <c r="H564" s="29" t="s">
        <v>1615</v>
      </c>
      <c r="I564" s="29" t="str">
        <f t="shared" si="44"/>
        <v>01</v>
      </c>
      <c r="J564" s="29" t="s">
        <v>1616</v>
      </c>
      <c r="K564" s="29" t="s">
        <v>3610</v>
      </c>
      <c r="L564" s="29" t="s">
        <v>3611</v>
      </c>
      <c r="M564" s="29" t="s">
        <v>1619</v>
      </c>
      <c r="N564" s="29" t="s">
        <v>3611</v>
      </c>
      <c r="O564" s="29" t="s">
        <v>1771</v>
      </c>
      <c r="P564" s="29" t="s">
        <v>2055</v>
      </c>
      <c r="Q564" s="29" t="s">
        <v>1623</v>
      </c>
      <c r="R564" s="29" t="s">
        <v>3612</v>
      </c>
      <c r="S564" s="29" t="s">
        <v>2834</v>
      </c>
      <c r="T564" s="29" t="s">
        <v>2829</v>
      </c>
      <c r="U564" s="29" t="s">
        <v>790</v>
      </c>
      <c r="V564" s="29" t="s">
        <v>2639</v>
      </c>
      <c r="W564" s="35" t="s">
        <v>1628</v>
      </c>
      <c r="X564" s="35" t="s">
        <v>3613</v>
      </c>
      <c r="Y564" s="35" t="s">
        <v>1775</v>
      </c>
      <c r="Z564" s="35" t="s">
        <v>2835</v>
      </c>
      <c r="AA564" s="35" t="s">
        <v>2641</v>
      </c>
      <c r="AB564" s="29" t="s">
        <v>2831</v>
      </c>
      <c r="AC564" s="35" t="s">
        <v>1633</v>
      </c>
      <c r="AD564" s="35" t="s">
        <v>1634</v>
      </c>
      <c r="AE564" s="35" t="s">
        <v>1634</v>
      </c>
      <c r="AF564" s="35" t="s">
        <v>1635</v>
      </c>
      <c r="AG564" s="35" t="s">
        <v>2634</v>
      </c>
      <c r="AI564" s="35"/>
      <c r="AJ564" s="35" t="s">
        <v>1637</v>
      </c>
      <c r="AK564" s="35" t="s">
        <v>1672</v>
      </c>
      <c r="AL564" s="29" t="s">
        <v>2715</v>
      </c>
      <c r="AM564" s="35"/>
      <c r="AN564" s="35"/>
      <c r="AO564" s="35"/>
      <c r="AP564" s="35"/>
      <c r="AQ564" s="35"/>
      <c r="AS564" s="35"/>
      <c r="AU564" s="35"/>
      <c r="AW564" s="35"/>
      <c r="AY564" s="35"/>
      <c r="AZ564" s="35"/>
      <c r="BA564" s="35"/>
      <c r="BB564" s="29" t="s">
        <v>2420</v>
      </c>
      <c r="BC564" s="29" t="s">
        <v>2347</v>
      </c>
      <c r="BD564" s="29" t="s">
        <v>2739</v>
      </c>
      <c r="BE564" s="29" t="s">
        <v>1805</v>
      </c>
      <c r="BF564" s="29" t="s">
        <v>1973</v>
      </c>
      <c r="BG564" s="29" t="s">
        <v>3687</v>
      </c>
      <c r="BI564" s="35"/>
      <c r="BJ564" s="35"/>
      <c r="BK564" s="29" t="str" cm="1">
        <f t="array" ref="BK564">_xlfn.UNIQUE(MID(BB564,16,14))</f>
        <v>U012UNA01UH100</v>
      </c>
    </row>
    <row r="565" spans="1:63" x14ac:dyDescent="0.3">
      <c r="A565" s="29" t="s">
        <v>3608</v>
      </c>
      <c r="B565" s="36" t="str">
        <f t="shared" si="40"/>
        <v>G01NHY01KF001-QA13</v>
      </c>
      <c r="C565" s="33" t="s">
        <v>3688</v>
      </c>
      <c r="D565" s="34" t="str">
        <f t="shared" si="41"/>
        <v>ELY1 ARY CTRL U1 SW 400VAC3 CB ON/OPN</v>
      </c>
      <c r="E565" s="31">
        <f t="shared" si="42"/>
        <v>37</v>
      </c>
      <c r="F565" s="32" t="str">
        <f t="shared" si="43"/>
        <v>ELECTROLYSIS SYSTEM ELECTROLYSIS ARRAY 1 ARRAY CONTROL SYSTEM ARRAY CONTROL SYSTEM CONTROL UNITS ARRAY CONTROL UNIT 400VAC DISTRIBUTION CHECK BACK ON/OPEN</v>
      </c>
      <c r="G565" s="29" t="s">
        <v>1614</v>
      </c>
      <c r="H565" s="29" t="s">
        <v>1615</v>
      </c>
      <c r="I565" s="29" t="str">
        <f t="shared" si="44"/>
        <v>01</v>
      </c>
      <c r="J565" s="29" t="s">
        <v>1616</v>
      </c>
      <c r="K565" s="29" t="s">
        <v>3610</v>
      </c>
      <c r="L565" s="29" t="s">
        <v>3611</v>
      </c>
      <c r="M565" s="29" t="s">
        <v>1619</v>
      </c>
      <c r="N565" s="29" t="s">
        <v>3611</v>
      </c>
      <c r="O565" s="29" t="s">
        <v>1771</v>
      </c>
      <c r="P565" s="29" t="s">
        <v>2055</v>
      </c>
      <c r="Q565" s="29" t="s">
        <v>1623</v>
      </c>
      <c r="R565" s="29" t="s">
        <v>3612</v>
      </c>
      <c r="S565" s="29" t="s">
        <v>2838</v>
      </c>
      <c r="T565" s="29" t="s">
        <v>2829</v>
      </c>
      <c r="U565" s="29" t="s">
        <v>790</v>
      </c>
      <c r="V565" s="29" t="s">
        <v>2639</v>
      </c>
      <c r="W565" s="35" t="s">
        <v>1628</v>
      </c>
      <c r="X565" s="35" t="s">
        <v>3613</v>
      </c>
      <c r="Y565" s="35" t="s">
        <v>1775</v>
      </c>
      <c r="Z565" s="35" t="s">
        <v>2839</v>
      </c>
      <c r="AA565" s="35" t="s">
        <v>2641</v>
      </c>
      <c r="AB565" s="29" t="s">
        <v>2831</v>
      </c>
      <c r="AC565" s="35" t="s">
        <v>1633</v>
      </c>
      <c r="AD565" s="35" t="s">
        <v>1634</v>
      </c>
      <c r="AE565" s="35" t="s">
        <v>1634</v>
      </c>
      <c r="AF565" s="35" t="s">
        <v>1635</v>
      </c>
      <c r="AG565" s="35" t="s">
        <v>2634</v>
      </c>
      <c r="AI565" s="35"/>
      <c r="AJ565" s="35" t="s">
        <v>1637</v>
      </c>
      <c r="AK565" s="35" t="s">
        <v>1672</v>
      </c>
      <c r="AL565" s="29" t="s">
        <v>2715</v>
      </c>
      <c r="AM565" s="35"/>
      <c r="AN565" s="35"/>
      <c r="AO565" s="35"/>
      <c r="AP565" s="35"/>
      <c r="AQ565" s="35"/>
      <c r="AS565" s="35"/>
      <c r="AU565" s="35"/>
      <c r="AW565" s="35"/>
      <c r="AY565" s="35"/>
      <c r="AZ565" s="35"/>
      <c r="BA565" s="35"/>
      <c r="BB565" s="29" t="s">
        <v>2420</v>
      </c>
      <c r="BC565" s="29" t="s">
        <v>2347</v>
      </c>
      <c r="BD565" s="29" t="s">
        <v>2739</v>
      </c>
      <c r="BE565" s="29" t="s">
        <v>1805</v>
      </c>
      <c r="BF565" s="29" t="s">
        <v>2048</v>
      </c>
      <c r="BG565" s="29" t="s">
        <v>3689</v>
      </c>
      <c r="BI565" s="35"/>
      <c r="BJ565" s="35"/>
      <c r="BK565" s="29" t="str" cm="1">
        <f t="array" ref="BK565">_xlfn.UNIQUE(MID(BB565,16,14))</f>
        <v>U012UNA01UH100</v>
      </c>
    </row>
    <row r="566" spans="1:63" x14ac:dyDescent="0.3">
      <c r="A566" s="29" t="s">
        <v>3608</v>
      </c>
      <c r="B566" s="36" t="str">
        <f t="shared" si="40"/>
        <v>G01NHY01KF001-QA14</v>
      </c>
      <c r="C566" s="33" t="s">
        <v>3690</v>
      </c>
      <c r="D566" s="34" t="str">
        <f t="shared" si="41"/>
        <v>ELY1 ARY CTRL U1 SW 400VAC4 CB ON/OPN</v>
      </c>
      <c r="E566" s="31">
        <f t="shared" si="42"/>
        <v>37</v>
      </c>
      <c r="F566" s="32" t="str">
        <f t="shared" si="43"/>
        <v>ELECTROLYSIS SYSTEM ELECTROLYSIS ARRAY 1 ARRAY CONTROL SYSTEM ARRAY CONTROL SYSTEM CONTROL UNITS ARRAY CONTROL UNIT 400VAC DISTRIBUTION CHECK BACK ON/OPEN</v>
      </c>
      <c r="G566" s="29" t="s">
        <v>1614</v>
      </c>
      <c r="H566" s="29" t="s">
        <v>1615</v>
      </c>
      <c r="I566" s="29" t="str">
        <f t="shared" si="44"/>
        <v>01</v>
      </c>
      <c r="J566" s="29" t="s">
        <v>1616</v>
      </c>
      <c r="K566" s="29" t="s">
        <v>3610</v>
      </c>
      <c r="L566" s="29" t="s">
        <v>3611</v>
      </c>
      <c r="M566" s="29" t="s">
        <v>1619</v>
      </c>
      <c r="N566" s="29" t="s">
        <v>3611</v>
      </c>
      <c r="O566" s="29" t="s">
        <v>1771</v>
      </c>
      <c r="P566" s="29" t="s">
        <v>2055</v>
      </c>
      <c r="Q566" s="29" t="s">
        <v>1623</v>
      </c>
      <c r="R566" s="29" t="s">
        <v>3612</v>
      </c>
      <c r="S566" s="29" t="s">
        <v>2842</v>
      </c>
      <c r="T566" s="29" t="s">
        <v>2829</v>
      </c>
      <c r="U566" s="29" t="s">
        <v>790</v>
      </c>
      <c r="V566" s="29" t="s">
        <v>2639</v>
      </c>
      <c r="W566" s="35" t="s">
        <v>1628</v>
      </c>
      <c r="X566" s="35" t="s">
        <v>3613</v>
      </c>
      <c r="Y566" s="35" t="s">
        <v>1775</v>
      </c>
      <c r="Z566" s="35" t="s">
        <v>2843</v>
      </c>
      <c r="AA566" s="35" t="s">
        <v>2641</v>
      </c>
      <c r="AB566" s="29" t="s">
        <v>2831</v>
      </c>
      <c r="AC566" s="35" t="s">
        <v>1633</v>
      </c>
      <c r="AD566" s="35" t="s">
        <v>1634</v>
      </c>
      <c r="AE566" s="35" t="s">
        <v>1634</v>
      </c>
      <c r="AF566" s="35" t="s">
        <v>1635</v>
      </c>
      <c r="AG566" s="35" t="s">
        <v>2634</v>
      </c>
      <c r="AI566" s="35"/>
      <c r="AJ566" s="35" t="s">
        <v>1637</v>
      </c>
      <c r="AK566" s="35" t="s">
        <v>1672</v>
      </c>
      <c r="AL566" s="29" t="s">
        <v>2715</v>
      </c>
      <c r="AM566" s="35"/>
      <c r="AN566" s="35"/>
      <c r="AO566" s="35"/>
      <c r="AP566" s="35"/>
      <c r="AQ566" s="35"/>
      <c r="AS566" s="35"/>
      <c r="AU566" s="35"/>
      <c r="AW566" s="35"/>
      <c r="AY566" s="35"/>
      <c r="AZ566" s="35"/>
      <c r="BA566" s="35"/>
      <c r="BB566" s="29" t="s">
        <v>2420</v>
      </c>
      <c r="BC566" s="29" t="s">
        <v>2347</v>
      </c>
      <c r="BD566" s="29" t="s">
        <v>2739</v>
      </c>
      <c r="BE566" s="29" t="s">
        <v>1805</v>
      </c>
      <c r="BF566" s="29" t="s">
        <v>2051</v>
      </c>
      <c r="BG566" s="29" t="s">
        <v>3691</v>
      </c>
      <c r="BI566" s="35"/>
      <c r="BJ566" s="35"/>
      <c r="BK566" s="29" t="str" cm="1">
        <f t="array" ref="BK566">_xlfn.UNIQUE(MID(BB566,16,14))</f>
        <v>U012UNA01UH100</v>
      </c>
    </row>
    <row r="567" spans="1:63" x14ac:dyDescent="0.3">
      <c r="A567" s="29" t="s">
        <v>3608</v>
      </c>
      <c r="B567" s="36" t="str">
        <f t="shared" si="40"/>
        <v>G01NHY01KF001-SF01</v>
      </c>
      <c r="C567" s="33" t="s">
        <v>3692</v>
      </c>
      <c r="D567" s="34" t="str">
        <f t="shared" si="41"/>
        <v>ELY1 ARY CTRL U1 SW OFF WARN CODE</v>
      </c>
      <c r="E567" s="31">
        <f t="shared" si="42"/>
        <v>33</v>
      </c>
      <c r="F567" s="32" t="str">
        <f t="shared" si="43"/>
        <v>ELECTROLYSIS SYSTEM ELECTROLYSIS ARRAY 1 ARRAY CONTROL SYSTEM ARRAY CONTROL SYSTEM CONTROL UNITS ARRAY CONTROL UNIT EMERGENCY STOP - PUSHBUTTON - CABINET I&amp;C ELECTROLYSIS ARRAY COMPONENT PROTECTION</v>
      </c>
      <c r="G567" s="29" t="s">
        <v>1614</v>
      </c>
      <c r="H567" s="29" t="s">
        <v>1615</v>
      </c>
      <c r="I567" s="29" t="str">
        <f t="shared" si="44"/>
        <v>01</v>
      </c>
      <c r="J567" s="29" t="s">
        <v>1616</v>
      </c>
      <c r="K567" s="29" t="s">
        <v>3610</v>
      </c>
      <c r="L567" s="29" t="s">
        <v>3611</v>
      </c>
      <c r="M567" s="29" t="s">
        <v>1619</v>
      </c>
      <c r="N567" s="29" t="s">
        <v>3611</v>
      </c>
      <c r="O567" s="29" t="s">
        <v>1771</v>
      </c>
      <c r="P567" s="29" t="s">
        <v>2055</v>
      </c>
      <c r="Q567" s="29" t="s">
        <v>1623</v>
      </c>
      <c r="R567" s="29" t="s">
        <v>3612</v>
      </c>
      <c r="S567" s="29" t="s">
        <v>2862</v>
      </c>
      <c r="T567" s="29" t="s">
        <v>3693</v>
      </c>
      <c r="U567" s="29" t="s">
        <v>1074</v>
      </c>
      <c r="V567" s="29" t="s">
        <v>2864</v>
      </c>
      <c r="W567" s="35" t="s">
        <v>1628</v>
      </c>
      <c r="X567" s="35" t="s">
        <v>3613</v>
      </c>
      <c r="Y567" s="35" t="s">
        <v>1775</v>
      </c>
      <c r="Z567" s="35" t="s">
        <v>2865</v>
      </c>
      <c r="AA567" s="35" t="s">
        <v>2665</v>
      </c>
      <c r="AB567" s="29" t="s">
        <v>1865</v>
      </c>
      <c r="AC567" s="35" t="s">
        <v>1633</v>
      </c>
      <c r="AD567" s="35" t="s">
        <v>1634</v>
      </c>
      <c r="AE567" s="35" t="s">
        <v>1634</v>
      </c>
      <c r="AF567" s="35" t="s">
        <v>1635</v>
      </c>
      <c r="AG567" s="35" t="s">
        <v>2634</v>
      </c>
      <c r="AI567" s="35"/>
      <c r="AJ567" s="35" t="s">
        <v>1637</v>
      </c>
      <c r="AK567" s="35" t="s">
        <v>1638</v>
      </c>
      <c r="AL567" s="29" t="s">
        <v>2866</v>
      </c>
      <c r="AM567" s="35"/>
      <c r="AN567" s="35"/>
      <c r="AO567" s="35"/>
      <c r="AP567" s="35"/>
      <c r="AQ567" s="35"/>
      <c r="AS567" s="35"/>
      <c r="AU567" s="35"/>
      <c r="AW567" s="35"/>
      <c r="AY567" s="35"/>
      <c r="AZ567" s="35" t="s">
        <v>1642</v>
      </c>
      <c r="BA567" s="35" t="s">
        <v>2002</v>
      </c>
      <c r="BB567" s="29" t="s">
        <v>2346</v>
      </c>
      <c r="BC567" s="29" t="s">
        <v>1644</v>
      </c>
      <c r="BD567" s="29" t="s">
        <v>2666</v>
      </c>
      <c r="BE567" s="29" t="s">
        <v>1074</v>
      </c>
      <c r="BF567" s="29" t="s">
        <v>3414</v>
      </c>
      <c r="BG567" s="29" t="s">
        <v>3694</v>
      </c>
      <c r="BI567" s="35"/>
      <c r="BJ567" s="35"/>
      <c r="BK567" s="29" t="str" cm="1">
        <f t="array" ref="BK567">_xlfn.UNIQUE(MID(BB567,16,14))</f>
        <v>U012UNA01UH100</v>
      </c>
    </row>
    <row r="568" spans="1:63" x14ac:dyDescent="0.3">
      <c r="A568" s="29" t="s">
        <v>3608</v>
      </c>
      <c r="B568" s="36" t="str">
        <f t="shared" si="40"/>
        <v>G01NHY01KF001-SF01</v>
      </c>
      <c r="C568" s="33" t="s">
        <v>3695</v>
      </c>
      <c r="D568" s="34" t="str">
        <f t="shared" si="41"/>
        <v>ELY1 ARY CTRL U1 SW OFF AL/FLT CODE</v>
      </c>
      <c r="E568" s="31">
        <f t="shared" si="42"/>
        <v>35</v>
      </c>
      <c r="F568" s="32" t="str">
        <f t="shared" si="43"/>
        <v>ELECTROLYSIS SYSTEM ELECTROLYSIS ARRAY 1 ARRAY CONTROL SYSTEM ARRAY CONTROL SYSTEM CONTROL UNITS ARRAY CONTROL UNIT EMERGENCY STOP - PUSHBUTTON - CABINET I&amp;C ELECTROLYSIS ARRAY COMPONENT PROTECTION</v>
      </c>
      <c r="G568" s="29" t="s">
        <v>1614</v>
      </c>
      <c r="H568" s="29" t="s">
        <v>1615</v>
      </c>
      <c r="I568" s="29" t="str">
        <f t="shared" si="44"/>
        <v>01</v>
      </c>
      <c r="J568" s="29" t="s">
        <v>1616</v>
      </c>
      <c r="K568" s="29" t="s">
        <v>3610</v>
      </c>
      <c r="L568" s="29" t="s">
        <v>3611</v>
      </c>
      <c r="M568" s="29" t="s">
        <v>1619</v>
      </c>
      <c r="N568" s="29" t="s">
        <v>3611</v>
      </c>
      <c r="O568" s="29" t="s">
        <v>1771</v>
      </c>
      <c r="P568" s="29" t="s">
        <v>2055</v>
      </c>
      <c r="Q568" s="29" t="s">
        <v>1623</v>
      </c>
      <c r="R568" s="29" t="s">
        <v>3612</v>
      </c>
      <c r="S568" s="29" t="s">
        <v>2862</v>
      </c>
      <c r="T568" s="29" t="s">
        <v>3693</v>
      </c>
      <c r="U568" s="29" t="s">
        <v>1360</v>
      </c>
      <c r="V568" s="29" t="s">
        <v>2864</v>
      </c>
      <c r="W568" s="35" t="s">
        <v>1628</v>
      </c>
      <c r="X568" s="35" t="s">
        <v>3613</v>
      </c>
      <c r="Y568" s="35" t="s">
        <v>1775</v>
      </c>
      <c r="Z568" s="35" t="s">
        <v>2865</v>
      </c>
      <c r="AA568" s="35" t="s">
        <v>2670</v>
      </c>
      <c r="AB568" s="29" t="s">
        <v>1865</v>
      </c>
      <c r="AC568" s="35" t="s">
        <v>1633</v>
      </c>
      <c r="AD568" s="35" t="s">
        <v>1634</v>
      </c>
      <c r="AE568" s="35" t="s">
        <v>1634</v>
      </c>
      <c r="AF568" s="35" t="s">
        <v>1635</v>
      </c>
      <c r="AG568" s="35" t="s">
        <v>2634</v>
      </c>
      <c r="AI568" s="35"/>
      <c r="AJ568" s="35" t="s">
        <v>1637</v>
      </c>
      <c r="AK568" s="35" t="s">
        <v>1638</v>
      </c>
      <c r="AL568" s="29" t="s">
        <v>2866</v>
      </c>
      <c r="AM568" s="35"/>
      <c r="AN568" s="35"/>
      <c r="AO568" s="35"/>
      <c r="AP568" s="35"/>
      <c r="AQ568" s="35"/>
      <c r="AS568" s="35"/>
      <c r="AU568" s="35"/>
      <c r="AW568" s="35"/>
      <c r="AY568" s="35"/>
      <c r="AZ568" s="35" t="s">
        <v>1642</v>
      </c>
      <c r="BA568" s="35" t="s">
        <v>2002</v>
      </c>
      <c r="BB568" s="29" t="s">
        <v>2346</v>
      </c>
      <c r="BC568" s="29" t="s">
        <v>1644</v>
      </c>
      <c r="BD568" s="29" t="s">
        <v>2671</v>
      </c>
      <c r="BE568" s="29" t="s">
        <v>1360</v>
      </c>
      <c r="BF568" s="29" t="s">
        <v>1922</v>
      </c>
      <c r="BG568" s="29" t="s">
        <v>3694</v>
      </c>
      <c r="BI568" s="35"/>
      <c r="BJ568" s="35"/>
      <c r="BK568" s="29" t="str" cm="1">
        <f t="array" ref="BK568">_xlfn.UNIQUE(MID(BB568,16,14))</f>
        <v>U012UNA01UH100</v>
      </c>
    </row>
    <row r="569" spans="1:63" x14ac:dyDescent="0.3">
      <c r="A569" s="29" t="s">
        <v>3608</v>
      </c>
      <c r="B569" s="36" t="str">
        <f t="shared" si="40"/>
        <v>G01NHY01KF001-TB01</v>
      </c>
      <c r="C569" s="33" t="s">
        <v>3696</v>
      </c>
      <c r="D569" s="34" t="str">
        <f t="shared" si="41"/>
        <v>ELY1 ARY CTRL U1 24VDC MON1 CB ON/OPN</v>
      </c>
      <c r="E569" s="31">
        <f t="shared" si="42"/>
        <v>37</v>
      </c>
      <c r="F569" s="32" t="str">
        <f t="shared" si="43"/>
        <v>ELECTROLYSIS SYSTEM ELECTROLYSIS ARRAY 1 ARRAY CONTROL SYSTEM ARRAY CONTROL SYSTEM CONTROL UNITS ARRAY CONTROL UNIT SITOP PSU6200 24 V/20 A CHECK BACK ON/OPEN</v>
      </c>
      <c r="G569" s="29" t="s">
        <v>1614</v>
      </c>
      <c r="H569" s="29" t="s">
        <v>1615</v>
      </c>
      <c r="I569" s="29" t="str">
        <f t="shared" si="44"/>
        <v>01</v>
      </c>
      <c r="J569" s="29" t="s">
        <v>1616</v>
      </c>
      <c r="K569" s="29" t="s">
        <v>3610</v>
      </c>
      <c r="L569" s="29" t="s">
        <v>3611</v>
      </c>
      <c r="M569" s="29" t="s">
        <v>1619</v>
      </c>
      <c r="N569" s="29" t="s">
        <v>3611</v>
      </c>
      <c r="O569" s="29" t="s">
        <v>1771</v>
      </c>
      <c r="P569" s="29" t="s">
        <v>2055</v>
      </c>
      <c r="Q569" s="29" t="s">
        <v>1623</v>
      </c>
      <c r="R569" s="29" t="s">
        <v>3612</v>
      </c>
      <c r="S569" s="29" t="s">
        <v>2870</v>
      </c>
      <c r="T569" s="29" t="s">
        <v>2871</v>
      </c>
      <c r="U569" s="29" t="s">
        <v>790</v>
      </c>
      <c r="V569" s="29" t="s">
        <v>2639</v>
      </c>
      <c r="W569" s="35" t="s">
        <v>1628</v>
      </c>
      <c r="X569" s="35" t="s">
        <v>3613</v>
      </c>
      <c r="Y569" s="35" t="s">
        <v>1775</v>
      </c>
      <c r="Z569" s="35" t="s">
        <v>2872</v>
      </c>
      <c r="AA569" s="35" t="s">
        <v>2641</v>
      </c>
      <c r="AB569" s="29" t="s">
        <v>1638</v>
      </c>
      <c r="AC569" s="35" t="s">
        <v>1633</v>
      </c>
      <c r="AD569" s="35" t="s">
        <v>1634</v>
      </c>
      <c r="AE569" s="35" t="s">
        <v>1634</v>
      </c>
      <c r="AF569" s="35" t="s">
        <v>1635</v>
      </c>
      <c r="AG569" s="35" t="s">
        <v>1670</v>
      </c>
      <c r="AI569" s="35"/>
      <c r="AJ569" s="35" t="s">
        <v>1637</v>
      </c>
      <c r="AK569" s="35" t="s">
        <v>1672</v>
      </c>
      <c r="AL569" s="29" t="s">
        <v>2715</v>
      </c>
      <c r="AM569" s="35"/>
      <c r="AN569" s="35"/>
      <c r="AO569" s="35"/>
      <c r="AP569" s="35"/>
      <c r="AQ569" s="35"/>
      <c r="AS569" s="35"/>
      <c r="AU569" s="35"/>
      <c r="AW569" s="35"/>
      <c r="AY569" s="35"/>
      <c r="AZ569" s="35"/>
      <c r="BA569" s="35"/>
      <c r="BB569" s="29" t="s">
        <v>2420</v>
      </c>
      <c r="BC569" s="29" t="s">
        <v>2347</v>
      </c>
      <c r="BD569" s="29" t="s">
        <v>2739</v>
      </c>
      <c r="BE569" s="29" t="s">
        <v>1805</v>
      </c>
      <c r="BF569" s="29" t="s">
        <v>2016</v>
      </c>
      <c r="BG569" s="29" t="s">
        <v>3697</v>
      </c>
      <c r="BI569" s="35"/>
      <c r="BJ569" s="35"/>
      <c r="BK569" s="29" t="str" cm="1">
        <f t="array" ref="BK569">_xlfn.UNIQUE(MID(BB569,16,14))</f>
        <v>U012UNA01UH100</v>
      </c>
    </row>
    <row r="570" spans="1:63" x14ac:dyDescent="0.3">
      <c r="A570" s="29" t="s">
        <v>3608</v>
      </c>
      <c r="B570" s="36" t="str">
        <f t="shared" si="40"/>
        <v>G01NHY01KF001-TB02</v>
      </c>
      <c r="C570" s="33" t="s">
        <v>3698</v>
      </c>
      <c r="D570" s="34" t="str">
        <f t="shared" si="41"/>
        <v>ELY1 ARY CTRL U1 24VDC MON2 CB ON/OPN</v>
      </c>
      <c r="E570" s="31">
        <f t="shared" si="42"/>
        <v>37</v>
      </c>
      <c r="F570" s="32" t="str">
        <f t="shared" si="43"/>
        <v>ELECTROLYSIS SYSTEM ELECTROLYSIS ARRAY 1 ARRAY CONTROL SYSTEM ARRAY CONTROL SYSTEM CONTROL UNITS ARRAY CONTROL UNIT SITOP PSU6200 24 V/20 A CHECK BACK ON/OPEN</v>
      </c>
      <c r="G570" s="29" t="s">
        <v>1614</v>
      </c>
      <c r="H570" s="29" t="s">
        <v>1615</v>
      </c>
      <c r="I570" s="29" t="str">
        <f t="shared" si="44"/>
        <v>01</v>
      </c>
      <c r="J570" s="29" t="s">
        <v>1616</v>
      </c>
      <c r="K570" s="29" t="s">
        <v>3610</v>
      </c>
      <c r="L570" s="29" t="s">
        <v>3611</v>
      </c>
      <c r="M570" s="29" t="s">
        <v>1619</v>
      </c>
      <c r="N570" s="29" t="s">
        <v>3611</v>
      </c>
      <c r="O570" s="29" t="s">
        <v>1771</v>
      </c>
      <c r="P570" s="29" t="s">
        <v>2055</v>
      </c>
      <c r="Q570" s="29" t="s">
        <v>1623</v>
      </c>
      <c r="R570" s="29" t="s">
        <v>3612</v>
      </c>
      <c r="S570" s="29" t="s">
        <v>2875</v>
      </c>
      <c r="T570" s="29" t="s">
        <v>2871</v>
      </c>
      <c r="U570" s="29" t="s">
        <v>790</v>
      </c>
      <c r="V570" s="29" t="s">
        <v>2639</v>
      </c>
      <c r="W570" s="35" t="s">
        <v>1628</v>
      </c>
      <c r="X570" s="35" t="s">
        <v>3613</v>
      </c>
      <c r="Y570" s="35" t="s">
        <v>1775</v>
      </c>
      <c r="Z570" s="35" t="s">
        <v>2876</v>
      </c>
      <c r="AA570" s="35" t="s">
        <v>2641</v>
      </c>
      <c r="AB570" s="29" t="s">
        <v>2875</v>
      </c>
      <c r="AC570" s="35" t="s">
        <v>1633</v>
      </c>
      <c r="AD570" s="35" t="s">
        <v>1634</v>
      </c>
      <c r="AE570" s="35" t="s">
        <v>1634</v>
      </c>
      <c r="AF570" s="35" t="s">
        <v>1635</v>
      </c>
      <c r="AG570" s="35" t="s">
        <v>2660</v>
      </c>
      <c r="AI570" s="35"/>
      <c r="AJ570" s="35" t="s">
        <v>1637</v>
      </c>
      <c r="AK570" s="35" t="s">
        <v>1672</v>
      </c>
      <c r="AL570" s="29" t="s">
        <v>2715</v>
      </c>
      <c r="AM570" s="35"/>
      <c r="AN570" s="35"/>
      <c r="AO570" s="35"/>
      <c r="AP570" s="35"/>
      <c r="AQ570" s="35"/>
      <c r="AS570" s="35"/>
      <c r="AU570" s="35"/>
      <c r="AW570" s="35"/>
      <c r="AY570" s="35"/>
      <c r="AZ570" s="35"/>
      <c r="BA570" s="35"/>
      <c r="BB570" s="29" t="s">
        <v>2420</v>
      </c>
      <c r="BC570" s="29" t="s">
        <v>2347</v>
      </c>
      <c r="BD570" s="29" t="s">
        <v>2739</v>
      </c>
      <c r="BE570" s="29" t="s">
        <v>1805</v>
      </c>
      <c r="BF570" s="29" t="s">
        <v>2341</v>
      </c>
      <c r="BG570" s="29" t="s">
        <v>3699</v>
      </c>
      <c r="BI570" s="35"/>
      <c r="BJ570" s="35"/>
      <c r="BK570" s="29" t="str" cm="1">
        <f t="array" ref="BK570">_xlfn.UNIQUE(MID(BB570,16,14))</f>
        <v>U012UNA01UH100</v>
      </c>
    </row>
    <row r="571" spans="1:63" x14ac:dyDescent="0.3">
      <c r="A571" s="29" t="s">
        <v>3700</v>
      </c>
      <c r="B571" s="36" t="str">
        <f t="shared" si="40"/>
        <v>K01CCA01UH001-BA22</v>
      </c>
      <c r="C571" s="33" t="s">
        <v>3701</v>
      </c>
      <c r="D571" s="34" t="str">
        <f t="shared" si="41"/>
        <v>CTRL AUTOM CAB1 230VAC GRP FLT GRP FLT</v>
      </c>
      <c r="E571" s="31">
        <f t="shared" si="42"/>
        <v>38</v>
      </c>
      <c r="F571" s="32" t="str">
        <f t="shared" si="43"/>
        <v>PLANT CONTROL SYSTEM PLANT CONTROL SYSTEM 1 AUTOMATION SYSTEM AUTOMATION SYSTEM AUTOMATION CABINET AUTOMATION CABINET GROUP FAULT ALARM 230V GROUP FAULT ALARM</v>
      </c>
      <c r="G571" s="29" t="s">
        <v>3702</v>
      </c>
      <c r="H571" s="29" t="s">
        <v>3703</v>
      </c>
      <c r="I571" s="29" t="str">
        <f t="shared" si="44"/>
        <v>01</v>
      </c>
      <c r="J571" s="29" t="s">
        <v>3704</v>
      </c>
      <c r="K571" s="29" t="s">
        <v>3705</v>
      </c>
      <c r="L571" s="29" t="s">
        <v>3706</v>
      </c>
      <c r="M571" s="29" t="s">
        <v>1619</v>
      </c>
      <c r="N571" s="29" t="s">
        <v>3706</v>
      </c>
      <c r="O571" s="29" t="s">
        <v>3707</v>
      </c>
      <c r="P571" s="29" t="s">
        <v>3708</v>
      </c>
      <c r="Q571" s="29" t="s">
        <v>1623</v>
      </c>
      <c r="R571" s="29" t="s">
        <v>3708</v>
      </c>
      <c r="S571" s="29" t="s">
        <v>3174</v>
      </c>
      <c r="T571" s="29" t="s">
        <v>3175</v>
      </c>
      <c r="U571" s="29" t="s">
        <v>1033</v>
      </c>
      <c r="V571" s="29" t="s">
        <v>1288</v>
      </c>
      <c r="W571" s="35" t="s">
        <v>3709</v>
      </c>
      <c r="X571" s="35" t="s">
        <v>3710</v>
      </c>
      <c r="Y571" s="35" t="s">
        <v>3711</v>
      </c>
      <c r="Z571" s="35" t="s">
        <v>3176</v>
      </c>
      <c r="AA571" s="35" t="s">
        <v>2633</v>
      </c>
      <c r="AB571" s="29" t="s">
        <v>2766</v>
      </c>
      <c r="AC571" s="35" t="s">
        <v>1633</v>
      </c>
      <c r="AD571" s="35" t="s">
        <v>1634</v>
      </c>
      <c r="AE571" s="35" t="s">
        <v>1634</v>
      </c>
      <c r="AF571" s="35" t="s">
        <v>1635</v>
      </c>
      <c r="AG571" s="35" t="s">
        <v>2634</v>
      </c>
      <c r="AI571" s="35"/>
      <c r="AJ571" s="35" t="s">
        <v>1637</v>
      </c>
      <c r="AK571" s="35" t="s">
        <v>1672</v>
      </c>
      <c r="AL571" s="29" t="s">
        <v>3712</v>
      </c>
      <c r="AM571" s="35"/>
      <c r="AN571" s="35"/>
      <c r="AO571" s="35"/>
      <c r="AP571" s="35"/>
      <c r="AQ571" s="35"/>
      <c r="AS571" s="35"/>
      <c r="AU571" s="35"/>
      <c r="AW571" s="35"/>
      <c r="AY571" s="35"/>
      <c r="AZ571" s="35"/>
      <c r="BA571" s="35"/>
      <c r="BB571" s="29" t="s">
        <v>3713</v>
      </c>
      <c r="BC571" s="29" t="s">
        <v>3714</v>
      </c>
      <c r="BD571" s="29" t="s">
        <v>2635</v>
      </c>
      <c r="BE571" s="29" t="s">
        <v>1805</v>
      </c>
      <c r="BF571" s="29" t="s">
        <v>1619</v>
      </c>
      <c r="BG571" s="29" t="s">
        <v>3715</v>
      </c>
      <c r="BI571" s="35"/>
      <c r="BJ571" s="35"/>
      <c r="BK571" s="29" t="str" cm="1">
        <f t="array" ref="BK571">_xlfn.UNIQUE(MID(BB571,16,14))</f>
        <v>U012UBB01UH001</v>
      </c>
    </row>
    <row r="572" spans="1:63" x14ac:dyDescent="0.3">
      <c r="A572" s="29" t="s">
        <v>3700</v>
      </c>
      <c r="B572" s="36" t="str">
        <f t="shared" si="40"/>
        <v>K01CCA01UH001-BA41</v>
      </c>
      <c r="C572" s="33" t="s">
        <v>3716</v>
      </c>
      <c r="D572" s="34" t="str">
        <f t="shared" si="41"/>
        <v>CTRL AUTOM CAB1 UPS MON GRP FLT</v>
      </c>
      <c r="E572" s="31">
        <f t="shared" si="42"/>
        <v>31</v>
      </c>
      <c r="F572" s="32" t="str">
        <f t="shared" si="43"/>
        <v>PLANT CONTROL SYSTEM PLANT CONTROL SYSTEM 1 AUTOMATION SYSTEM AUTOMATION SYSTEM AUTOMATION CABINET AUTOMATION CABINET GROUP FAULT ALARM 230V UPS GROUP FAULT ALARM</v>
      </c>
      <c r="G572" s="29" t="s">
        <v>3702</v>
      </c>
      <c r="H572" s="29" t="s">
        <v>3703</v>
      </c>
      <c r="I572" s="29" t="str">
        <f t="shared" si="44"/>
        <v>01</v>
      </c>
      <c r="J572" s="29" t="s">
        <v>3704</v>
      </c>
      <c r="K572" s="29" t="s">
        <v>3705</v>
      </c>
      <c r="L572" s="29" t="s">
        <v>3706</v>
      </c>
      <c r="M572" s="29" t="s">
        <v>1619</v>
      </c>
      <c r="N572" s="29" t="s">
        <v>3706</v>
      </c>
      <c r="O572" s="29" t="s">
        <v>3707</v>
      </c>
      <c r="P572" s="29" t="s">
        <v>3708</v>
      </c>
      <c r="Q572" s="29" t="s">
        <v>1623</v>
      </c>
      <c r="R572" s="29" t="s">
        <v>3708</v>
      </c>
      <c r="S572" s="29" t="s">
        <v>2747</v>
      </c>
      <c r="T572" s="29" t="s">
        <v>3179</v>
      </c>
      <c r="U572" s="29" t="s">
        <v>1033</v>
      </c>
      <c r="V572" s="29" t="s">
        <v>1288</v>
      </c>
      <c r="W572" s="35" t="s">
        <v>3709</v>
      </c>
      <c r="X572" s="35" t="s">
        <v>3710</v>
      </c>
      <c r="Y572" s="35" t="s">
        <v>3711</v>
      </c>
      <c r="Z572" s="35" t="s">
        <v>2749</v>
      </c>
      <c r="AA572" s="35" t="s">
        <v>2633</v>
      </c>
      <c r="AB572" s="29" t="s">
        <v>2766</v>
      </c>
      <c r="AC572" s="35" t="s">
        <v>1633</v>
      </c>
      <c r="AD572" s="35" t="s">
        <v>1634</v>
      </c>
      <c r="AE572" s="35" t="s">
        <v>1634</v>
      </c>
      <c r="AF572" s="35" t="s">
        <v>1635</v>
      </c>
      <c r="AG572" s="35" t="s">
        <v>2634</v>
      </c>
      <c r="AI572" s="35"/>
      <c r="AJ572" s="35" t="s">
        <v>1637</v>
      </c>
      <c r="AK572" s="35" t="s">
        <v>1672</v>
      </c>
      <c r="AL572" s="29" t="s">
        <v>3712</v>
      </c>
      <c r="AM572" s="35"/>
      <c r="AN572" s="35"/>
      <c r="AO572" s="35"/>
      <c r="AP572" s="35"/>
      <c r="AQ572" s="35"/>
      <c r="AS572" s="35"/>
      <c r="AU572" s="35"/>
      <c r="AW572" s="35"/>
      <c r="AY572" s="35"/>
      <c r="AZ572" s="35"/>
      <c r="BA572" s="35"/>
      <c r="BB572" s="29" t="s">
        <v>3713</v>
      </c>
      <c r="BC572" s="29" t="s">
        <v>3714</v>
      </c>
      <c r="BD572" s="29" t="s">
        <v>2635</v>
      </c>
      <c r="BE572" s="29" t="s">
        <v>1805</v>
      </c>
      <c r="BF572" s="29" t="s">
        <v>1905</v>
      </c>
      <c r="BG572" s="29" t="s">
        <v>3717</v>
      </c>
      <c r="BI572" s="35"/>
      <c r="BJ572" s="35"/>
      <c r="BK572" s="29" t="str" cm="1">
        <f t="array" ref="BK572">_xlfn.UNIQUE(MID(BB572,16,14))</f>
        <v>U012UBB01UH001</v>
      </c>
    </row>
    <row r="573" spans="1:63" x14ac:dyDescent="0.3">
      <c r="A573" s="29" t="s">
        <v>3700</v>
      </c>
      <c r="B573" s="36" t="str">
        <f t="shared" si="40"/>
        <v>K01CCA01UH001-FC01</v>
      </c>
      <c r="C573" s="33" t="s">
        <v>3718</v>
      </c>
      <c r="D573" s="34" t="str">
        <f t="shared" si="41"/>
        <v>CTRL AUTOM CAB1 24V MON1 GRP FLT</v>
      </c>
      <c r="E573" s="31">
        <f t="shared" si="42"/>
        <v>32</v>
      </c>
      <c r="F573" s="32" t="str">
        <f t="shared" si="43"/>
        <v>PLANT CONTROL SYSTEM PLANT CONTROL SYSTEM 1 AUTOMATION SYSTEM AUTOMATION SYSTEM AUTOMATION CABINET AUTOMATION CABINET GROUP FAULT ALARM 24VDC SELECTIVITY  MODULE GROUP FAULT ALARM</v>
      </c>
      <c r="G573" s="29" t="s">
        <v>3702</v>
      </c>
      <c r="H573" s="29" t="s">
        <v>3703</v>
      </c>
      <c r="I573" s="29" t="str">
        <f t="shared" si="44"/>
        <v>01</v>
      </c>
      <c r="J573" s="29" t="s">
        <v>3704</v>
      </c>
      <c r="K573" s="29" t="s">
        <v>3705</v>
      </c>
      <c r="L573" s="29" t="s">
        <v>3706</v>
      </c>
      <c r="M573" s="29" t="s">
        <v>1619</v>
      </c>
      <c r="N573" s="29" t="s">
        <v>3706</v>
      </c>
      <c r="O573" s="29" t="s">
        <v>3707</v>
      </c>
      <c r="P573" s="29" t="s">
        <v>3708</v>
      </c>
      <c r="Q573" s="29" t="s">
        <v>1623</v>
      </c>
      <c r="R573" s="29" t="s">
        <v>3708</v>
      </c>
      <c r="S573" s="29" t="s">
        <v>2657</v>
      </c>
      <c r="T573" s="29" t="s">
        <v>3719</v>
      </c>
      <c r="U573" s="29" t="s">
        <v>1033</v>
      </c>
      <c r="V573" s="29" t="s">
        <v>1288</v>
      </c>
      <c r="W573" s="35" t="s">
        <v>3709</v>
      </c>
      <c r="X573" s="35" t="s">
        <v>3710</v>
      </c>
      <c r="Y573" s="35" t="s">
        <v>3711</v>
      </c>
      <c r="Z573" s="35" t="s">
        <v>2659</v>
      </c>
      <c r="AA573" s="35" t="s">
        <v>2633</v>
      </c>
      <c r="AB573" s="29" t="s">
        <v>2759</v>
      </c>
      <c r="AC573" s="35" t="s">
        <v>1633</v>
      </c>
      <c r="AD573" s="35" t="s">
        <v>1634</v>
      </c>
      <c r="AE573" s="35" t="s">
        <v>1634</v>
      </c>
      <c r="AF573" s="35" t="s">
        <v>1635</v>
      </c>
      <c r="AG573" s="35" t="s">
        <v>2634</v>
      </c>
      <c r="AI573" s="35"/>
      <c r="AJ573" s="35" t="s">
        <v>1637</v>
      </c>
      <c r="AK573" s="35" t="s">
        <v>1672</v>
      </c>
      <c r="AL573" s="29" t="s">
        <v>3712</v>
      </c>
      <c r="AM573" s="35"/>
      <c r="AN573" s="35"/>
      <c r="AO573" s="35"/>
      <c r="AP573" s="35"/>
      <c r="AQ573" s="35"/>
      <c r="AS573" s="35"/>
      <c r="AU573" s="35"/>
      <c r="AW573" s="35"/>
      <c r="AY573" s="35"/>
      <c r="AZ573" s="35"/>
      <c r="BA573" s="35"/>
      <c r="BB573" s="29" t="s">
        <v>3713</v>
      </c>
      <c r="BC573" s="29" t="s">
        <v>3714</v>
      </c>
      <c r="BD573" s="29" t="s">
        <v>2635</v>
      </c>
      <c r="BE573" s="29" t="s">
        <v>1805</v>
      </c>
      <c r="BF573" s="29" t="s">
        <v>1909</v>
      </c>
      <c r="BG573" s="29" t="s">
        <v>3720</v>
      </c>
      <c r="BI573" s="35"/>
      <c r="BJ573" s="35"/>
      <c r="BK573" s="29" t="str" cm="1">
        <f t="array" ref="BK573">_xlfn.UNIQUE(MID(BB573,16,14))</f>
        <v>U012UBB01UH001</v>
      </c>
    </row>
    <row r="574" spans="1:63" x14ac:dyDescent="0.3">
      <c r="A574" s="29" t="s">
        <v>3700</v>
      </c>
      <c r="B574" s="36" t="str">
        <f t="shared" si="40"/>
        <v>K01CCA01UH001-TB01</v>
      </c>
      <c r="C574" s="33" t="s">
        <v>3721</v>
      </c>
      <c r="D574" s="34" t="str">
        <f t="shared" si="41"/>
        <v>CTRL AUTOM CAB1 24VDC MON1 GRP FLT</v>
      </c>
      <c r="E574" s="31">
        <f t="shared" si="42"/>
        <v>34</v>
      </c>
      <c r="F574" s="32" t="str">
        <f t="shared" si="43"/>
        <v>PLANT CONTROL SYSTEM PLANT CONTROL SYSTEM 1 AUTOMATION SYSTEM AUTOMATION SYSTEM AUTOMATION CABINET AUTOMATION CABINET GROUP FAULT ALARM 24VDC UPS GENERATION GROUP FAULT ALARM</v>
      </c>
      <c r="G574" s="29" t="s">
        <v>3702</v>
      </c>
      <c r="H574" s="29" t="s">
        <v>3703</v>
      </c>
      <c r="I574" s="29" t="str">
        <f t="shared" si="44"/>
        <v>01</v>
      </c>
      <c r="J574" s="29" t="s">
        <v>3704</v>
      </c>
      <c r="K574" s="29" t="s">
        <v>3705</v>
      </c>
      <c r="L574" s="29" t="s">
        <v>3706</v>
      </c>
      <c r="M574" s="29" t="s">
        <v>1619</v>
      </c>
      <c r="N574" s="29" t="s">
        <v>3706</v>
      </c>
      <c r="O574" s="29" t="s">
        <v>3707</v>
      </c>
      <c r="P574" s="29" t="s">
        <v>3708</v>
      </c>
      <c r="Q574" s="29" t="s">
        <v>1623</v>
      </c>
      <c r="R574" s="29" t="s">
        <v>3708</v>
      </c>
      <c r="S574" s="29" t="s">
        <v>2870</v>
      </c>
      <c r="T574" s="29" t="s">
        <v>3223</v>
      </c>
      <c r="U574" s="29" t="s">
        <v>1033</v>
      </c>
      <c r="V574" s="29" t="s">
        <v>1288</v>
      </c>
      <c r="W574" s="35" t="s">
        <v>3709</v>
      </c>
      <c r="X574" s="35" t="s">
        <v>3710</v>
      </c>
      <c r="Y574" s="35" t="s">
        <v>3711</v>
      </c>
      <c r="Z574" s="35" t="s">
        <v>2872</v>
      </c>
      <c r="AA574" s="35" t="s">
        <v>2633</v>
      </c>
      <c r="AB574" s="29" t="s">
        <v>2875</v>
      </c>
      <c r="AC574" s="35" t="s">
        <v>1633</v>
      </c>
      <c r="AD574" s="35" t="s">
        <v>1634</v>
      </c>
      <c r="AE574" s="35" t="s">
        <v>1634</v>
      </c>
      <c r="AF574" s="35" t="s">
        <v>1635</v>
      </c>
      <c r="AG574" s="35" t="s">
        <v>2634</v>
      </c>
      <c r="AI574" s="35"/>
      <c r="AJ574" s="35" t="s">
        <v>1637</v>
      </c>
      <c r="AK574" s="35" t="s">
        <v>1672</v>
      </c>
      <c r="AL574" s="29" t="s">
        <v>3712</v>
      </c>
      <c r="AM574" s="35"/>
      <c r="AN574" s="35"/>
      <c r="AO574" s="35"/>
      <c r="AP574" s="35"/>
      <c r="AQ574" s="35"/>
      <c r="AS574" s="35"/>
      <c r="AU574" s="35"/>
      <c r="AW574" s="35"/>
      <c r="AY574" s="35"/>
      <c r="AZ574" s="35"/>
      <c r="BA574" s="35"/>
      <c r="BB574" s="29" t="s">
        <v>3713</v>
      </c>
      <c r="BC574" s="29" t="s">
        <v>3714</v>
      </c>
      <c r="BD574" s="29" t="s">
        <v>2635</v>
      </c>
      <c r="BE574" s="29" t="s">
        <v>1805</v>
      </c>
      <c r="BF574" s="29" t="s">
        <v>1915</v>
      </c>
      <c r="BG574" s="29" t="s">
        <v>3722</v>
      </c>
      <c r="BI574" s="35"/>
      <c r="BJ574" s="35"/>
      <c r="BK574" s="29" t="str" cm="1">
        <f t="array" ref="BK574">_xlfn.UNIQUE(MID(BB574,16,14))</f>
        <v>U012UBB01UH001</v>
      </c>
    </row>
    <row r="575" spans="1:63" x14ac:dyDescent="0.3">
      <c r="A575" s="29" t="s">
        <v>3700</v>
      </c>
      <c r="B575" s="36" t="str">
        <f t="shared" si="40"/>
        <v>K01CCA01UH001-TF01</v>
      </c>
      <c r="C575" s="33" t="s">
        <v>3723</v>
      </c>
      <c r="D575" s="34" t="str">
        <f t="shared" si="41"/>
        <v>CTRL AUTOM CAB1 DC MON1 GRP FLT</v>
      </c>
      <c r="E575" s="31">
        <f t="shared" si="42"/>
        <v>31</v>
      </c>
      <c r="F575" s="32" t="str">
        <f t="shared" si="43"/>
        <v>PLANT CONTROL SYSTEM PLANT CONTROL SYSTEM 1 AUTOMATION SYSTEM AUTOMATION SYSTEM AUTOMATION CABINET AUTOMATION CABINET GROUP FAULT ALARM LAN GROUP FAULT ALARM</v>
      </c>
      <c r="G575" s="29" t="s">
        <v>3702</v>
      </c>
      <c r="H575" s="29" t="s">
        <v>3703</v>
      </c>
      <c r="I575" s="29" t="str">
        <f t="shared" si="44"/>
        <v>01</v>
      </c>
      <c r="J575" s="29" t="s">
        <v>3704</v>
      </c>
      <c r="K575" s="29" t="s">
        <v>3705</v>
      </c>
      <c r="L575" s="29" t="s">
        <v>3706</v>
      </c>
      <c r="M575" s="29" t="s">
        <v>1619</v>
      </c>
      <c r="N575" s="29" t="s">
        <v>3706</v>
      </c>
      <c r="O575" s="29" t="s">
        <v>3707</v>
      </c>
      <c r="P575" s="29" t="s">
        <v>3708</v>
      </c>
      <c r="Q575" s="29" t="s">
        <v>1623</v>
      </c>
      <c r="R575" s="29" t="s">
        <v>3708</v>
      </c>
      <c r="S575" s="29" t="s">
        <v>1857</v>
      </c>
      <c r="T575" s="29" t="s">
        <v>3724</v>
      </c>
      <c r="U575" s="29" t="s">
        <v>1033</v>
      </c>
      <c r="V575" s="29" t="s">
        <v>1288</v>
      </c>
      <c r="W575" s="35" t="s">
        <v>3709</v>
      </c>
      <c r="X575" s="35" t="s">
        <v>3710</v>
      </c>
      <c r="Y575" s="35" t="s">
        <v>3711</v>
      </c>
      <c r="Z575" s="35" t="s">
        <v>1859</v>
      </c>
      <c r="AA575" s="35" t="s">
        <v>2633</v>
      </c>
      <c r="AC575" s="35" t="s">
        <v>1633</v>
      </c>
      <c r="AD575" s="35" t="s">
        <v>1634</v>
      </c>
      <c r="AE575" s="35" t="s">
        <v>1634</v>
      </c>
      <c r="AF575" s="35" t="s">
        <v>1635</v>
      </c>
      <c r="AG575" s="35" t="s">
        <v>2634</v>
      </c>
      <c r="AI575" s="35"/>
      <c r="AJ575" s="35" t="s">
        <v>1637</v>
      </c>
      <c r="AK575" s="35" t="s">
        <v>1672</v>
      </c>
      <c r="AL575" s="29" t="s">
        <v>3712</v>
      </c>
      <c r="AM575" s="35"/>
      <c r="AN575" s="35"/>
      <c r="AO575" s="35"/>
      <c r="AP575" s="35"/>
      <c r="AQ575" s="35"/>
      <c r="AS575" s="35"/>
      <c r="AU575" s="35"/>
      <c r="AW575" s="35"/>
      <c r="AY575" s="35"/>
      <c r="AZ575" s="35"/>
      <c r="BA575" s="35"/>
      <c r="BB575" s="29" t="s">
        <v>3713</v>
      </c>
      <c r="BC575" s="29" t="s">
        <v>3714</v>
      </c>
      <c r="BD575" s="29" t="s">
        <v>2635</v>
      </c>
      <c r="BE575" s="29" t="s">
        <v>1805</v>
      </c>
      <c r="BF575" s="29" t="s">
        <v>1919</v>
      </c>
      <c r="BG575" s="29" t="s">
        <v>3725</v>
      </c>
      <c r="BI575" s="35"/>
      <c r="BJ575" s="35"/>
      <c r="BK575" s="29" t="str" cm="1">
        <f t="array" ref="BK575">_xlfn.UNIQUE(MID(BB575,16,14))</f>
        <v>U012UBB01UH001</v>
      </c>
    </row>
    <row r="576" spans="1:63" x14ac:dyDescent="0.3">
      <c r="A576" s="29" t="s">
        <v>3726</v>
      </c>
      <c r="B576" s="36" t="str">
        <f t="shared" si="40"/>
        <v>K01CSY01UH001-BA11</v>
      </c>
      <c r="C576" s="33" t="s">
        <v>3727</v>
      </c>
      <c r="D576" s="34" t="str">
        <f t="shared" si="41"/>
        <v>CTRL PLNT CAB1 400VAC MON CB ON/OPN</v>
      </c>
      <c r="E576" s="31">
        <f t="shared" si="42"/>
        <v>35</v>
      </c>
      <c r="F576" s="32" t="str">
        <f t="shared" si="43"/>
        <v>PLANT CONTROL SYSTEM PLANT CONTROL SYSTEM 1 PLANT CONTROL SYSTEM PLANT CONTROL SYSTEM AUTOMATION CABINET AUTOMATION CABINET 400VAC MONITORING CHECK BACK ON/OPEN</v>
      </c>
      <c r="G576" s="29" t="s">
        <v>3702</v>
      </c>
      <c r="H576" s="29" t="s">
        <v>3703</v>
      </c>
      <c r="I576" s="29" t="str">
        <f t="shared" si="44"/>
        <v>01</v>
      </c>
      <c r="J576" s="29" t="s">
        <v>3704</v>
      </c>
      <c r="K576" s="29" t="s">
        <v>3728</v>
      </c>
      <c r="L576" s="29" t="s">
        <v>3703</v>
      </c>
      <c r="M576" s="29" t="s">
        <v>1619</v>
      </c>
      <c r="N576" s="29" t="s">
        <v>3703</v>
      </c>
      <c r="O576" s="29" t="s">
        <v>3707</v>
      </c>
      <c r="P576" s="29" t="s">
        <v>3708</v>
      </c>
      <c r="Q576" s="29" t="s">
        <v>1623</v>
      </c>
      <c r="R576" s="29" t="s">
        <v>3708</v>
      </c>
      <c r="S576" s="29" t="s">
        <v>2736</v>
      </c>
      <c r="T576" s="29" t="s">
        <v>2737</v>
      </c>
      <c r="U576" s="29" t="s">
        <v>790</v>
      </c>
      <c r="V576" s="29" t="s">
        <v>2639</v>
      </c>
      <c r="W576" s="35" t="s">
        <v>3709</v>
      </c>
      <c r="X576" s="35" t="s">
        <v>3729</v>
      </c>
      <c r="Y576" s="35" t="s">
        <v>3711</v>
      </c>
      <c r="Z576" s="35" t="s">
        <v>2738</v>
      </c>
      <c r="AA576" s="35" t="s">
        <v>2641</v>
      </c>
      <c r="AB576" s="29" t="s">
        <v>1638</v>
      </c>
      <c r="AC576" s="35" t="s">
        <v>1633</v>
      </c>
      <c r="AD576" s="35" t="s">
        <v>1634</v>
      </c>
      <c r="AE576" s="35" t="s">
        <v>1634</v>
      </c>
      <c r="AF576" s="35" t="s">
        <v>1635</v>
      </c>
      <c r="AG576" s="35" t="s">
        <v>2634</v>
      </c>
      <c r="AI576" s="35"/>
      <c r="AJ576" s="35" t="s">
        <v>1637</v>
      </c>
      <c r="AK576" s="35" t="s">
        <v>1672</v>
      </c>
      <c r="AL576" s="29" t="s">
        <v>1803</v>
      </c>
      <c r="AM576" s="35"/>
      <c r="AN576" s="35"/>
      <c r="AO576" s="35"/>
      <c r="AP576" s="35"/>
      <c r="AQ576" s="35"/>
      <c r="AS576" s="35"/>
      <c r="AU576" s="35"/>
      <c r="AW576" s="35"/>
      <c r="AY576" s="35"/>
      <c r="AZ576" s="35"/>
      <c r="BA576" s="35"/>
      <c r="BB576" s="29" t="s">
        <v>3730</v>
      </c>
      <c r="BC576" s="29" t="s">
        <v>2347</v>
      </c>
      <c r="BD576" s="29" t="s">
        <v>2739</v>
      </c>
      <c r="BE576" s="29" t="s">
        <v>1805</v>
      </c>
      <c r="BF576" s="29" t="s">
        <v>1905</v>
      </c>
      <c r="BG576" s="29" t="s">
        <v>3731</v>
      </c>
      <c r="BI576" s="35"/>
      <c r="BJ576" s="35"/>
      <c r="BK576" s="29" t="str" cm="1">
        <f t="array" ref="BK576">_xlfn.UNIQUE(MID(BB576,16,14))</f>
        <v>U012UBB01UH002</v>
      </c>
    </row>
    <row r="577" spans="1:63" x14ac:dyDescent="0.3">
      <c r="A577" s="29" t="s">
        <v>3726</v>
      </c>
      <c r="B577" s="36" t="str">
        <f t="shared" si="40"/>
        <v>K01CSY01UH001-BA21</v>
      </c>
      <c r="C577" s="33" t="s">
        <v>3732</v>
      </c>
      <c r="D577" s="34" t="str">
        <f t="shared" si="41"/>
        <v>CTRL PLNT CAB1 230VAC MON CB ON/OPN</v>
      </c>
      <c r="E577" s="31">
        <f t="shared" si="42"/>
        <v>35</v>
      </c>
      <c r="F577" s="32" t="str">
        <f t="shared" si="43"/>
        <v>PLANT CONTROL SYSTEM PLANT CONTROL SYSTEM 1 PLANT CONTROL SYSTEM PLANT CONTROL SYSTEM AUTOMATION CABINET AUTOMATION CABINET 2300VAC MONITORING CHECK BACK ON/OPEN</v>
      </c>
      <c r="G577" s="29" t="s">
        <v>3702</v>
      </c>
      <c r="H577" s="29" t="s">
        <v>3703</v>
      </c>
      <c r="I577" s="29" t="str">
        <f t="shared" si="44"/>
        <v>01</v>
      </c>
      <c r="J577" s="29" t="s">
        <v>3704</v>
      </c>
      <c r="K577" s="29" t="s">
        <v>3728</v>
      </c>
      <c r="L577" s="29" t="s">
        <v>3703</v>
      </c>
      <c r="M577" s="29" t="s">
        <v>1619</v>
      </c>
      <c r="N577" s="29" t="s">
        <v>3703</v>
      </c>
      <c r="O577" s="29" t="s">
        <v>3707</v>
      </c>
      <c r="P577" s="29" t="s">
        <v>3708</v>
      </c>
      <c r="Q577" s="29" t="s">
        <v>1623</v>
      </c>
      <c r="R577" s="29" t="s">
        <v>3708</v>
      </c>
      <c r="S577" s="29" t="s">
        <v>2742</v>
      </c>
      <c r="T577" s="29" t="s">
        <v>3616</v>
      </c>
      <c r="U577" s="29" t="s">
        <v>790</v>
      </c>
      <c r="V577" s="29" t="s">
        <v>2639</v>
      </c>
      <c r="W577" s="35" t="s">
        <v>3709</v>
      </c>
      <c r="X577" s="35" t="s">
        <v>3729</v>
      </c>
      <c r="Y577" s="35" t="s">
        <v>3711</v>
      </c>
      <c r="Z577" s="35" t="s">
        <v>2744</v>
      </c>
      <c r="AA577" s="35" t="s">
        <v>2641</v>
      </c>
      <c r="AB577" s="29" t="s">
        <v>1638</v>
      </c>
      <c r="AC577" s="35" t="s">
        <v>1633</v>
      </c>
      <c r="AD577" s="35" t="s">
        <v>1634</v>
      </c>
      <c r="AE577" s="35" t="s">
        <v>1634</v>
      </c>
      <c r="AF577" s="35" t="s">
        <v>1635</v>
      </c>
      <c r="AG577" s="35" t="s">
        <v>2634</v>
      </c>
      <c r="AI577" s="35"/>
      <c r="AJ577" s="35" t="s">
        <v>1637</v>
      </c>
      <c r="AK577" s="35" t="s">
        <v>1672</v>
      </c>
      <c r="AL577" s="29" t="s">
        <v>1803</v>
      </c>
      <c r="AM577" s="35"/>
      <c r="AN577" s="35"/>
      <c r="AO577" s="35"/>
      <c r="AP577" s="35"/>
      <c r="AQ577" s="35"/>
      <c r="AS577" s="35"/>
      <c r="AU577" s="35"/>
      <c r="AW577" s="35"/>
      <c r="AY577" s="35"/>
      <c r="AZ577" s="35"/>
      <c r="BA577" s="35"/>
      <c r="BB577" s="29" t="s">
        <v>3730</v>
      </c>
      <c r="BC577" s="29" t="s">
        <v>2347</v>
      </c>
      <c r="BD577" s="29" t="s">
        <v>2739</v>
      </c>
      <c r="BE577" s="29" t="s">
        <v>1805</v>
      </c>
      <c r="BF577" s="29" t="s">
        <v>1936</v>
      </c>
      <c r="BG577" s="29" t="s">
        <v>3733</v>
      </c>
      <c r="BI577" s="35"/>
      <c r="BJ577" s="35"/>
      <c r="BK577" s="29" t="str" cm="1">
        <f t="array" ref="BK577">_xlfn.UNIQUE(MID(BB577,16,14))</f>
        <v>U012UBB01UH002</v>
      </c>
    </row>
    <row r="578" spans="1:63" x14ac:dyDescent="0.3">
      <c r="A578" s="29" t="s">
        <v>3726</v>
      </c>
      <c r="B578" s="36" t="str">
        <f t="shared" ref="B578:B641" si="45">RIGHT(A578,LEN(A578)-1)&amp;S578</f>
        <v>K01CSY01UH001-BA41</v>
      </c>
      <c r="C578" s="33" t="s">
        <v>3734</v>
      </c>
      <c r="D578" s="34" t="str">
        <f t="shared" ref="D578:D641" si="46">UPPER(W578&amp;" "&amp;X578&amp;" "&amp;Y578&amp;" "&amp;Z578&amp;" "&amp;AA578)</f>
        <v>CTRL PLNT CAB1 UPS MON CB ON/OPN</v>
      </c>
      <c r="E578" s="31">
        <f t="shared" ref="E578:E641" si="47">LEN(D578)</f>
        <v>32</v>
      </c>
      <c r="F578" s="32" t="str">
        <f t="shared" ref="F578:F641" si="48">UPPER(H578&amp;" "&amp;J578&amp;" "&amp;L578&amp;" "&amp;N578&amp;" "&amp;P578&amp;" "&amp;R578&amp;" "&amp;T578&amp;" "&amp;V578)</f>
        <v>PLANT CONTROL SYSTEM PLANT CONTROL SYSTEM 1 PLANT CONTROL SYSTEM PLANT CONTROL SYSTEM AUTOMATION CABINET AUTOMATION CABINET 230VAC UPS MONITORING CHECK BACK ON/OPEN</v>
      </c>
      <c r="G578" s="29" t="s">
        <v>3702</v>
      </c>
      <c r="H578" s="29" t="s">
        <v>3703</v>
      </c>
      <c r="I578" s="29" t="str">
        <f t="shared" ref="I578:I641" si="49">RIGHT(LEFT(A578,4),2)</f>
        <v>01</v>
      </c>
      <c r="J578" s="29" t="s">
        <v>3704</v>
      </c>
      <c r="K578" s="29" t="s">
        <v>3728</v>
      </c>
      <c r="L578" s="29" t="s">
        <v>3703</v>
      </c>
      <c r="M578" s="29" t="s">
        <v>1619</v>
      </c>
      <c r="N578" s="29" t="s">
        <v>3703</v>
      </c>
      <c r="O578" s="29" t="s">
        <v>3707</v>
      </c>
      <c r="P578" s="29" t="s">
        <v>3708</v>
      </c>
      <c r="Q578" s="29" t="s">
        <v>1623</v>
      </c>
      <c r="R578" s="29" t="s">
        <v>3708</v>
      </c>
      <c r="S578" s="29" t="s">
        <v>2747</v>
      </c>
      <c r="T578" s="29" t="s">
        <v>2748</v>
      </c>
      <c r="U578" s="29" t="s">
        <v>790</v>
      </c>
      <c r="V578" s="29" t="s">
        <v>2639</v>
      </c>
      <c r="W578" s="35" t="s">
        <v>3709</v>
      </c>
      <c r="X578" s="35" t="s">
        <v>3729</v>
      </c>
      <c r="Y578" s="35" t="s">
        <v>3711</v>
      </c>
      <c r="Z578" s="35" t="s">
        <v>2749</v>
      </c>
      <c r="AA578" s="35" t="s">
        <v>2641</v>
      </c>
      <c r="AB578" s="29" t="s">
        <v>1638</v>
      </c>
      <c r="AC578" s="35" t="s">
        <v>1633</v>
      </c>
      <c r="AD578" s="35" t="s">
        <v>1634</v>
      </c>
      <c r="AE578" s="35" t="s">
        <v>1634</v>
      </c>
      <c r="AF578" s="35" t="s">
        <v>1635</v>
      </c>
      <c r="AG578" s="35" t="s">
        <v>2634</v>
      </c>
      <c r="AI578" s="35"/>
      <c r="AJ578" s="35" t="s">
        <v>1637</v>
      </c>
      <c r="AK578" s="35" t="s">
        <v>1672</v>
      </c>
      <c r="AL578" s="29" t="s">
        <v>1803</v>
      </c>
      <c r="AM578" s="35"/>
      <c r="AN578" s="35"/>
      <c r="AO578" s="35"/>
      <c r="AP578" s="35"/>
      <c r="AQ578" s="35"/>
      <c r="AS578" s="35"/>
      <c r="AU578" s="35"/>
      <c r="AW578" s="35"/>
      <c r="AY578" s="35"/>
      <c r="AZ578" s="35"/>
      <c r="BA578" s="35"/>
      <c r="BB578" s="29" t="s">
        <v>3735</v>
      </c>
      <c r="BC578" s="29" t="s">
        <v>2347</v>
      </c>
      <c r="BD578" s="29" t="s">
        <v>2739</v>
      </c>
      <c r="BE578" s="29" t="s">
        <v>1805</v>
      </c>
      <c r="BF578" s="29" t="s">
        <v>2051</v>
      </c>
      <c r="BG578" s="29" t="s">
        <v>3736</v>
      </c>
      <c r="BI578" s="35"/>
      <c r="BJ578" s="35"/>
      <c r="BK578" s="29" t="str" cm="1">
        <f t="array" ref="BK578">_xlfn.UNIQUE(MID(BB578,16,14))</f>
        <v>U012UBB01UH002</v>
      </c>
    </row>
    <row r="579" spans="1:63" x14ac:dyDescent="0.3">
      <c r="A579" s="29" t="s">
        <v>3726</v>
      </c>
      <c r="B579" s="36" t="str">
        <f t="shared" si="45"/>
        <v>K01CSY01UH001-FC01</v>
      </c>
      <c r="C579" s="33" t="s">
        <v>3737</v>
      </c>
      <c r="D579" s="34" t="str">
        <f t="shared" si="46"/>
        <v>CTRL PLNT CAB1 24V MON1 CB ON/OPN</v>
      </c>
      <c r="E579" s="31">
        <f t="shared" si="47"/>
        <v>33</v>
      </c>
      <c r="F579" s="32" t="str">
        <f t="shared" si="48"/>
        <v>PLANT CONTROL SYSTEM PLANT CONTROL SYSTEM 1 PLANT CONTROL SYSTEM PLANT CONTROL SYSTEM AUTOMATION CABINET AUTOMATION CABINET 24VDC DISTRIBUTION CHECK BACK ON/OPEN</v>
      </c>
      <c r="G579" s="29" t="s">
        <v>3702</v>
      </c>
      <c r="H579" s="29" t="s">
        <v>3703</v>
      </c>
      <c r="I579" s="29" t="str">
        <f t="shared" si="49"/>
        <v>01</v>
      </c>
      <c r="J579" s="29" t="s">
        <v>3704</v>
      </c>
      <c r="K579" s="29" t="s">
        <v>3728</v>
      </c>
      <c r="L579" s="29" t="s">
        <v>3703</v>
      </c>
      <c r="M579" s="29" t="s">
        <v>1619</v>
      </c>
      <c r="N579" s="29" t="s">
        <v>3703</v>
      </c>
      <c r="O579" s="29" t="s">
        <v>3707</v>
      </c>
      <c r="P579" s="29" t="s">
        <v>3708</v>
      </c>
      <c r="Q579" s="29" t="s">
        <v>1623</v>
      </c>
      <c r="R579" s="29" t="s">
        <v>3708</v>
      </c>
      <c r="S579" s="29" t="s">
        <v>2657</v>
      </c>
      <c r="T579" s="29" t="s">
        <v>2658</v>
      </c>
      <c r="U579" s="29" t="s">
        <v>790</v>
      </c>
      <c r="V579" s="29" t="s">
        <v>2639</v>
      </c>
      <c r="W579" s="35" t="s">
        <v>3709</v>
      </c>
      <c r="X579" s="35" t="s">
        <v>3729</v>
      </c>
      <c r="Y579" s="35" t="s">
        <v>3711</v>
      </c>
      <c r="Z579" s="35" t="s">
        <v>2659</v>
      </c>
      <c r="AA579" s="35" t="s">
        <v>2641</v>
      </c>
      <c r="AB579" s="29" t="s">
        <v>2657</v>
      </c>
      <c r="AC579" s="35" t="s">
        <v>1633</v>
      </c>
      <c r="AD579" s="35" t="s">
        <v>1634</v>
      </c>
      <c r="AE579" s="35" t="s">
        <v>1634</v>
      </c>
      <c r="AF579" s="35" t="s">
        <v>1635</v>
      </c>
      <c r="AG579" s="35" t="s">
        <v>2660</v>
      </c>
      <c r="AI579" s="35"/>
      <c r="AJ579" s="35" t="s">
        <v>1637</v>
      </c>
      <c r="AK579" s="35" t="s">
        <v>1672</v>
      </c>
      <c r="AL579" s="29" t="s">
        <v>1803</v>
      </c>
      <c r="AM579" s="35"/>
      <c r="AN579" s="35"/>
      <c r="AO579" s="35"/>
      <c r="AP579" s="35"/>
      <c r="AQ579" s="35"/>
      <c r="AS579" s="35"/>
      <c r="AU579" s="35"/>
      <c r="AW579" s="35"/>
      <c r="AY579" s="35"/>
      <c r="AZ579" s="35"/>
      <c r="BA579" s="35"/>
      <c r="BB579" s="29" t="s">
        <v>3738</v>
      </c>
      <c r="BC579" s="29" t="s">
        <v>2347</v>
      </c>
      <c r="BD579" s="29" t="s">
        <v>2739</v>
      </c>
      <c r="BE579" s="29" t="s">
        <v>1805</v>
      </c>
      <c r="BF579" s="29" t="s">
        <v>1915</v>
      </c>
      <c r="BG579" s="29" t="s">
        <v>3739</v>
      </c>
      <c r="BI579" s="35"/>
      <c r="BJ579" s="35"/>
      <c r="BK579" s="29" t="str" cm="1">
        <f t="array" ref="BK579">_xlfn.UNIQUE(MID(BB579,16,14))</f>
        <v>U012UBB01UH002</v>
      </c>
    </row>
    <row r="580" spans="1:63" x14ac:dyDescent="0.3">
      <c r="A580" s="29" t="s">
        <v>3726</v>
      </c>
      <c r="B580" s="36" t="str">
        <f t="shared" si="45"/>
        <v>K01CSY01UH001-FC02</v>
      </c>
      <c r="C580" s="33" t="s">
        <v>3740</v>
      </c>
      <c r="D580" s="34" t="str">
        <f t="shared" si="46"/>
        <v>CTRL PLNT CAB1 24V MON2 CB ON/OPN</v>
      </c>
      <c r="E580" s="31">
        <f t="shared" si="47"/>
        <v>33</v>
      </c>
      <c r="F580" s="32" t="str">
        <f t="shared" si="48"/>
        <v>PLANT CONTROL SYSTEM PLANT CONTROL SYSTEM 1 PLANT CONTROL SYSTEM PLANT CONTROL SYSTEM AUTOMATION CABINET AUTOMATION CABINET 24VDC DISTRIBUTION CHECK BACK ON/OPEN</v>
      </c>
      <c r="G580" s="29" t="s">
        <v>3702</v>
      </c>
      <c r="H580" s="29" t="s">
        <v>3703</v>
      </c>
      <c r="I580" s="29" t="str">
        <f t="shared" si="49"/>
        <v>01</v>
      </c>
      <c r="J580" s="29" t="s">
        <v>3704</v>
      </c>
      <c r="K580" s="29" t="s">
        <v>3728</v>
      </c>
      <c r="L580" s="29" t="s">
        <v>3703</v>
      </c>
      <c r="M580" s="29" t="s">
        <v>1619</v>
      </c>
      <c r="N580" s="29" t="s">
        <v>3703</v>
      </c>
      <c r="O580" s="29" t="s">
        <v>3707</v>
      </c>
      <c r="P580" s="29" t="s">
        <v>3708</v>
      </c>
      <c r="Q580" s="29" t="s">
        <v>1623</v>
      </c>
      <c r="R580" s="29" t="s">
        <v>3708</v>
      </c>
      <c r="S580" s="29" t="s">
        <v>2754</v>
      </c>
      <c r="T580" s="29" t="s">
        <v>2658</v>
      </c>
      <c r="U580" s="29" t="s">
        <v>790</v>
      </c>
      <c r="V580" s="29" t="s">
        <v>2639</v>
      </c>
      <c r="W580" s="35" t="s">
        <v>3709</v>
      </c>
      <c r="X580" s="35" t="s">
        <v>3729</v>
      </c>
      <c r="Y580" s="35" t="s">
        <v>3711</v>
      </c>
      <c r="Z580" s="35" t="s">
        <v>2755</v>
      </c>
      <c r="AA580" s="35" t="s">
        <v>2641</v>
      </c>
      <c r="AB580" s="29" t="s">
        <v>2754</v>
      </c>
      <c r="AC580" s="35" t="s">
        <v>1633</v>
      </c>
      <c r="AD580" s="35" t="s">
        <v>1634</v>
      </c>
      <c r="AE580" s="35" t="s">
        <v>1634</v>
      </c>
      <c r="AF580" s="35" t="s">
        <v>1635</v>
      </c>
      <c r="AG580" s="35" t="s">
        <v>2660</v>
      </c>
      <c r="AI580" s="35"/>
      <c r="AJ580" s="35" t="s">
        <v>1637</v>
      </c>
      <c r="AK580" s="35" t="s">
        <v>1672</v>
      </c>
      <c r="AL580" s="29" t="s">
        <v>1803</v>
      </c>
      <c r="AM580" s="35"/>
      <c r="AN580" s="35"/>
      <c r="AO580" s="35"/>
      <c r="AP580" s="35"/>
      <c r="AQ580" s="35"/>
      <c r="AS580" s="35"/>
      <c r="AU580" s="35"/>
      <c r="AW580" s="35"/>
      <c r="AY580" s="35"/>
      <c r="AZ580" s="35"/>
      <c r="BA580" s="35"/>
      <c r="BB580" s="29" t="s">
        <v>3738</v>
      </c>
      <c r="BC580" s="29" t="s">
        <v>2347</v>
      </c>
      <c r="BD580" s="29" t="s">
        <v>2739</v>
      </c>
      <c r="BE580" s="29" t="s">
        <v>1805</v>
      </c>
      <c r="BF580" s="29" t="s">
        <v>1919</v>
      </c>
      <c r="BG580" s="29" t="s">
        <v>3741</v>
      </c>
      <c r="BI580" s="35"/>
      <c r="BJ580" s="35"/>
      <c r="BK580" s="29" t="str" cm="1">
        <f t="array" ref="BK580">_xlfn.UNIQUE(MID(BB580,16,14))</f>
        <v>U012UBB01UH002</v>
      </c>
    </row>
    <row r="581" spans="1:63" x14ac:dyDescent="0.3">
      <c r="A581" s="29" t="s">
        <v>3726</v>
      </c>
      <c r="B581" s="36" t="str">
        <f t="shared" si="45"/>
        <v>K01CSY01UH001-FC03</v>
      </c>
      <c r="C581" s="33" t="s">
        <v>3742</v>
      </c>
      <c r="D581" s="34" t="str">
        <f t="shared" si="46"/>
        <v>CTRL PLNT CAB1 24V MON3 CB ON/OPN</v>
      </c>
      <c r="E581" s="31">
        <f t="shared" si="47"/>
        <v>33</v>
      </c>
      <c r="F581" s="32" t="str">
        <f t="shared" si="48"/>
        <v>PLANT CONTROL SYSTEM PLANT CONTROL SYSTEM 1 PLANT CONTROL SYSTEM PLANT CONTROL SYSTEM AUTOMATION CABINET AUTOMATION CABINET 24VDC DISTRIBUTION CHECK BACK ON/OPEN</v>
      </c>
      <c r="G581" s="29" t="s">
        <v>3702</v>
      </c>
      <c r="H581" s="29" t="s">
        <v>3703</v>
      </c>
      <c r="I581" s="29" t="str">
        <f t="shared" si="49"/>
        <v>01</v>
      </c>
      <c r="J581" s="29" t="s">
        <v>3704</v>
      </c>
      <c r="K581" s="29" t="s">
        <v>3728</v>
      </c>
      <c r="L581" s="29" t="s">
        <v>3703</v>
      </c>
      <c r="M581" s="29" t="s">
        <v>1619</v>
      </c>
      <c r="N581" s="29" t="s">
        <v>3703</v>
      </c>
      <c r="O581" s="29" t="s">
        <v>3707</v>
      </c>
      <c r="P581" s="29" t="s">
        <v>3708</v>
      </c>
      <c r="Q581" s="29" t="s">
        <v>1623</v>
      </c>
      <c r="R581" s="29" t="s">
        <v>3708</v>
      </c>
      <c r="S581" s="29" t="s">
        <v>2759</v>
      </c>
      <c r="T581" s="29" t="s">
        <v>2658</v>
      </c>
      <c r="U581" s="29" t="s">
        <v>790</v>
      </c>
      <c r="V581" s="29" t="s">
        <v>2639</v>
      </c>
      <c r="W581" s="35" t="s">
        <v>3709</v>
      </c>
      <c r="X581" s="35" t="s">
        <v>3729</v>
      </c>
      <c r="Y581" s="35" t="s">
        <v>3711</v>
      </c>
      <c r="Z581" s="35" t="s">
        <v>2760</v>
      </c>
      <c r="AA581" s="35" t="s">
        <v>2641</v>
      </c>
      <c r="AB581" s="29" t="s">
        <v>2759</v>
      </c>
      <c r="AC581" s="35" t="s">
        <v>1633</v>
      </c>
      <c r="AD581" s="35" t="s">
        <v>1634</v>
      </c>
      <c r="AE581" s="35" t="s">
        <v>1634</v>
      </c>
      <c r="AF581" s="35" t="s">
        <v>1635</v>
      </c>
      <c r="AG581" s="35" t="s">
        <v>2634</v>
      </c>
      <c r="AI581" s="35"/>
      <c r="AJ581" s="35" t="s">
        <v>1637</v>
      </c>
      <c r="AK581" s="35" t="s">
        <v>1672</v>
      </c>
      <c r="AL581" s="29" t="s">
        <v>1803</v>
      </c>
      <c r="AM581" s="35"/>
      <c r="AN581" s="35"/>
      <c r="AO581" s="35"/>
      <c r="AP581" s="35"/>
      <c r="AQ581" s="35"/>
      <c r="AS581" s="35"/>
      <c r="AU581" s="35"/>
      <c r="AW581" s="35"/>
      <c r="AY581" s="35"/>
      <c r="AZ581" s="35"/>
      <c r="BA581" s="35"/>
      <c r="BB581" s="29" t="s">
        <v>3738</v>
      </c>
      <c r="BC581" s="29" t="s">
        <v>2347</v>
      </c>
      <c r="BD581" s="29" t="s">
        <v>2739</v>
      </c>
      <c r="BE581" s="29" t="s">
        <v>1805</v>
      </c>
      <c r="BF581" s="29" t="s">
        <v>1922</v>
      </c>
      <c r="BG581" s="29" t="s">
        <v>3743</v>
      </c>
      <c r="BI581" s="35"/>
      <c r="BJ581" s="35"/>
      <c r="BK581" s="29" t="str" cm="1">
        <f t="array" ref="BK581">_xlfn.UNIQUE(MID(BB581,16,14))</f>
        <v>U012UBB01UH002</v>
      </c>
    </row>
    <row r="582" spans="1:63" x14ac:dyDescent="0.3">
      <c r="A582" s="29" t="s">
        <v>3726</v>
      </c>
      <c r="B582" s="36" t="str">
        <f t="shared" si="45"/>
        <v>K01CSY01UH001-FC11</v>
      </c>
      <c r="C582" s="33" t="s">
        <v>3744</v>
      </c>
      <c r="D582" s="34" t="str">
        <f t="shared" si="46"/>
        <v>CTRL PLNT CAB1 400VAC IN CB ON/OPN</v>
      </c>
      <c r="E582" s="31">
        <f t="shared" si="47"/>
        <v>34</v>
      </c>
      <c r="F582" s="32" t="str">
        <f t="shared" si="48"/>
        <v>PLANT CONTROL SYSTEM PLANT CONTROL SYSTEM 1 PLANT CONTROL SYSTEM PLANT CONTROL SYSTEM AUTOMATION CABINET AUTOMATION CABINET 400VAC INPUT CHECK BACK ON/OPEN</v>
      </c>
      <c r="G582" s="29" t="s">
        <v>3702</v>
      </c>
      <c r="H582" s="29" t="s">
        <v>3703</v>
      </c>
      <c r="I582" s="29" t="str">
        <f t="shared" si="49"/>
        <v>01</v>
      </c>
      <c r="J582" s="29" t="s">
        <v>3704</v>
      </c>
      <c r="K582" s="29" t="s">
        <v>3728</v>
      </c>
      <c r="L582" s="29" t="s">
        <v>3703</v>
      </c>
      <c r="M582" s="29" t="s">
        <v>1619</v>
      </c>
      <c r="N582" s="29" t="s">
        <v>3703</v>
      </c>
      <c r="O582" s="29" t="s">
        <v>3707</v>
      </c>
      <c r="P582" s="29" t="s">
        <v>3708</v>
      </c>
      <c r="Q582" s="29" t="s">
        <v>1623</v>
      </c>
      <c r="R582" s="29" t="s">
        <v>3708</v>
      </c>
      <c r="S582" s="29" t="s">
        <v>2763</v>
      </c>
      <c r="T582" s="29" t="s">
        <v>2764</v>
      </c>
      <c r="U582" s="29" t="s">
        <v>790</v>
      </c>
      <c r="V582" s="29" t="s">
        <v>2639</v>
      </c>
      <c r="W582" s="35" t="s">
        <v>3709</v>
      </c>
      <c r="X582" s="35" t="s">
        <v>3729</v>
      </c>
      <c r="Y582" s="35" t="s">
        <v>3711</v>
      </c>
      <c r="Z582" s="35" t="s">
        <v>2765</v>
      </c>
      <c r="AA582" s="35" t="s">
        <v>2641</v>
      </c>
      <c r="AB582" s="29" t="s">
        <v>2766</v>
      </c>
      <c r="AC582" s="35" t="s">
        <v>1633</v>
      </c>
      <c r="AD582" s="35" t="s">
        <v>1634</v>
      </c>
      <c r="AE582" s="35" t="s">
        <v>1634</v>
      </c>
      <c r="AF582" s="35" t="s">
        <v>1635</v>
      </c>
      <c r="AG582" s="35" t="s">
        <v>2634</v>
      </c>
      <c r="AI582" s="35"/>
      <c r="AJ582" s="35" t="s">
        <v>1637</v>
      </c>
      <c r="AK582" s="35" t="s">
        <v>1672</v>
      </c>
      <c r="AL582" s="29" t="s">
        <v>1803</v>
      </c>
      <c r="AM582" s="35"/>
      <c r="AN582" s="35"/>
      <c r="AO582" s="35"/>
      <c r="AP582" s="35"/>
      <c r="AQ582" s="35"/>
      <c r="AS582" s="35"/>
      <c r="AU582" s="35"/>
      <c r="AW582" s="35"/>
      <c r="AY582" s="35"/>
      <c r="AZ582" s="35"/>
      <c r="BA582" s="35"/>
      <c r="BB582" s="29" t="s">
        <v>3730</v>
      </c>
      <c r="BC582" s="29" t="s">
        <v>2347</v>
      </c>
      <c r="BD582" s="29" t="s">
        <v>2739</v>
      </c>
      <c r="BE582" s="29" t="s">
        <v>1805</v>
      </c>
      <c r="BF582" s="29" t="s">
        <v>1619</v>
      </c>
      <c r="BG582" s="29" t="s">
        <v>3745</v>
      </c>
      <c r="BI582" s="35"/>
      <c r="BJ582" s="35"/>
      <c r="BK582" s="29" t="str" cm="1">
        <f t="array" ref="BK582">_xlfn.UNIQUE(MID(BB582,16,14))</f>
        <v>U012UBB01UH002</v>
      </c>
    </row>
    <row r="583" spans="1:63" x14ac:dyDescent="0.3">
      <c r="A583" s="29" t="s">
        <v>3726</v>
      </c>
      <c r="B583" s="36" t="str">
        <f t="shared" si="45"/>
        <v>K01CSY01UH001-FC21</v>
      </c>
      <c r="C583" s="33" t="s">
        <v>3746</v>
      </c>
      <c r="D583" s="34" t="str">
        <f t="shared" si="46"/>
        <v>CTRL PLNT CAB1 230VAC1 CB ON/OPN</v>
      </c>
      <c r="E583" s="31">
        <f t="shared" si="47"/>
        <v>32</v>
      </c>
      <c r="F583" s="32" t="str">
        <f t="shared" si="48"/>
        <v>PLANT CONTROL SYSTEM PLANT CONTROL SYSTEM 1 PLANT CONTROL SYSTEM PLANT CONTROL SYSTEM AUTOMATION CABINET AUTOMATION CABINET 230VAC DISTRIBUTION CHECK BACK ON/OPEN</v>
      </c>
      <c r="G583" s="29" t="s">
        <v>3702</v>
      </c>
      <c r="H583" s="29" t="s">
        <v>3703</v>
      </c>
      <c r="I583" s="29" t="str">
        <f t="shared" si="49"/>
        <v>01</v>
      </c>
      <c r="J583" s="29" t="s">
        <v>3704</v>
      </c>
      <c r="K583" s="29" t="s">
        <v>3728</v>
      </c>
      <c r="L583" s="29" t="s">
        <v>3703</v>
      </c>
      <c r="M583" s="29" t="s">
        <v>1619</v>
      </c>
      <c r="N583" s="29" t="s">
        <v>3703</v>
      </c>
      <c r="O583" s="29" t="s">
        <v>3707</v>
      </c>
      <c r="P583" s="29" t="s">
        <v>3708</v>
      </c>
      <c r="Q583" s="29" t="s">
        <v>1623</v>
      </c>
      <c r="R583" s="29" t="s">
        <v>3708</v>
      </c>
      <c r="S583" s="29" t="s">
        <v>2769</v>
      </c>
      <c r="T583" s="29" t="s">
        <v>2770</v>
      </c>
      <c r="U583" s="29" t="s">
        <v>790</v>
      </c>
      <c r="V583" s="29" t="s">
        <v>2639</v>
      </c>
      <c r="W583" s="35" t="s">
        <v>3709</v>
      </c>
      <c r="X583" s="35" t="s">
        <v>3729</v>
      </c>
      <c r="Y583" s="35" t="s">
        <v>3711</v>
      </c>
      <c r="Z583" s="35" t="s">
        <v>2771</v>
      </c>
      <c r="AA583" s="35" t="s">
        <v>2641</v>
      </c>
      <c r="AB583" s="29" t="s">
        <v>2766</v>
      </c>
      <c r="AC583" s="35" t="s">
        <v>1633</v>
      </c>
      <c r="AD583" s="35" t="s">
        <v>1634</v>
      </c>
      <c r="AE583" s="35" t="s">
        <v>1634</v>
      </c>
      <c r="AF583" s="35" t="s">
        <v>1635</v>
      </c>
      <c r="AG583" s="35" t="s">
        <v>2634</v>
      </c>
      <c r="AI583" s="35"/>
      <c r="AJ583" s="35" t="s">
        <v>1637</v>
      </c>
      <c r="AK583" s="35" t="s">
        <v>1672</v>
      </c>
      <c r="AL583" s="29" t="s">
        <v>1803</v>
      </c>
      <c r="AM583" s="35"/>
      <c r="AN583" s="35"/>
      <c r="AO583" s="35"/>
      <c r="AP583" s="35"/>
      <c r="AQ583" s="35"/>
      <c r="AS583" s="35"/>
      <c r="AU583" s="35"/>
      <c r="AW583" s="35"/>
      <c r="AY583" s="35"/>
      <c r="AZ583" s="35"/>
      <c r="BA583" s="35"/>
      <c r="BB583" s="29" t="s">
        <v>3730</v>
      </c>
      <c r="BC583" s="29" t="s">
        <v>2347</v>
      </c>
      <c r="BD583" s="29" t="s">
        <v>2739</v>
      </c>
      <c r="BE583" s="29" t="s">
        <v>1805</v>
      </c>
      <c r="BF583" s="29" t="s">
        <v>1931</v>
      </c>
      <c r="BG583" s="29" t="s">
        <v>3747</v>
      </c>
      <c r="BI583" s="35"/>
      <c r="BJ583" s="35"/>
      <c r="BK583" s="29" t="str" cm="1">
        <f t="array" ref="BK583">_xlfn.UNIQUE(MID(BB583,16,14))</f>
        <v>U012UBB01UH002</v>
      </c>
    </row>
    <row r="584" spans="1:63" x14ac:dyDescent="0.3">
      <c r="A584" s="29" t="s">
        <v>3726</v>
      </c>
      <c r="B584" s="36" t="str">
        <f t="shared" si="45"/>
        <v>K01CSY01UH001-FC22</v>
      </c>
      <c r="C584" s="33" t="s">
        <v>3748</v>
      </c>
      <c r="D584" s="34" t="str">
        <f t="shared" si="46"/>
        <v>CTRL PLNT CAB1 230VAC2 CB ON/OPN</v>
      </c>
      <c r="E584" s="31">
        <f t="shared" si="47"/>
        <v>32</v>
      </c>
      <c r="F584" s="32" t="str">
        <f t="shared" si="48"/>
        <v>PLANT CONTROL SYSTEM PLANT CONTROL SYSTEM 1 PLANT CONTROL SYSTEM PLANT CONTROL SYSTEM AUTOMATION CABINET AUTOMATION CABINET 230VAC DISTRIBUTION CHECK BACK ON/OPEN</v>
      </c>
      <c r="G584" s="29" t="s">
        <v>3702</v>
      </c>
      <c r="H584" s="29" t="s">
        <v>3703</v>
      </c>
      <c r="I584" s="29" t="str">
        <f t="shared" si="49"/>
        <v>01</v>
      </c>
      <c r="J584" s="29" t="s">
        <v>3704</v>
      </c>
      <c r="K584" s="29" t="s">
        <v>3728</v>
      </c>
      <c r="L584" s="29" t="s">
        <v>3703</v>
      </c>
      <c r="M584" s="29" t="s">
        <v>1619</v>
      </c>
      <c r="N584" s="29" t="s">
        <v>3703</v>
      </c>
      <c r="O584" s="29" t="s">
        <v>3707</v>
      </c>
      <c r="P584" s="29" t="s">
        <v>3708</v>
      </c>
      <c r="Q584" s="29" t="s">
        <v>1623</v>
      </c>
      <c r="R584" s="29" t="s">
        <v>3708</v>
      </c>
      <c r="S584" s="29" t="s">
        <v>2774</v>
      </c>
      <c r="T584" s="29" t="s">
        <v>2770</v>
      </c>
      <c r="U584" s="29" t="s">
        <v>790</v>
      </c>
      <c r="V584" s="29" t="s">
        <v>2639</v>
      </c>
      <c r="W584" s="35" t="s">
        <v>3709</v>
      </c>
      <c r="X584" s="35" t="s">
        <v>3729</v>
      </c>
      <c r="Y584" s="35" t="s">
        <v>3711</v>
      </c>
      <c r="Z584" s="35" t="s">
        <v>2775</v>
      </c>
      <c r="AA584" s="35" t="s">
        <v>2641</v>
      </c>
      <c r="AB584" s="29" t="s">
        <v>2766</v>
      </c>
      <c r="AC584" s="35" t="s">
        <v>1633</v>
      </c>
      <c r="AD584" s="35" t="s">
        <v>1634</v>
      </c>
      <c r="AE584" s="35" t="s">
        <v>1634</v>
      </c>
      <c r="AF584" s="35" t="s">
        <v>1635</v>
      </c>
      <c r="AG584" s="35" t="s">
        <v>2634</v>
      </c>
      <c r="AI584" s="35"/>
      <c r="AJ584" s="35" t="s">
        <v>1637</v>
      </c>
      <c r="AK584" s="35" t="s">
        <v>1672</v>
      </c>
      <c r="AL584" s="29" t="s">
        <v>1803</v>
      </c>
      <c r="AM584" s="35"/>
      <c r="AN584" s="35"/>
      <c r="AO584" s="35"/>
      <c r="AP584" s="35"/>
      <c r="AQ584" s="35"/>
      <c r="AS584" s="35"/>
      <c r="AU584" s="35"/>
      <c r="AW584" s="35"/>
      <c r="AY584" s="35"/>
      <c r="AZ584" s="35"/>
      <c r="BA584" s="35"/>
      <c r="BB584" s="29" t="s">
        <v>3730</v>
      </c>
      <c r="BC584" s="29" t="s">
        <v>2347</v>
      </c>
      <c r="BD584" s="29" t="s">
        <v>2739</v>
      </c>
      <c r="BE584" s="29" t="s">
        <v>1805</v>
      </c>
      <c r="BF584" s="29" t="s">
        <v>2035</v>
      </c>
      <c r="BG584" s="29" t="s">
        <v>3749</v>
      </c>
      <c r="BI584" s="35"/>
      <c r="BJ584" s="35"/>
      <c r="BK584" s="29" t="str" cm="1">
        <f t="array" ref="BK584">_xlfn.UNIQUE(MID(BB584,16,14))</f>
        <v>U012UBB01UH002</v>
      </c>
    </row>
    <row r="585" spans="1:63" x14ac:dyDescent="0.3">
      <c r="A585" s="29" t="s">
        <v>3726</v>
      </c>
      <c r="B585" s="36" t="str">
        <f t="shared" si="45"/>
        <v>K01CSY01UH001-FC23</v>
      </c>
      <c r="C585" s="33" t="s">
        <v>3750</v>
      </c>
      <c r="D585" s="34" t="str">
        <f t="shared" si="46"/>
        <v>CTRL PLNT CAB1 230VAC3 CB ON/OPN</v>
      </c>
      <c r="E585" s="31">
        <f t="shared" si="47"/>
        <v>32</v>
      </c>
      <c r="F585" s="32" t="str">
        <f t="shared" si="48"/>
        <v>PLANT CONTROL SYSTEM PLANT CONTROL SYSTEM 1 PLANT CONTROL SYSTEM PLANT CONTROL SYSTEM AUTOMATION CABINET AUTOMATION CABINET 230VAC DISTRIBUTION CHECK BACK ON/OPEN</v>
      </c>
      <c r="G585" s="29" t="s">
        <v>3702</v>
      </c>
      <c r="H585" s="29" t="s">
        <v>3703</v>
      </c>
      <c r="I585" s="29" t="str">
        <f t="shared" si="49"/>
        <v>01</v>
      </c>
      <c r="J585" s="29" t="s">
        <v>3704</v>
      </c>
      <c r="K585" s="29" t="s">
        <v>3728</v>
      </c>
      <c r="L585" s="29" t="s">
        <v>3703</v>
      </c>
      <c r="M585" s="29" t="s">
        <v>1619</v>
      </c>
      <c r="N585" s="29" t="s">
        <v>3703</v>
      </c>
      <c r="O585" s="29" t="s">
        <v>3707</v>
      </c>
      <c r="P585" s="29" t="s">
        <v>3708</v>
      </c>
      <c r="Q585" s="29" t="s">
        <v>1623</v>
      </c>
      <c r="R585" s="29" t="s">
        <v>3708</v>
      </c>
      <c r="S585" s="29" t="s">
        <v>2778</v>
      </c>
      <c r="T585" s="29" t="s">
        <v>2770</v>
      </c>
      <c r="U585" s="29" t="s">
        <v>790</v>
      </c>
      <c r="V585" s="29" t="s">
        <v>2639</v>
      </c>
      <c r="W585" s="35" t="s">
        <v>3709</v>
      </c>
      <c r="X585" s="35" t="s">
        <v>3729</v>
      </c>
      <c r="Y585" s="35" t="s">
        <v>3711</v>
      </c>
      <c r="Z585" s="35" t="s">
        <v>2779</v>
      </c>
      <c r="AA585" s="35" t="s">
        <v>2641</v>
      </c>
      <c r="AB585" s="29" t="s">
        <v>2766</v>
      </c>
      <c r="AC585" s="35" t="s">
        <v>1633</v>
      </c>
      <c r="AD585" s="35" t="s">
        <v>1634</v>
      </c>
      <c r="AE585" s="35" t="s">
        <v>1634</v>
      </c>
      <c r="AF585" s="35" t="s">
        <v>1635</v>
      </c>
      <c r="AG585" s="35" t="s">
        <v>2634</v>
      </c>
      <c r="AI585" s="35"/>
      <c r="AJ585" s="35" t="s">
        <v>1637</v>
      </c>
      <c r="AK585" s="35" t="s">
        <v>1672</v>
      </c>
      <c r="AL585" s="29" t="s">
        <v>1803</v>
      </c>
      <c r="AM585" s="35"/>
      <c r="AN585" s="35"/>
      <c r="AO585" s="35"/>
      <c r="AP585" s="35"/>
      <c r="AQ585" s="35"/>
      <c r="AS585" s="35"/>
      <c r="AU585" s="35"/>
      <c r="AW585" s="35"/>
      <c r="AY585" s="35"/>
      <c r="AZ585" s="35"/>
      <c r="BA585" s="35"/>
      <c r="BB585" s="29" t="s">
        <v>3730</v>
      </c>
      <c r="BC585" s="29" t="s">
        <v>2347</v>
      </c>
      <c r="BD585" s="29" t="s">
        <v>2739</v>
      </c>
      <c r="BE585" s="29" t="s">
        <v>1805</v>
      </c>
      <c r="BF585" s="29" t="s">
        <v>1969</v>
      </c>
      <c r="BG585" s="29" t="s">
        <v>3751</v>
      </c>
      <c r="BI585" s="35"/>
      <c r="BJ585" s="35"/>
      <c r="BK585" s="29" t="str" cm="1">
        <f t="array" ref="BK585">_xlfn.UNIQUE(MID(BB585,16,14))</f>
        <v>U012UBB01UH002</v>
      </c>
    </row>
    <row r="586" spans="1:63" x14ac:dyDescent="0.3">
      <c r="A586" s="29" t="s">
        <v>3726</v>
      </c>
      <c r="B586" s="36" t="str">
        <f t="shared" si="45"/>
        <v>K01CSY01UH001-FC24</v>
      </c>
      <c r="C586" s="33" t="s">
        <v>3752</v>
      </c>
      <c r="D586" s="34" t="str">
        <f t="shared" si="46"/>
        <v>CTRL PLNT CAB1 230VAC4 CB ON/OPN</v>
      </c>
      <c r="E586" s="31">
        <f t="shared" si="47"/>
        <v>32</v>
      </c>
      <c r="F586" s="32" t="str">
        <f t="shared" si="48"/>
        <v>PLANT CONTROL SYSTEM PLANT CONTROL SYSTEM 1 PLANT CONTROL SYSTEM PLANT CONTROL SYSTEM AUTOMATION CABINET AUTOMATION CABINET 230VAC DISTRIBUTION CHECK BACK ON/OPEN</v>
      </c>
      <c r="G586" s="29" t="s">
        <v>3702</v>
      </c>
      <c r="H586" s="29" t="s">
        <v>3703</v>
      </c>
      <c r="I586" s="29" t="str">
        <f t="shared" si="49"/>
        <v>01</v>
      </c>
      <c r="J586" s="29" t="s">
        <v>3704</v>
      </c>
      <c r="K586" s="29" t="s">
        <v>3728</v>
      </c>
      <c r="L586" s="29" t="s">
        <v>3703</v>
      </c>
      <c r="M586" s="29" t="s">
        <v>1619</v>
      </c>
      <c r="N586" s="29" t="s">
        <v>3703</v>
      </c>
      <c r="O586" s="29" t="s">
        <v>3707</v>
      </c>
      <c r="P586" s="29" t="s">
        <v>3708</v>
      </c>
      <c r="Q586" s="29" t="s">
        <v>1623</v>
      </c>
      <c r="R586" s="29" t="s">
        <v>3708</v>
      </c>
      <c r="S586" s="29" t="s">
        <v>2782</v>
      </c>
      <c r="T586" s="29" t="s">
        <v>2770</v>
      </c>
      <c r="U586" s="29" t="s">
        <v>790</v>
      </c>
      <c r="V586" s="29" t="s">
        <v>2639</v>
      </c>
      <c r="W586" s="35" t="s">
        <v>3709</v>
      </c>
      <c r="X586" s="35" t="s">
        <v>3729</v>
      </c>
      <c r="Y586" s="35" t="s">
        <v>3711</v>
      </c>
      <c r="Z586" s="35" t="s">
        <v>2783</v>
      </c>
      <c r="AA586" s="35" t="s">
        <v>2641</v>
      </c>
      <c r="AB586" s="29" t="s">
        <v>2766</v>
      </c>
      <c r="AC586" s="35" t="s">
        <v>1633</v>
      </c>
      <c r="AD586" s="35" t="s">
        <v>1634</v>
      </c>
      <c r="AE586" s="35" t="s">
        <v>1634</v>
      </c>
      <c r="AF586" s="35" t="s">
        <v>1635</v>
      </c>
      <c r="AG586" s="35" t="s">
        <v>2634</v>
      </c>
      <c r="AI586" s="35"/>
      <c r="AJ586" s="35" t="s">
        <v>1637</v>
      </c>
      <c r="AK586" s="35" t="s">
        <v>1672</v>
      </c>
      <c r="AL586" s="29" t="s">
        <v>1803</v>
      </c>
      <c r="AM586" s="35"/>
      <c r="AN586" s="35"/>
      <c r="AO586" s="35"/>
      <c r="AP586" s="35"/>
      <c r="AQ586" s="35"/>
      <c r="AS586" s="35"/>
      <c r="AU586" s="35"/>
      <c r="AW586" s="35"/>
      <c r="AY586" s="35"/>
      <c r="AZ586" s="35"/>
      <c r="BA586" s="35"/>
      <c r="BB586" s="29" t="s">
        <v>3730</v>
      </c>
      <c r="BC586" s="29" t="s">
        <v>2347</v>
      </c>
      <c r="BD586" s="29" t="s">
        <v>2739</v>
      </c>
      <c r="BE586" s="29" t="s">
        <v>1805</v>
      </c>
      <c r="BF586" s="29" t="s">
        <v>1973</v>
      </c>
      <c r="BG586" s="29" t="s">
        <v>3753</v>
      </c>
      <c r="BI586" s="35"/>
      <c r="BJ586" s="35"/>
      <c r="BK586" s="29" t="str" cm="1">
        <f t="array" ref="BK586">_xlfn.UNIQUE(MID(BB586,16,14))</f>
        <v>U012UBB01UH002</v>
      </c>
    </row>
    <row r="587" spans="1:63" x14ac:dyDescent="0.3">
      <c r="A587" s="29" t="s">
        <v>3726</v>
      </c>
      <c r="B587" s="36" t="str">
        <f t="shared" si="45"/>
        <v>K01CSY01UH001-FC25</v>
      </c>
      <c r="C587" s="33" t="s">
        <v>3754</v>
      </c>
      <c r="D587" s="34" t="str">
        <f t="shared" si="46"/>
        <v>CTRL PLNT CAB1 230VAC5 CB ON/OPN</v>
      </c>
      <c r="E587" s="31">
        <f t="shared" si="47"/>
        <v>32</v>
      </c>
      <c r="F587" s="32" t="str">
        <f t="shared" si="48"/>
        <v>PLANT CONTROL SYSTEM PLANT CONTROL SYSTEM 1 PLANT CONTROL SYSTEM PLANT CONTROL SYSTEM AUTOMATION CABINET AUTOMATION CABINET 230VAC DISTRIBUTION CHECK BACK ON/OPEN</v>
      </c>
      <c r="G587" s="29" t="s">
        <v>3702</v>
      </c>
      <c r="H587" s="29" t="s">
        <v>3703</v>
      </c>
      <c r="I587" s="29" t="str">
        <f t="shared" si="49"/>
        <v>01</v>
      </c>
      <c r="J587" s="29" t="s">
        <v>3704</v>
      </c>
      <c r="K587" s="29" t="s">
        <v>3728</v>
      </c>
      <c r="L587" s="29" t="s">
        <v>3703</v>
      </c>
      <c r="M587" s="29" t="s">
        <v>1619</v>
      </c>
      <c r="N587" s="29" t="s">
        <v>3703</v>
      </c>
      <c r="O587" s="29" t="s">
        <v>3707</v>
      </c>
      <c r="P587" s="29" t="s">
        <v>3708</v>
      </c>
      <c r="Q587" s="29" t="s">
        <v>1623</v>
      </c>
      <c r="R587" s="29" t="s">
        <v>3708</v>
      </c>
      <c r="S587" s="29" t="s">
        <v>2786</v>
      </c>
      <c r="T587" s="29" t="s">
        <v>2770</v>
      </c>
      <c r="U587" s="29" t="s">
        <v>790</v>
      </c>
      <c r="V587" s="29" t="s">
        <v>2639</v>
      </c>
      <c r="W587" s="35" t="s">
        <v>3709</v>
      </c>
      <c r="X587" s="35" t="s">
        <v>3729</v>
      </c>
      <c r="Y587" s="35" t="s">
        <v>3711</v>
      </c>
      <c r="Z587" s="35" t="s">
        <v>2787</v>
      </c>
      <c r="AA587" s="35" t="s">
        <v>2641</v>
      </c>
      <c r="AB587" s="29" t="s">
        <v>2766</v>
      </c>
      <c r="AC587" s="35" t="s">
        <v>1633</v>
      </c>
      <c r="AD587" s="35" t="s">
        <v>1634</v>
      </c>
      <c r="AE587" s="35" t="s">
        <v>1634</v>
      </c>
      <c r="AF587" s="35" t="s">
        <v>1635</v>
      </c>
      <c r="AG587" s="35" t="s">
        <v>2634</v>
      </c>
      <c r="AI587" s="35"/>
      <c r="AJ587" s="35" t="s">
        <v>1637</v>
      </c>
      <c r="AK587" s="35" t="s">
        <v>1672</v>
      </c>
      <c r="AL587" s="29" t="s">
        <v>1803</v>
      </c>
      <c r="AM587" s="35"/>
      <c r="AN587" s="35"/>
      <c r="AO587" s="35"/>
      <c r="AP587" s="35"/>
      <c r="AQ587" s="35"/>
      <c r="AS587" s="35"/>
      <c r="AU587" s="35"/>
      <c r="AW587" s="35"/>
      <c r="AY587" s="35"/>
      <c r="AZ587" s="35"/>
      <c r="BA587" s="35"/>
      <c r="BB587" s="29" t="s">
        <v>3730</v>
      </c>
      <c r="BC587" s="29" t="s">
        <v>2347</v>
      </c>
      <c r="BD587" s="29" t="s">
        <v>2739</v>
      </c>
      <c r="BE587" s="29" t="s">
        <v>1805</v>
      </c>
      <c r="BF587" s="29" t="s">
        <v>2048</v>
      </c>
      <c r="BG587" s="29" t="s">
        <v>3755</v>
      </c>
      <c r="BI587" s="35"/>
      <c r="BJ587" s="35"/>
      <c r="BK587" s="29" t="str" cm="1">
        <f t="array" ref="BK587">_xlfn.UNIQUE(MID(BB587,16,14))</f>
        <v>U012UBB01UH002</v>
      </c>
    </row>
    <row r="588" spans="1:63" x14ac:dyDescent="0.3">
      <c r="A588" s="29" t="s">
        <v>3726</v>
      </c>
      <c r="B588" s="36" t="str">
        <f t="shared" si="45"/>
        <v>K01CSY01UH001-FC26</v>
      </c>
      <c r="C588" s="33" t="s">
        <v>3756</v>
      </c>
      <c r="D588" s="34" t="str">
        <f t="shared" si="46"/>
        <v>CTRL PLNT CAB1 230VAC6 CB ON/OPN</v>
      </c>
      <c r="E588" s="31">
        <f t="shared" si="47"/>
        <v>32</v>
      </c>
      <c r="F588" s="32" t="str">
        <f t="shared" si="48"/>
        <v>PLANT CONTROL SYSTEM PLANT CONTROL SYSTEM 1 PLANT CONTROL SYSTEM PLANT CONTROL SYSTEM AUTOMATION CABINET AUTOMATION CABINET 230VAC DISTRIBUTION CHECK BACK ON/OPEN</v>
      </c>
      <c r="G588" s="29" t="s">
        <v>3702</v>
      </c>
      <c r="H588" s="29" t="s">
        <v>3703</v>
      </c>
      <c r="I588" s="29" t="str">
        <f t="shared" si="49"/>
        <v>01</v>
      </c>
      <c r="J588" s="29" t="s">
        <v>3704</v>
      </c>
      <c r="K588" s="29" t="s">
        <v>3728</v>
      </c>
      <c r="L588" s="29" t="s">
        <v>3703</v>
      </c>
      <c r="M588" s="29" t="s">
        <v>1619</v>
      </c>
      <c r="N588" s="29" t="s">
        <v>3703</v>
      </c>
      <c r="O588" s="29" t="s">
        <v>3707</v>
      </c>
      <c r="P588" s="29" t="s">
        <v>3708</v>
      </c>
      <c r="Q588" s="29" t="s">
        <v>1623</v>
      </c>
      <c r="R588" s="29" t="s">
        <v>3708</v>
      </c>
      <c r="S588" s="29" t="s">
        <v>2790</v>
      </c>
      <c r="T588" s="29" t="s">
        <v>2770</v>
      </c>
      <c r="U588" s="29" t="s">
        <v>790</v>
      </c>
      <c r="V588" s="29" t="s">
        <v>2639</v>
      </c>
      <c r="W588" s="35" t="s">
        <v>3709</v>
      </c>
      <c r="X588" s="35" t="s">
        <v>3729</v>
      </c>
      <c r="Y588" s="35" t="s">
        <v>3711</v>
      </c>
      <c r="Z588" s="35" t="s">
        <v>2791</v>
      </c>
      <c r="AA588" s="35" t="s">
        <v>2641</v>
      </c>
      <c r="AB588" s="29" t="s">
        <v>2766</v>
      </c>
      <c r="AC588" s="35" t="s">
        <v>1633</v>
      </c>
      <c r="AD588" s="35" t="s">
        <v>1634</v>
      </c>
      <c r="AE588" s="35" t="s">
        <v>1634</v>
      </c>
      <c r="AF588" s="35" t="s">
        <v>1635</v>
      </c>
      <c r="AG588" s="35" t="s">
        <v>2634</v>
      </c>
      <c r="AI588" s="35"/>
      <c r="AJ588" s="35" t="s">
        <v>1637</v>
      </c>
      <c r="AK588" s="35" t="s">
        <v>1672</v>
      </c>
      <c r="AL588" s="29" t="s">
        <v>1803</v>
      </c>
      <c r="AM588" s="35"/>
      <c r="AN588" s="35"/>
      <c r="AO588" s="35"/>
      <c r="AP588" s="35"/>
      <c r="AQ588" s="35"/>
      <c r="AS588" s="35"/>
      <c r="AU588" s="35"/>
      <c r="AW588" s="35"/>
      <c r="AY588" s="35"/>
      <c r="AZ588" s="35"/>
      <c r="BA588" s="35"/>
      <c r="BB588" s="29" t="s">
        <v>3730</v>
      </c>
      <c r="BC588" s="29" t="s">
        <v>2347</v>
      </c>
      <c r="BD588" s="29" t="s">
        <v>2739</v>
      </c>
      <c r="BE588" s="29" t="s">
        <v>1805</v>
      </c>
      <c r="BF588" s="29" t="s">
        <v>2051</v>
      </c>
      <c r="BG588" s="29" t="s">
        <v>3757</v>
      </c>
      <c r="BI588" s="35"/>
      <c r="BJ588" s="35"/>
      <c r="BK588" s="29" t="str" cm="1">
        <f t="array" ref="BK588">_xlfn.UNIQUE(MID(BB588,16,14))</f>
        <v>U012UBB01UH002</v>
      </c>
    </row>
    <row r="589" spans="1:63" x14ac:dyDescent="0.3">
      <c r="A589" s="29" t="s">
        <v>3726</v>
      </c>
      <c r="B589" s="36" t="str">
        <f t="shared" si="45"/>
        <v>K01CSY01UH001-FC27</v>
      </c>
      <c r="C589" s="33" t="s">
        <v>3758</v>
      </c>
      <c r="D589" s="34" t="str">
        <f t="shared" si="46"/>
        <v>CTRL PLNT CAB1 230VAC7 CB ON/OPN</v>
      </c>
      <c r="E589" s="31">
        <f t="shared" si="47"/>
        <v>32</v>
      </c>
      <c r="F589" s="32" t="str">
        <f t="shared" si="48"/>
        <v>PLANT CONTROL SYSTEM PLANT CONTROL SYSTEM 1 PLANT CONTROL SYSTEM PLANT CONTROL SYSTEM AUTOMATION CABINET AUTOMATION CABINET 230VAC DISTRIBUTION CHECK BACK ON/OPEN</v>
      </c>
      <c r="G589" s="29" t="s">
        <v>3702</v>
      </c>
      <c r="H589" s="29" t="s">
        <v>3703</v>
      </c>
      <c r="I589" s="29" t="str">
        <f t="shared" si="49"/>
        <v>01</v>
      </c>
      <c r="J589" s="29" t="s">
        <v>3704</v>
      </c>
      <c r="K589" s="29" t="s">
        <v>3728</v>
      </c>
      <c r="L589" s="29" t="s">
        <v>3703</v>
      </c>
      <c r="M589" s="29" t="s">
        <v>1619</v>
      </c>
      <c r="N589" s="29" t="s">
        <v>3703</v>
      </c>
      <c r="O589" s="29" t="s">
        <v>3707</v>
      </c>
      <c r="P589" s="29" t="s">
        <v>3708</v>
      </c>
      <c r="Q589" s="29" t="s">
        <v>1623</v>
      </c>
      <c r="R589" s="29" t="s">
        <v>3708</v>
      </c>
      <c r="S589" s="29" t="s">
        <v>2794</v>
      </c>
      <c r="T589" s="29" t="s">
        <v>2770</v>
      </c>
      <c r="U589" s="29" t="s">
        <v>790</v>
      </c>
      <c r="V589" s="29" t="s">
        <v>2639</v>
      </c>
      <c r="W589" s="35" t="s">
        <v>3709</v>
      </c>
      <c r="X589" s="35" t="s">
        <v>3729</v>
      </c>
      <c r="Y589" s="35" t="s">
        <v>3711</v>
      </c>
      <c r="Z589" s="35" t="s">
        <v>2795</v>
      </c>
      <c r="AA589" s="35" t="s">
        <v>2641</v>
      </c>
      <c r="AB589" s="29" t="s">
        <v>2766</v>
      </c>
      <c r="AC589" s="35" t="s">
        <v>1633</v>
      </c>
      <c r="AD589" s="35" t="s">
        <v>1634</v>
      </c>
      <c r="AE589" s="35" t="s">
        <v>1634</v>
      </c>
      <c r="AF589" s="35" t="s">
        <v>1635</v>
      </c>
      <c r="AG589" s="35" t="s">
        <v>2634</v>
      </c>
      <c r="AI589" s="35"/>
      <c r="AJ589" s="35" t="s">
        <v>1637</v>
      </c>
      <c r="AK589" s="35" t="s">
        <v>1672</v>
      </c>
      <c r="AL589" s="29" t="s">
        <v>1803</v>
      </c>
      <c r="AM589" s="35"/>
      <c r="AN589" s="35"/>
      <c r="AO589" s="35"/>
      <c r="AP589" s="35"/>
      <c r="AQ589" s="35"/>
      <c r="AS589" s="35"/>
      <c r="AU589" s="35"/>
      <c r="AW589" s="35"/>
      <c r="AY589" s="35"/>
      <c r="AZ589" s="35"/>
      <c r="BA589" s="35"/>
      <c r="BB589" s="29" t="s">
        <v>3730</v>
      </c>
      <c r="BC589" s="29" t="s">
        <v>2347</v>
      </c>
      <c r="BD589" s="29" t="s">
        <v>2739</v>
      </c>
      <c r="BE589" s="29" t="s">
        <v>1805</v>
      </c>
      <c r="BF589" s="29" t="s">
        <v>2016</v>
      </c>
      <c r="BG589" s="29" t="s">
        <v>3759</v>
      </c>
      <c r="BI589" s="35"/>
      <c r="BJ589" s="35"/>
      <c r="BK589" s="29" t="str" cm="1">
        <f t="array" ref="BK589">_xlfn.UNIQUE(MID(BB589,16,14))</f>
        <v>U012UBB01UH002</v>
      </c>
    </row>
    <row r="590" spans="1:63" x14ac:dyDescent="0.3">
      <c r="A590" s="29" t="s">
        <v>3726</v>
      </c>
      <c r="B590" s="36" t="str">
        <f t="shared" si="45"/>
        <v>K01CSY01UH001-FC28</v>
      </c>
      <c r="C590" s="33" t="s">
        <v>3760</v>
      </c>
      <c r="D590" s="34" t="str">
        <f t="shared" si="46"/>
        <v>CTRL PLNT CAB1 230VAC8 CB ON/OPN</v>
      </c>
      <c r="E590" s="31">
        <f t="shared" si="47"/>
        <v>32</v>
      </c>
      <c r="F590" s="32" t="str">
        <f t="shared" si="48"/>
        <v>PLANT CONTROL SYSTEM PLANT CONTROL SYSTEM 1 PLANT CONTROL SYSTEM PLANT CONTROL SYSTEM AUTOMATION CABINET AUTOMATION CABINET 230VAC DISTRIBUTION CHECK BACK ON/OPEN</v>
      </c>
      <c r="G590" s="29" t="s">
        <v>3702</v>
      </c>
      <c r="H590" s="29" t="s">
        <v>3703</v>
      </c>
      <c r="I590" s="29" t="str">
        <f t="shared" si="49"/>
        <v>01</v>
      </c>
      <c r="J590" s="29" t="s">
        <v>3704</v>
      </c>
      <c r="K590" s="29" t="s">
        <v>3728</v>
      </c>
      <c r="L590" s="29" t="s">
        <v>3703</v>
      </c>
      <c r="M590" s="29" t="s">
        <v>1619</v>
      </c>
      <c r="N590" s="29" t="s">
        <v>3703</v>
      </c>
      <c r="O590" s="29" t="s">
        <v>3707</v>
      </c>
      <c r="P590" s="29" t="s">
        <v>3708</v>
      </c>
      <c r="Q590" s="29" t="s">
        <v>1623</v>
      </c>
      <c r="R590" s="29" t="s">
        <v>3708</v>
      </c>
      <c r="S590" s="29" t="s">
        <v>2798</v>
      </c>
      <c r="T590" s="29" t="s">
        <v>2770</v>
      </c>
      <c r="U590" s="29" t="s">
        <v>790</v>
      </c>
      <c r="V590" s="29" t="s">
        <v>2639</v>
      </c>
      <c r="W590" s="35" t="s">
        <v>3709</v>
      </c>
      <c r="X590" s="35" t="s">
        <v>3729</v>
      </c>
      <c r="Y590" s="35" t="s">
        <v>3711</v>
      </c>
      <c r="Z590" s="35" t="s">
        <v>2799</v>
      </c>
      <c r="AA590" s="35" t="s">
        <v>2641</v>
      </c>
      <c r="AB590" s="29" t="s">
        <v>2766</v>
      </c>
      <c r="AC590" s="35" t="s">
        <v>1633</v>
      </c>
      <c r="AD590" s="35" t="s">
        <v>1634</v>
      </c>
      <c r="AE590" s="35" t="s">
        <v>1634</v>
      </c>
      <c r="AF590" s="35" t="s">
        <v>1635</v>
      </c>
      <c r="AG590" s="35" t="s">
        <v>2634</v>
      </c>
      <c r="AI590" s="35"/>
      <c r="AJ590" s="35" t="s">
        <v>1637</v>
      </c>
      <c r="AK590" s="35" t="s">
        <v>1672</v>
      </c>
      <c r="AL590" s="29" t="s">
        <v>1803</v>
      </c>
      <c r="AM590" s="35"/>
      <c r="AN590" s="35"/>
      <c r="AO590" s="35"/>
      <c r="AP590" s="35"/>
      <c r="AQ590" s="35"/>
      <c r="AS590" s="35"/>
      <c r="AU590" s="35"/>
      <c r="AW590" s="35"/>
      <c r="AY590" s="35"/>
      <c r="AZ590" s="35"/>
      <c r="BA590" s="35"/>
      <c r="BB590" s="29" t="s">
        <v>3730</v>
      </c>
      <c r="BC590" s="29" t="s">
        <v>2347</v>
      </c>
      <c r="BD590" s="29" t="s">
        <v>2739</v>
      </c>
      <c r="BE590" s="29" t="s">
        <v>1805</v>
      </c>
      <c r="BF590" s="29" t="s">
        <v>2341</v>
      </c>
      <c r="BG590" s="29" t="s">
        <v>3761</v>
      </c>
      <c r="BI590" s="35"/>
      <c r="BJ590" s="35"/>
      <c r="BK590" s="29" t="str" cm="1">
        <f t="array" ref="BK590">_xlfn.UNIQUE(MID(BB590,16,14))</f>
        <v>U012UBB01UH002</v>
      </c>
    </row>
    <row r="591" spans="1:63" x14ac:dyDescent="0.3">
      <c r="A591" s="29" t="s">
        <v>3726</v>
      </c>
      <c r="B591" s="36" t="str">
        <f t="shared" si="45"/>
        <v>K01CSY01UH001-FC29</v>
      </c>
      <c r="C591" s="33" t="s">
        <v>3762</v>
      </c>
      <c r="D591" s="34" t="str">
        <f t="shared" si="46"/>
        <v>CTRL PLNT CAB1 230VAC9 CB ON/OPN</v>
      </c>
      <c r="E591" s="31">
        <f t="shared" si="47"/>
        <v>32</v>
      </c>
      <c r="F591" s="32" t="str">
        <f t="shared" si="48"/>
        <v>PLANT CONTROL SYSTEM PLANT CONTROL SYSTEM 1 PLANT CONTROL SYSTEM PLANT CONTROL SYSTEM AUTOMATION CABINET AUTOMATION CABINET 230VAC DISTRIBUTION CHECK BACK ON/OPEN</v>
      </c>
      <c r="G591" s="29" t="s">
        <v>3702</v>
      </c>
      <c r="H591" s="29" t="s">
        <v>3703</v>
      </c>
      <c r="I591" s="29" t="str">
        <f t="shared" si="49"/>
        <v>01</v>
      </c>
      <c r="J591" s="29" t="s">
        <v>3704</v>
      </c>
      <c r="K591" s="29" t="s">
        <v>3728</v>
      </c>
      <c r="L591" s="29" t="s">
        <v>3703</v>
      </c>
      <c r="M591" s="29" t="s">
        <v>1619</v>
      </c>
      <c r="N591" s="29" t="s">
        <v>3703</v>
      </c>
      <c r="O591" s="29" t="s">
        <v>3707</v>
      </c>
      <c r="P591" s="29" t="s">
        <v>3708</v>
      </c>
      <c r="Q591" s="29" t="s">
        <v>1623</v>
      </c>
      <c r="R591" s="29" t="s">
        <v>3708</v>
      </c>
      <c r="S591" s="29" t="s">
        <v>2802</v>
      </c>
      <c r="T591" s="29" t="s">
        <v>2770</v>
      </c>
      <c r="U591" s="29" t="s">
        <v>790</v>
      </c>
      <c r="V591" s="29" t="s">
        <v>2639</v>
      </c>
      <c r="W591" s="35" t="s">
        <v>3709</v>
      </c>
      <c r="X591" s="35" t="s">
        <v>3729</v>
      </c>
      <c r="Y591" s="35" t="s">
        <v>3711</v>
      </c>
      <c r="Z591" s="35" t="s">
        <v>2803</v>
      </c>
      <c r="AA591" s="35" t="s">
        <v>2641</v>
      </c>
      <c r="AB591" s="29" t="s">
        <v>2766</v>
      </c>
      <c r="AC591" s="35" t="s">
        <v>1633</v>
      </c>
      <c r="AD591" s="35" t="s">
        <v>1634</v>
      </c>
      <c r="AE591" s="35" t="s">
        <v>1634</v>
      </c>
      <c r="AF591" s="35" t="s">
        <v>1635</v>
      </c>
      <c r="AG591" s="35" t="s">
        <v>2634</v>
      </c>
      <c r="AI591" s="35"/>
      <c r="AJ591" s="35" t="s">
        <v>1637</v>
      </c>
      <c r="AK591" s="35" t="s">
        <v>1672</v>
      </c>
      <c r="AL591" s="29" t="s">
        <v>1803</v>
      </c>
      <c r="AM591" s="35"/>
      <c r="AN591" s="35"/>
      <c r="AO591" s="35"/>
      <c r="AP591" s="35"/>
      <c r="AQ591" s="35"/>
      <c r="AS591" s="35"/>
      <c r="AU591" s="35"/>
      <c r="AW591" s="35"/>
      <c r="AY591" s="35"/>
      <c r="AZ591" s="35"/>
      <c r="BA591" s="35"/>
      <c r="BB591" s="29" t="s">
        <v>3730</v>
      </c>
      <c r="BC591" s="29" t="s">
        <v>2347</v>
      </c>
      <c r="BD591" s="29" t="s">
        <v>2739</v>
      </c>
      <c r="BE591" s="29" t="s">
        <v>1805</v>
      </c>
      <c r="BF591" s="29" t="s">
        <v>2388</v>
      </c>
      <c r="BG591" s="29" t="s">
        <v>3763</v>
      </c>
      <c r="BI591" s="35"/>
      <c r="BJ591" s="35"/>
      <c r="BK591" s="29" t="str" cm="1">
        <f t="array" ref="BK591">_xlfn.UNIQUE(MID(BB591,16,14))</f>
        <v>U012UBB01UH002</v>
      </c>
    </row>
    <row r="592" spans="1:63" x14ac:dyDescent="0.3">
      <c r="A592" s="29" t="s">
        <v>3726</v>
      </c>
      <c r="B592" s="36" t="str">
        <f t="shared" si="45"/>
        <v>K01CSY01UH001-FC30</v>
      </c>
      <c r="C592" s="33" t="s">
        <v>3764</v>
      </c>
      <c r="D592" s="34" t="str">
        <f t="shared" si="46"/>
        <v>CTRL PLNT CAB1 230VAC10 CB ON/OPN</v>
      </c>
      <c r="E592" s="31">
        <f t="shared" si="47"/>
        <v>33</v>
      </c>
      <c r="F592" s="32" t="str">
        <f t="shared" si="48"/>
        <v>PLANT CONTROL SYSTEM PLANT CONTROL SYSTEM 1 PLANT CONTROL SYSTEM PLANT CONTROL SYSTEM AUTOMATION CABINET AUTOMATION CABINET 230VAC DISTRIBUTION CHECK BACK ON/OPEN</v>
      </c>
      <c r="G592" s="29" t="s">
        <v>3702</v>
      </c>
      <c r="H592" s="29" t="s">
        <v>3703</v>
      </c>
      <c r="I592" s="29" t="str">
        <f t="shared" si="49"/>
        <v>01</v>
      </c>
      <c r="J592" s="29" t="s">
        <v>3704</v>
      </c>
      <c r="K592" s="29" t="s">
        <v>3728</v>
      </c>
      <c r="L592" s="29" t="s">
        <v>3703</v>
      </c>
      <c r="M592" s="29" t="s">
        <v>1619</v>
      </c>
      <c r="N592" s="29" t="s">
        <v>3703</v>
      </c>
      <c r="O592" s="29" t="s">
        <v>3707</v>
      </c>
      <c r="P592" s="29" t="s">
        <v>3708</v>
      </c>
      <c r="Q592" s="29" t="s">
        <v>1623</v>
      </c>
      <c r="R592" s="29" t="s">
        <v>3708</v>
      </c>
      <c r="S592" s="29" t="s">
        <v>2806</v>
      </c>
      <c r="T592" s="29" t="s">
        <v>2770</v>
      </c>
      <c r="U592" s="29" t="s">
        <v>790</v>
      </c>
      <c r="V592" s="29" t="s">
        <v>2639</v>
      </c>
      <c r="W592" s="35" t="s">
        <v>3709</v>
      </c>
      <c r="X592" s="35" t="s">
        <v>3729</v>
      </c>
      <c r="Y592" s="35" t="s">
        <v>3711</v>
      </c>
      <c r="Z592" s="35" t="s">
        <v>2807</v>
      </c>
      <c r="AA592" s="35" t="s">
        <v>2641</v>
      </c>
      <c r="AB592" s="29" t="s">
        <v>2766</v>
      </c>
      <c r="AC592" s="35" t="s">
        <v>1633</v>
      </c>
      <c r="AD592" s="35" t="s">
        <v>1634</v>
      </c>
      <c r="AE592" s="35" t="s">
        <v>1634</v>
      </c>
      <c r="AF592" s="35" t="s">
        <v>1635</v>
      </c>
      <c r="AG592" s="35" t="s">
        <v>2634</v>
      </c>
      <c r="AI592" s="35"/>
      <c r="AJ592" s="35" t="s">
        <v>1637</v>
      </c>
      <c r="AK592" s="35" t="s">
        <v>1672</v>
      </c>
      <c r="AL592" s="29" t="s">
        <v>1803</v>
      </c>
      <c r="AM592" s="35"/>
      <c r="AN592" s="35"/>
      <c r="AO592" s="35"/>
      <c r="AP592" s="35"/>
      <c r="AQ592" s="35"/>
      <c r="AS592" s="35"/>
      <c r="AU592" s="35"/>
      <c r="AW592" s="35"/>
      <c r="AY592" s="35"/>
      <c r="AZ592" s="35"/>
      <c r="BA592" s="35"/>
      <c r="BB592" s="29" t="s">
        <v>3735</v>
      </c>
      <c r="BC592" s="29" t="s">
        <v>2347</v>
      </c>
      <c r="BD592" s="29" t="s">
        <v>2739</v>
      </c>
      <c r="BE592" s="29" t="s">
        <v>1805</v>
      </c>
      <c r="BF592" s="29" t="s">
        <v>1619</v>
      </c>
      <c r="BG592" s="29" t="s">
        <v>3765</v>
      </c>
      <c r="BI592" s="35"/>
      <c r="BJ592" s="35"/>
      <c r="BK592" s="29" t="str" cm="1">
        <f t="array" ref="BK592">_xlfn.UNIQUE(MID(BB592,16,14))</f>
        <v>U012UBB01UH002</v>
      </c>
    </row>
    <row r="593" spans="1:63" x14ac:dyDescent="0.3">
      <c r="A593" s="29" t="s">
        <v>3726</v>
      </c>
      <c r="B593" s="36" t="str">
        <f t="shared" si="45"/>
        <v>K01CSY01UH001-FC31</v>
      </c>
      <c r="C593" s="33" t="s">
        <v>3766</v>
      </c>
      <c r="D593" s="34" t="str">
        <f t="shared" si="46"/>
        <v>CTRL PLNT CAB1 230VAC11 CB ON/OPN</v>
      </c>
      <c r="E593" s="31">
        <f t="shared" si="47"/>
        <v>33</v>
      </c>
      <c r="F593" s="32" t="str">
        <f t="shared" si="48"/>
        <v>PLANT CONTROL SYSTEM PLANT CONTROL SYSTEM 1 PLANT CONTROL SYSTEM PLANT CONTROL SYSTEM AUTOMATION CABINET AUTOMATION CABINET 230VAC DISTRIBUTION CHECK BACK ON/OPEN</v>
      </c>
      <c r="G593" s="29" t="s">
        <v>3702</v>
      </c>
      <c r="H593" s="29" t="s">
        <v>3703</v>
      </c>
      <c r="I593" s="29" t="str">
        <f t="shared" si="49"/>
        <v>01</v>
      </c>
      <c r="J593" s="29" t="s">
        <v>3704</v>
      </c>
      <c r="K593" s="29" t="s">
        <v>3728</v>
      </c>
      <c r="L593" s="29" t="s">
        <v>3703</v>
      </c>
      <c r="M593" s="29" t="s">
        <v>1619</v>
      </c>
      <c r="N593" s="29" t="s">
        <v>3703</v>
      </c>
      <c r="O593" s="29" t="s">
        <v>3707</v>
      </c>
      <c r="P593" s="29" t="s">
        <v>3708</v>
      </c>
      <c r="Q593" s="29" t="s">
        <v>1623</v>
      </c>
      <c r="R593" s="29" t="s">
        <v>3708</v>
      </c>
      <c r="S593" s="29" t="s">
        <v>2810</v>
      </c>
      <c r="T593" s="29" t="s">
        <v>2770</v>
      </c>
      <c r="U593" s="29" t="s">
        <v>790</v>
      </c>
      <c r="V593" s="29" t="s">
        <v>2639</v>
      </c>
      <c r="W593" s="35" t="s">
        <v>3709</v>
      </c>
      <c r="X593" s="35" t="s">
        <v>3729</v>
      </c>
      <c r="Y593" s="35" t="s">
        <v>3711</v>
      </c>
      <c r="Z593" s="35" t="s">
        <v>2811</v>
      </c>
      <c r="AA593" s="35" t="s">
        <v>2641</v>
      </c>
      <c r="AB593" s="29" t="s">
        <v>2766</v>
      </c>
      <c r="AC593" s="35" t="s">
        <v>1633</v>
      </c>
      <c r="AD593" s="35" t="s">
        <v>1634</v>
      </c>
      <c r="AE593" s="35" t="s">
        <v>1634</v>
      </c>
      <c r="AF593" s="35" t="s">
        <v>1635</v>
      </c>
      <c r="AG593" s="35" t="s">
        <v>2634</v>
      </c>
      <c r="AI593" s="35"/>
      <c r="AJ593" s="35" t="s">
        <v>1637</v>
      </c>
      <c r="AK593" s="35" t="s">
        <v>1672</v>
      </c>
      <c r="AL593" s="29" t="s">
        <v>1803</v>
      </c>
      <c r="AM593" s="35"/>
      <c r="AN593" s="35"/>
      <c r="AO593" s="35"/>
      <c r="AP593" s="35"/>
      <c r="AQ593" s="35"/>
      <c r="AS593" s="35"/>
      <c r="AU593" s="35"/>
      <c r="AW593" s="35"/>
      <c r="AY593" s="35"/>
      <c r="AZ593" s="35"/>
      <c r="BA593" s="35"/>
      <c r="BB593" s="29" t="s">
        <v>3735</v>
      </c>
      <c r="BC593" s="29" t="s">
        <v>2347</v>
      </c>
      <c r="BD593" s="29" t="s">
        <v>2739</v>
      </c>
      <c r="BE593" s="29" t="s">
        <v>1805</v>
      </c>
      <c r="BF593" s="29" t="s">
        <v>1905</v>
      </c>
      <c r="BG593" s="29" t="s">
        <v>3767</v>
      </c>
      <c r="BI593" s="35"/>
      <c r="BJ593" s="35"/>
      <c r="BK593" s="29" t="str" cm="1">
        <f t="array" ref="BK593">_xlfn.UNIQUE(MID(BB593,16,14))</f>
        <v>U012UBB01UH002</v>
      </c>
    </row>
    <row r="594" spans="1:63" x14ac:dyDescent="0.3">
      <c r="A594" s="29" t="s">
        <v>3726</v>
      </c>
      <c r="B594" s="36" t="str">
        <f t="shared" si="45"/>
        <v>K01CSY01UH001-FC32</v>
      </c>
      <c r="C594" s="33" t="s">
        <v>3768</v>
      </c>
      <c r="D594" s="34" t="str">
        <f t="shared" si="46"/>
        <v>CTRL PLNT CAB1 230VAC12 CB ON/OPN</v>
      </c>
      <c r="E594" s="31">
        <f t="shared" si="47"/>
        <v>33</v>
      </c>
      <c r="F594" s="32" t="str">
        <f t="shared" si="48"/>
        <v>PLANT CONTROL SYSTEM PLANT CONTROL SYSTEM 1 PLANT CONTROL SYSTEM PLANT CONTROL SYSTEM AUTOMATION CABINET AUTOMATION CABINET 230VAC DISTRIBUTION CHECK BACK ON/OPEN</v>
      </c>
      <c r="G594" s="29" t="s">
        <v>3702</v>
      </c>
      <c r="H594" s="29" t="s">
        <v>3703</v>
      </c>
      <c r="I594" s="29" t="str">
        <f t="shared" si="49"/>
        <v>01</v>
      </c>
      <c r="J594" s="29" t="s">
        <v>3704</v>
      </c>
      <c r="K594" s="29" t="s">
        <v>3728</v>
      </c>
      <c r="L594" s="29" t="s">
        <v>3703</v>
      </c>
      <c r="M594" s="29" t="s">
        <v>1619</v>
      </c>
      <c r="N594" s="29" t="s">
        <v>3703</v>
      </c>
      <c r="O594" s="29" t="s">
        <v>3707</v>
      </c>
      <c r="P594" s="29" t="s">
        <v>3708</v>
      </c>
      <c r="Q594" s="29" t="s">
        <v>1623</v>
      </c>
      <c r="R594" s="29" t="s">
        <v>3708</v>
      </c>
      <c r="S594" s="29" t="s">
        <v>3769</v>
      </c>
      <c r="T594" s="29" t="s">
        <v>2770</v>
      </c>
      <c r="U594" s="29" t="s">
        <v>790</v>
      </c>
      <c r="V594" s="29" t="s">
        <v>2639</v>
      </c>
      <c r="W594" s="35" t="s">
        <v>3709</v>
      </c>
      <c r="X594" s="35" t="s">
        <v>3729</v>
      </c>
      <c r="Y594" s="35" t="s">
        <v>3711</v>
      </c>
      <c r="Z594" s="35" t="s">
        <v>3770</v>
      </c>
      <c r="AA594" s="35" t="s">
        <v>2641</v>
      </c>
      <c r="AB594" s="29" t="s">
        <v>2766</v>
      </c>
      <c r="AC594" s="35" t="s">
        <v>1633</v>
      </c>
      <c r="AD594" s="35" t="s">
        <v>1634</v>
      </c>
      <c r="AE594" s="35" t="s">
        <v>1634</v>
      </c>
      <c r="AF594" s="35" t="s">
        <v>1635</v>
      </c>
      <c r="AG594" s="35" t="s">
        <v>2634</v>
      </c>
      <c r="AI594" s="35"/>
      <c r="AJ594" s="35" t="s">
        <v>1637</v>
      </c>
      <c r="AK594" s="35" t="s">
        <v>1672</v>
      </c>
      <c r="AL594" s="29" t="s">
        <v>1803</v>
      </c>
      <c r="AM594" s="35"/>
      <c r="AN594" s="35"/>
      <c r="AO594" s="35"/>
      <c r="AP594" s="35"/>
      <c r="AQ594" s="35"/>
      <c r="AS594" s="35"/>
      <c r="AU594" s="35"/>
      <c r="AW594" s="35"/>
      <c r="AY594" s="35"/>
      <c r="AZ594" s="35"/>
      <c r="BA594" s="35"/>
      <c r="BB594" s="29" t="s">
        <v>3735</v>
      </c>
      <c r="BC594" s="29" t="s">
        <v>2347</v>
      </c>
      <c r="BD594" s="29" t="s">
        <v>2739</v>
      </c>
      <c r="BE594" s="29" t="s">
        <v>1805</v>
      </c>
      <c r="BF594" s="29" t="s">
        <v>1909</v>
      </c>
      <c r="BG594" s="29" t="s">
        <v>3771</v>
      </c>
      <c r="BI594" s="35"/>
      <c r="BJ594" s="35"/>
      <c r="BK594" s="29" t="str" cm="1">
        <f t="array" ref="BK594">_xlfn.UNIQUE(MID(BB594,16,14))</f>
        <v>U012UBB01UH002</v>
      </c>
    </row>
    <row r="595" spans="1:63" x14ac:dyDescent="0.3">
      <c r="A595" s="29" t="s">
        <v>3726</v>
      </c>
      <c r="B595" s="36" t="str">
        <f t="shared" si="45"/>
        <v>K01CSY01UH001-FC33</v>
      </c>
      <c r="C595" s="33" t="s">
        <v>3772</v>
      </c>
      <c r="D595" s="34" t="str">
        <f t="shared" si="46"/>
        <v>CTRL PLNT CAB1 230VAC13 CB ON/OPN</v>
      </c>
      <c r="E595" s="31">
        <f t="shared" si="47"/>
        <v>33</v>
      </c>
      <c r="F595" s="32" t="str">
        <f t="shared" si="48"/>
        <v>PLANT CONTROL SYSTEM PLANT CONTROL SYSTEM 1 PLANT CONTROL SYSTEM PLANT CONTROL SYSTEM AUTOMATION CABINET AUTOMATION CABINET 230VAC DISTRIBUTION CHECK BACK ON/OPEN</v>
      </c>
      <c r="G595" s="29" t="s">
        <v>3702</v>
      </c>
      <c r="H595" s="29" t="s">
        <v>3703</v>
      </c>
      <c r="I595" s="29" t="str">
        <f t="shared" si="49"/>
        <v>01</v>
      </c>
      <c r="J595" s="29" t="s">
        <v>3704</v>
      </c>
      <c r="K595" s="29" t="s">
        <v>3728</v>
      </c>
      <c r="L595" s="29" t="s">
        <v>3703</v>
      </c>
      <c r="M595" s="29" t="s">
        <v>1619</v>
      </c>
      <c r="N595" s="29" t="s">
        <v>3703</v>
      </c>
      <c r="O595" s="29" t="s">
        <v>3707</v>
      </c>
      <c r="P595" s="29" t="s">
        <v>3708</v>
      </c>
      <c r="Q595" s="29" t="s">
        <v>1623</v>
      </c>
      <c r="R595" s="29" t="s">
        <v>3708</v>
      </c>
      <c r="S595" s="29" t="s">
        <v>3773</v>
      </c>
      <c r="T595" s="29" t="s">
        <v>2770</v>
      </c>
      <c r="U595" s="29" t="s">
        <v>790</v>
      </c>
      <c r="V595" s="29" t="s">
        <v>2639</v>
      </c>
      <c r="W595" s="35" t="s">
        <v>3709</v>
      </c>
      <c r="X595" s="35" t="s">
        <v>3729</v>
      </c>
      <c r="Y595" s="35" t="s">
        <v>3711</v>
      </c>
      <c r="Z595" s="35" t="s">
        <v>3774</v>
      </c>
      <c r="AA595" s="35" t="s">
        <v>2641</v>
      </c>
      <c r="AB595" s="29" t="s">
        <v>2766</v>
      </c>
      <c r="AC595" s="35" t="s">
        <v>1633</v>
      </c>
      <c r="AD595" s="35" t="s">
        <v>1634</v>
      </c>
      <c r="AE595" s="35" t="s">
        <v>1634</v>
      </c>
      <c r="AF595" s="35" t="s">
        <v>1635</v>
      </c>
      <c r="AG595" s="35" t="s">
        <v>2634</v>
      </c>
      <c r="AI595" s="35"/>
      <c r="AJ595" s="35" t="s">
        <v>1637</v>
      </c>
      <c r="AK595" s="35" t="s">
        <v>1672</v>
      </c>
      <c r="AL595" s="29" t="s">
        <v>1803</v>
      </c>
      <c r="AM595" s="35"/>
      <c r="AN595" s="35"/>
      <c r="AO595" s="35"/>
      <c r="AP595" s="35"/>
      <c r="AQ595" s="35"/>
      <c r="AS595" s="35"/>
      <c r="AU595" s="35"/>
      <c r="AW595" s="35"/>
      <c r="AY595" s="35"/>
      <c r="AZ595" s="35"/>
      <c r="BA595" s="35"/>
      <c r="BB595" s="29" t="s">
        <v>3735</v>
      </c>
      <c r="BC595" s="29" t="s">
        <v>2347</v>
      </c>
      <c r="BD595" s="29" t="s">
        <v>2739</v>
      </c>
      <c r="BE595" s="29" t="s">
        <v>1805</v>
      </c>
      <c r="BF595" s="29" t="s">
        <v>1915</v>
      </c>
      <c r="BG595" s="29" t="s">
        <v>3775</v>
      </c>
      <c r="BI595" s="35"/>
      <c r="BJ595" s="35"/>
      <c r="BK595" s="29" t="str" cm="1">
        <f t="array" ref="BK595">_xlfn.UNIQUE(MID(BB595,16,14))</f>
        <v>U012UBB01UH002</v>
      </c>
    </row>
    <row r="596" spans="1:63" x14ac:dyDescent="0.3">
      <c r="A596" s="29" t="s">
        <v>3726</v>
      </c>
      <c r="B596" s="36" t="str">
        <f t="shared" si="45"/>
        <v>K01CSY01UH001-FC34</v>
      </c>
      <c r="C596" s="33" t="s">
        <v>3776</v>
      </c>
      <c r="D596" s="34" t="str">
        <f t="shared" si="46"/>
        <v>CTRL PLNT CAB1 230VAC14 CB ON/OPN</v>
      </c>
      <c r="E596" s="31">
        <f t="shared" si="47"/>
        <v>33</v>
      </c>
      <c r="F596" s="32" t="str">
        <f t="shared" si="48"/>
        <v>PLANT CONTROL SYSTEM PLANT CONTROL SYSTEM 1 PLANT CONTROL SYSTEM PLANT CONTROL SYSTEM AUTOMATION CABINET AUTOMATION CABINET 230VAC DISTRIBUTION CHECK BACK ON/OPEN</v>
      </c>
      <c r="G596" s="29" t="s">
        <v>3702</v>
      </c>
      <c r="H596" s="29" t="s">
        <v>3703</v>
      </c>
      <c r="I596" s="29" t="str">
        <f t="shared" si="49"/>
        <v>01</v>
      </c>
      <c r="J596" s="29" t="s">
        <v>3704</v>
      </c>
      <c r="K596" s="29" t="s">
        <v>3728</v>
      </c>
      <c r="L596" s="29" t="s">
        <v>3703</v>
      </c>
      <c r="M596" s="29" t="s">
        <v>1619</v>
      </c>
      <c r="N596" s="29" t="s">
        <v>3703</v>
      </c>
      <c r="O596" s="29" t="s">
        <v>3707</v>
      </c>
      <c r="P596" s="29" t="s">
        <v>3708</v>
      </c>
      <c r="Q596" s="29" t="s">
        <v>1623</v>
      </c>
      <c r="R596" s="29" t="s">
        <v>3708</v>
      </c>
      <c r="S596" s="29" t="s">
        <v>3777</v>
      </c>
      <c r="T596" s="29" t="s">
        <v>2770</v>
      </c>
      <c r="U596" s="29" t="s">
        <v>790</v>
      </c>
      <c r="V596" s="29" t="s">
        <v>2639</v>
      </c>
      <c r="W596" s="35" t="s">
        <v>3709</v>
      </c>
      <c r="X596" s="35" t="s">
        <v>3729</v>
      </c>
      <c r="Y596" s="35" t="s">
        <v>3711</v>
      </c>
      <c r="Z596" s="35" t="s">
        <v>3778</v>
      </c>
      <c r="AA596" s="35" t="s">
        <v>2641</v>
      </c>
      <c r="AB596" s="29" t="s">
        <v>2766</v>
      </c>
      <c r="AC596" s="35" t="s">
        <v>1633</v>
      </c>
      <c r="AD596" s="35" t="s">
        <v>1634</v>
      </c>
      <c r="AE596" s="35" t="s">
        <v>1634</v>
      </c>
      <c r="AF596" s="35" t="s">
        <v>1635</v>
      </c>
      <c r="AG596" s="35" t="s">
        <v>2634</v>
      </c>
      <c r="AI596" s="35"/>
      <c r="AJ596" s="35" t="s">
        <v>1637</v>
      </c>
      <c r="AK596" s="35" t="s">
        <v>1672</v>
      </c>
      <c r="AL596" s="29" t="s">
        <v>1803</v>
      </c>
      <c r="AM596" s="35"/>
      <c r="AN596" s="35"/>
      <c r="AO596" s="35"/>
      <c r="AP596" s="35"/>
      <c r="AQ596" s="35"/>
      <c r="AS596" s="35"/>
      <c r="AU596" s="35"/>
      <c r="AW596" s="35"/>
      <c r="AY596" s="35"/>
      <c r="AZ596" s="35"/>
      <c r="BA596" s="35"/>
      <c r="BB596" s="29" t="s">
        <v>3735</v>
      </c>
      <c r="BC596" s="29" t="s">
        <v>2347</v>
      </c>
      <c r="BD596" s="29" t="s">
        <v>2739</v>
      </c>
      <c r="BE596" s="29" t="s">
        <v>1805</v>
      </c>
      <c r="BF596" s="29" t="s">
        <v>1919</v>
      </c>
      <c r="BG596" s="29" t="s">
        <v>3779</v>
      </c>
      <c r="BI596" s="35"/>
      <c r="BJ596" s="35"/>
      <c r="BK596" s="29" t="str" cm="1">
        <f t="array" ref="BK596">_xlfn.UNIQUE(MID(BB596,16,14))</f>
        <v>U012UBB01UH002</v>
      </c>
    </row>
    <row r="597" spans="1:63" x14ac:dyDescent="0.3">
      <c r="A597" s="29" t="s">
        <v>3726</v>
      </c>
      <c r="B597" s="36" t="str">
        <f t="shared" si="45"/>
        <v>K01CSY01UH001-FC35</v>
      </c>
      <c r="C597" s="33" t="s">
        <v>3780</v>
      </c>
      <c r="D597" s="34" t="str">
        <f t="shared" si="46"/>
        <v>CTRL PLNT CAB1 230VAC15 CB ON/OPN</v>
      </c>
      <c r="E597" s="31">
        <f t="shared" si="47"/>
        <v>33</v>
      </c>
      <c r="F597" s="32" t="str">
        <f t="shared" si="48"/>
        <v>PLANT CONTROL SYSTEM PLANT CONTROL SYSTEM 1 PLANT CONTROL SYSTEM PLANT CONTROL SYSTEM AUTOMATION CABINET AUTOMATION CABINET 230VAC DISTRIBUTION CHECK BACK ON/OPEN</v>
      </c>
      <c r="G597" s="29" t="s">
        <v>3702</v>
      </c>
      <c r="H597" s="29" t="s">
        <v>3703</v>
      </c>
      <c r="I597" s="29" t="str">
        <f t="shared" si="49"/>
        <v>01</v>
      </c>
      <c r="J597" s="29" t="s">
        <v>3704</v>
      </c>
      <c r="K597" s="29" t="s">
        <v>3728</v>
      </c>
      <c r="L597" s="29" t="s">
        <v>3703</v>
      </c>
      <c r="M597" s="29" t="s">
        <v>1619</v>
      </c>
      <c r="N597" s="29" t="s">
        <v>3703</v>
      </c>
      <c r="O597" s="29" t="s">
        <v>3707</v>
      </c>
      <c r="P597" s="29" t="s">
        <v>3708</v>
      </c>
      <c r="Q597" s="29" t="s">
        <v>1623</v>
      </c>
      <c r="R597" s="29" t="s">
        <v>3708</v>
      </c>
      <c r="S597" s="29" t="s">
        <v>3781</v>
      </c>
      <c r="T597" s="29" t="s">
        <v>2770</v>
      </c>
      <c r="U597" s="29" t="s">
        <v>790</v>
      </c>
      <c r="V597" s="29" t="s">
        <v>2639</v>
      </c>
      <c r="W597" s="35" t="s">
        <v>3709</v>
      </c>
      <c r="X597" s="35" t="s">
        <v>3729</v>
      </c>
      <c r="Y597" s="35" t="s">
        <v>3711</v>
      </c>
      <c r="Z597" s="35" t="s">
        <v>3782</v>
      </c>
      <c r="AA597" s="35" t="s">
        <v>2641</v>
      </c>
      <c r="AB597" s="29" t="s">
        <v>2766</v>
      </c>
      <c r="AC597" s="35" t="s">
        <v>1633</v>
      </c>
      <c r="AD597" s="35" t="s">
        <v>1634</v>
      </c>
      <c r="AE597" s="35" t="s">
        <v>1634</v>
      </c>
      <c r="AF597" s="35" t="s">
        <v>1635</v>
      </c>
      <c r="AG597" s="35" t="s">
        <v>2634</v>
      </c>
      <c r="AI597" s="35"/>
      <c r="AJ597" s="35" t="s">
        <v>1637</v>
      </c>
      <c r="AK597" s="35" t="s">
        <v>1672</v>
      </c>
      <c r="AL597" s="29" t="s">
        <v>1803</v>
      </c>
      <c r="AM597" s="35"/>
      <c r="AN597" s="35"/>
      <c r="AO597" s="35"/>
      <c r="AP597" s="35"/>
      <c r="AQ597" s="35"/>
      <c r="AS597" s="35"/>
      <c r="AU597" s="35"/>
      <c r="AW597" s="35"/>
      <c r="AY597" s="35"/>
      <c r="AZ597" s="35"/>
      <c r="BA597" s="35"/>
      <c r="BB597" s="29" t="s">
        <v>3735</v>
      </c>
      <c r="BC597" s="29" t="s">
        <v>2347</v>
      </c>
      <c r="BD597" s="29" t="s">
        <v>2739</v>
      </c>
      <c r="BE597" s="29" t="s">
        <v>1805</v>
      </c>
      <c r="BF597" s="29" t="s">
        <v>1922</v>
      </c>
      <c r="BG597" s="29" t="s">
        <v>3783</v>
      </c>
      <c r="BI597" s="35"/>
      <c r="BJ597" s="35"/>
      <c r="BK597" s="29" t="str" cm="1">
        <f t="array" ref="BK597">_xlfn.UNIQUE(MID(BB597,16,14))</f>
        <v>U012UBB01UH002</v>
      </c>
    </row>
    <row r="598" spans="1:63" x14ac:dyDescent="0.3">
      <c r="A598" s="29" t="s">
        <v>3726</v>
      </c>
      <c r="B598" s="36" t="str">
        <f t="shared" si="45"/>
        <v>K01CSY01UH001-FC36</v>
      </c>
      <c r="C598" s="33" t="s">
        <v>3784</v>
      </c>
      <c r="D598" s="34" t="str">
        <f t="shared" si="46"/>
        <v>CTRL PLNT CAB1 230VAC16 CB ON/OPN</v>
      </c>
      <c r="E598" s="31">
        <f t="shared" si="47"/>
        <v>33</v>
      </c>
      <c r="F598" s="32" t="str">
        <f t="shared" si="48"/>
        <v>PLANT CONTROL SYSTEM PLANT CONTROL SYSTEM 1 PLANT CONTROL SYSTEM PLANT CONTROL SYSTEM AUTOMATION CABINET AUTOMATION CABINET 230VAC DISTRIBUTION CHECK BACK ON/OPEN</v>
      </c>
      <c r="G598" s="29" t="s">
        <v>3702</v>
      </c>
      <c r="H598" s="29" t="s">
        <v>3703</v>
      </c>
      <c r="I598" s="29" t="str">
        <f t="shared" si="49"/>
        <v>01</v>
      </c>
      <c r="J598" s="29" t="s">
        <v>3704</v>
      </c>
      <c r="K598" s="29" t="s">
        <v>3728</v>
      </c>
      <c r="L598" s="29" t="s">
        <v>3703</v>
      </c>
      <c r="M598" s="29" t="s">
        <v>1619</v>
      </c>
      <c r="N598" s="29" t="s">
        <v>3703</v>
      </c>
      <c r="O598" s="29" t="s">
        <v>3707</v>
      </c>
      <c r="P598" s="29" t="s">
        <v>3708</v>
      </c>
      <c r="Q598" s="29" t="s">
        <v>1623</v>
      </c>
      <c r="R598" s="29" t="s">
        <v>3708</v>
      </c>
      <c r="S598" s="29" t="s">
        <v>3785</v>
      </c>
      <c r="T598" s="29" t="s">
        <v>2770</v>
      </c>
      <c r="U598" s="29" t="s">
        <v>790</v>
      </c>
      <c r="V598" s="29" t="s">
        <v>2639</v>
      </c>
      <c r="W598" s="35" t="s">
        <v>3709</v>
      </c>
      <c r="X598" s="35" t="s">
        <v>3729</v>
      </c>
      <c r="Y598" s="35" t="s">
        <v>3711</v>
      </c>
      <c r="Z598" s="35" t="s">
        <v>3786</v>
      </c>
      <c r="AA598" s="35" t="s">
        <v>2641</v>
      </c>
      <c r="AB598" s="29" t="s">
        <v>2766</v>
      </c>
      <c r="AC598" s="35" t="s">
        <v>1633</v>
      </c>
      <c r="AD598" s="35" t="s">
        <v>1634</v>
      </c>
      <c r="AE598" s="35" t="s">
        <v>1634</v>
      </c>
      <c r="AF598" s="35" t="s">
        <v>1635</v>
      </c>
      <c r="AG598" s="35" t="s">
        <v>2634</v>
      </c>
      <c r="AI598" s="35"/>
      <c r="AJ598" s="35" t="s">
        <v>1637</v>
      </c>
      <c r="AK598" s="35" t="s">
        <v>1672</v>
      </c>
      <c r="AL598" s="29" t="s">
        <v>1803</v>
      </c>
      <c r="AM598" s="35"/>
      <c r="AN598" s="35"/>
      <c r="AO598" s="35"/>
      <c r="AP598" s="35"/>
      <c r="AQ598" s="35"/>
      <c r="AS598" s="35"/>
      <c r="AU598" s="35"/>
      <c r="AW598" s="35"/>
      <c r="AY598" s="35"/>
      <c r="AZ598" s="35"/>
      <c r="BA598" s="35"/>
      <c r="BB598" s="29" t="s">
        <v>3735</v>
      </c>
      <c r="BC598" s="29" t="s">
        <v>2347</v>
      </c>
      <c r="BD598" s="29" t="s">
        <v>2739</v>
      </c>
      <c r="BE598" s="29" t="s">
        <v>1805</v>
      </c>
      <c r="BF598" s="29" t="s">
        <v>1931</v>
      </c>
      <c r="BG598" s="29" t="s">
        <v>3787</v>
      </c>
      <c r="BI598" s="35"/>
      <c r="BJ598" s="35"/>
      <c r="BK598" s="29" t="str" cm="1">
        <f t="array" ref="BK598">_xlfn.UNIQUE(MID(BB598,16,14))</f>
        <v>U012UBB01UH002</v>
      </c>
    </row>
    <row r="599" spans="1:63" x14ac:dyDescent="0.3">
      <c r="A599" s="29" t="s">
        <v>3726</v>
      </c>
      <c r="B599" s="36" t="str">
        <f t="shared" si="45"/>
        <v>K01CSY01UH001-FC37</v>
      </c>
      <c r="C599" s="33" t="s">
        <v>3788</v>
      </c>
      <c r="D599" s="34" t="str">
        <f t="shared" si="46"/>
        <v>CTRL PLNT CAB1 230VAC17 CB ON/OPN</v>
      </c>
      <c r="E599" s="31">
        <f t="shared" si="47"/>
        <v>33</v>
      </c>
      <c r="F599" s="32" t="str">
        <f t="shared" si="48"/>
        <v>PLANT CONTROL SYSTEM PLANT CONTROL SYSTEM 1 PLANT CONTROL SYSTEM PLANT CONTROL SYSTEM AUTOMATION CABINET AUTOMATION CABINET 230VAC DISTRIBUTION CHECK BACK ON/OPEN</v>
      </c>
      <c r="G599" s="29" t="s">
        <v>3702</v>
      </c>
      <c r="H599" s="29" t="s">
        <v>3703</v>
      </c>
      <c r="I599" s="29" t="str">
        <f t="shared" si="49"/>
        <v>01</v>
      </c>
      <c r="J599" s="29" t="s">
        <v>3704</v>
      </c>
      <c r="K599" s="29" t="s">
        <v>3728</v>
      </c>
      <c r="L599" s="29" t="s">
        <v>3703</v>
      </c>
      <c r="M599" s="29" t="s">
        <v>1619</v>
      </c>
      <c r="N599" s="29" t="s">
        <v>3703</v>
      </c>
      <c r="O599" s="29" t="s">
        <v>3707</v>
      </c>
      <c r="P599" s="29" t="s">
        <v>3708</v>
      </c>
      <c r="Q599" s="29" t="s">
        <v>1623</v>
      </c>
      <c r="R599" s="29" t="s">
        <v>3708</v>
      </c>
      <c r="S599" s="29" t="s">
        <v>3789</v>
      </c>
      <c r="T599" s="29" t="s">
        <v>2770</v>
      </c>
      <c r="U599" s="29" t="s">
        <v>790</v>
      </c>
      <c r="V599" s="29" t="s">
        <v>2639</v>
      </c>
      <c r="W599" s="35" t="s">
        <v>3709</v>
      </c>
      <c r="X599" s="35" t="s">
        <v>3729</v>
      </c>
      <c r="Y599" s="35" t="s">
        <v>3711</v>
      </c>
      <c r="Z599" s="35" t="s">
        <v>3790</v>
      </c>
      <c r="AA599" s="35" t="s">
        <v>2641</v>
      </c>
      <c r="AB599" s="29" t="s">
        <v>2766</v>
      </c>
      <c r="AC599" s="35" t="s">
        <v>1633</v>
      </c>
      <c r="AD599" s="35" t="s">
        <v>1634</v>
      </c>
      <c r="AE599" s="35" t="s">
        <v>1634</v>
      </c>
      <c r="AF599" s="35" t="s">
        <v>1635</v>
      </c>
      <c r="AG599" s="35" t="s">
        <v>2634</v>
      </c>
      <c r="AI599" s="35"/>
      <c r="AJ599" s="35" t="s">
        <v>1637</v>
      </c>
      <c r="AK599" s="35" t="s">
        <v>1672</v>
      </c>
      <c r="AL599" s="29" t="s">
        <v>1803</v>
      </c>
      <c r="AM599" s="35"/>
      <c r="AN599" s="35"/>
      <c r="AO599" s="35"/>
      <c r="AP599" s="35"/>
      <c r="AQ599" s="35"/>
      <c r="AS599" s="35"/>
      <c r="AU599" s="35"/>
      <c r="AW599" s="35"/>
      <c r="AY599" s="35"/>
      <c r="AZ599" s="35"/>
      <c r="BA599" s="35"/>
      <c r="BB599" s="29" t="s">
        <v>3735</v>
      </c>
      <c r="BC599" s="29" t="s">
        <v>2347</v>
      </c>
      <c r="BD599" s="29" t="s">
        <v>2739</v>
      </c>
      <c r="BE599" s="29" t="s">
        <v>1805</v>
      </c>
      <c r="BF599" s="29" t="s">
        <v>1936</v>
      </c>
      <c r="BG599" s="29" t="s">
        <v>3791</v>
      </c>
      <c r="BI599" s="35"/>
      <c r="BJ599" s="35"/>
      <c r="BK599" s="29" t="str" cm="1">
        <f t="array" ref="BK599">_xlfn.UNIQUE(MID(BB599,16,14))</f>
        <v>U012UBB01UH002</v>
      </c>
    </row>
    <row r="600" spans="1:63" x14ac:dyDescent="0.3">
      <c r="A600" s="29" t="s">
        <v>3726</v>
      </c>
      <c r="B600" s="36" t="str">
        <f t="shared" si="45"/>
        <v>K01CSY01UH001-FC38</v>
      </c>
      <c r="C600" s="33" t="s">
        <v>3792</v>
      </c>
      <c r="D600" s="34" t="str">
        <f t="shared" si="46"/>
        <v>CTRL PLNT CAB1 230VAC18 CB ON/OPN</v>
      </c>
      <c r="E600" s="31">
        <f t="shared" si="47"/>
        <v>33</v>
      </c>
      <c r="F600" s="32" t="str">
        <f t="shared" si="48"/>
        <v>PLANT CONTROL SYSTEM PLANT CONTROL SYSTEM 1 PLANT CONTROL SYSTEM PLANT CONTROL SYSTEM AUTOMATION CABINET AUTOMATION CABINET 230VAC DISTRIBUTION CHECK BACK ON/OPEN</v>
      </c>
      <c r="G600" s="29" t="s">
        <v>3702</v>
      </c>
      <c r="H600" s="29" t="s">
        <v>3703</v>
      </c>
      <c r="I600" s="29" t="str">
        <f t="shared" si="49"/>
        <v>01</v>
      </c>
      <c r="J600" s="29" t="s">
        <v>3704</v>
      </c>
      <c r="K600" s="29" t="s">
        <v>3728</v>
      </c>
      <c r="L600" s="29" t="s">
        <v>3703</v>
      </c>
      <c r="M600" s="29" t="s">
        <v>1619</v>
      </c>
      <c r="N600" s="29" t="s">
        <v>3703</v>
      </c>
      <c r="O600" s="29" t="s">
        <v>3707</v>
      </c>
      <c r="P600" s="29" t="s">
        <v>3708</v>
      </c>
      <c r="Q600" s="29" t="s">
        <v>1623</v>
      </c>
      <c r="R600" s="29" t="s">
        <v>3708</v>
      </c>
      <c r="S600" s="29" t="s">
        <v>3793</v>
      </c>
      <c r="T600" s="29" t="s">
        <v>2770</v>
      </c>
      <c r="U600" s="29" t="s">
        <v>790</v>
      </c>
      <c r="V600" s="29" t="s">
        <v>2639</v>
      </c>
      <c r="W600" s="35" t="s">
        <v>3709</v>
      </c>
      <c r="X600" s="35" t="s">
        <v>3729</v>
      </c>
      <c r="Y600" s="35" t="s">
        <v>3711</v>
      </c>
      <c r="Z600" s="35" t="s">
        <v>3794</v>
      </c>
      <c r="AA600" s="35" t="s">
        <v>2641</v>
      </c>
      <c r="AB600" s="29" t="s">
        <v>2766</v>
      </c>
      <c r="AC600" s="35" t="s">
        <v>1633</v>
      </c>
      <c r="AD600" s="35" t="s">
        <v>1634</v>
      </c>
      <c r="AE600" s="35" t="s">
        <v>1634</v>
      </c>
      <c r="AF600" s="35" t="s">
        <v>1635</v>
      </c>
      <c r="AG600" s="35" t="s">
        <v>2634</v>
      </c>
      <c r="AI600" s="35"/>
      <c r="AJ600" s="35" t="s">
        <v>1637</v>
      </c>
      <c r="AK600" s="35" t="s">
        <v>1672</v>
      </c>
      <c r="AL600" s="29" t="s">
        <v>1803</v>
      </c>
      <c r="AM600" s="35"/>
      <c r="AN600" s="35"/>
      <c r="AO600" s="35"/>
      <c r="AP600" s="35"/>
      <c r="AQ600" s="35"/>
      <c r="AS600" s="35"/>
      <c r="AU600" s="35"/>
      <c r="AW600" s="35"/>
      <c r="AY600" s="35"/>
      <c r="AZ600" s="35"/>
      <c r="BA600" s="35"/>
      <c r="BB600" s="29" t="s">
        <v>3735</v>
      </c>
      <c r="BC600" s="29" t="s">
        <v>2347</v>
      </c>
      <c r="BD600" s="29" t="s">
        <v>2739</v>
      </c>
      <c r="BE600" s="29" t="s">
        <v>1805</v>
      </c>
      <c r="BF600" s="29" t="s">
        <v>2035</v>
      </c>
      <c r="BG600" s="29" t="s">
        <v>3795</v>
      </c>
      <c r="BI600" s="35"/>
      <c r="BJ600" s="35"/>
      <c r="BK600" s="29" t="str" cm="1">
        <f t="array" ref="BK600">_xlfn.UNIQUE(MID(BB600,16,14))</f>
        <v>U012UBB01UH002</v>
      </c>
    </row>
    <row r="601" spans="1:63" x14ac:dyDescent="0.3">
      <c r="A601" s="29" t="s">
        <v>3726</v>
      </c>
      <c r="B601" s="36" t="str">
        <f t="shared" si="45"/>
        <v>K01CSY01UH001-FC39</v>
      </c>
      <c r="C601" s="33" t="s">
        <v>3796</v>
      </c>
      <c r="D601" s="34" t="str">
        <f t="shared" si="46"/>
        <v>CTRL PLNT CAB1 230VAC19 CB ON/OPN</v>
      </c>
      <c r="E601" s="31">
        <f t="shared" si="47"/>
        <v>33</v>
      </c>
      <c r="F601" s="32" t="str">
        <f t="shared" si="48"/>
        <v>PLANT CONTROL SYSTEM PLANT CONTROL SYSTEM 1 PLANT CONTROL SYSTEM PLANT CONTROL SYSTEM AUTOMATION CABINET AUTOMATION CABINET 230VAC DISTRIBUTION CHECK BACK ON/OPEN</v>
      </c>
      <c r="G601" s="29" t="s">
        <v>3702</v>
      </c>
      <c r="H601" s="29" t="s">
        <v>3703</v>
      </c>
      <c r="I601" s="29" t="str">
        <f t="shared" si="49"/>
        <v>01</v>
      </c>
      <c r="J601" s="29" t="s">
        <v>3704</v>
      </c>
      <c r="K601" s="29" t="s">
        <v>3728</v>
      </c>
      <c r="L601" s="29" t="s">
        <v>3703</v>
      </c>
      <c r="M601" s="29" t="s">
        <v>1619</v>
      </c>
      <c r="N601" s="29" t="s">
        <v>3703</v>
      </c>
      <c r="O601" s="29" t="s">
        <v>3707</v>
      </c>
      <c r="P601" s="29" t="s">
        <v>3708</v>
      </c>
      <c r="Q601" s="29" t="s">
        <v>1623</v>
      </c>
      <c r="R601" s="29" t="s">
        <v>3708</v>
      </c>
      <c r="S601" s="29" t="s">
        <v>3797</v>
      </c>
      <c r="T601" s="29" t="s">
        <v>2770</v>
      </c>
      <c r="U601" s="29" t="s">
        <v>790</v>
      </c>
      <c r="V601" s="29" t="s">
        <v>2639</v>
      </c>
      <c r="W601" s="35" t="s">
        <v>3709</v>
      </c>
      <c r="X601" s="35" t="s">
        <v>3729</v>
      </c>
      <c r="Y601" s="35" t="s">
        <v>3711</v>
      </c>
      <c r="Z601" s="35" t="s">
        <v>3798</v>
      </c>
      <c r="AA601" s="35" t="s">
        <v>2641</v>
      </c>
      <c r="AB601" s="29" t="s">
        <v>2766</v>
      </c>
      <c r="AC601" s="35" t="s">
        <v>1633</v>
      </c>
      <c r="AD601" s="35" t="s">
        <v>1634</v>
      </c>
      <c r="AE601" s="35" t="s">
        <v>1634</v>
      </c>
      <c r="AF601" s="35" t="s">
        <v>1635</v>
      </c>
      <c r="AG601" s="35" t="s">
        <v>2634</v>
      </c>
      <c r="AI601" s="35"/>
      <c r="AJ601" s="35" t="s">
        <v>1637</v>
      </c>
      <c r="AK601" s="35" t="s">
        <v>1672</v>
      </c>
      <c r="AL601" s="29" t="s">
        <v>1803</v>
      </c>
      <c r="AM601" s="35"/>
      <c r="AN601" s="35"/>
      <c r="AO601" s="35"/>
      <c r="AP601" s="35"/>
      <c r="AQ601" s="35"/>
      <c r="AS601" s="35"/>
      <c r="AU601" s="35"/>
      <c r="AW601" s="35"/>
      <c r="AY601" s="35"/>
      <c r="AZ601" s="35"/>
      <c r="BA601" s="35"/>
      <c r="BB601" s="29" t="s">
        <v>3735</v>
      </c>
      <c r="BC601" s="29" t="s">
        <v>2347</v>
      </c>
      <c r="BD601" s="29" t="s">
        <v>2739</v>
      </c>
      <c r="BE601" s="29" t="s">
        <v>1805</v>
      </c>
      <c r="BF601" s="29" t="s">
        <v>1969</v>
      </c>
      <c r="BG601" s="29" t="s">
        <v>3799</v>
      </c>
      <c r="BI601" s="35"/>
      <c r="BJ601" s="35"/>
      <c r="BK601" s="29" t="str" cm="1">
        <f t="array" ref="BK601">_xlfn.UNIQUE(MID(BB601,16,14))</f>
        <v>U012UBB01UH002</v>
      </c>
    </row>
    <row r="602" spans="1:63" x14ac:dyDescent="0.3">
      <c r="A602" s="29" t="s">
        <v>3726</v>
      </c>
      <c r="B602" s="36" t="str">
        <f t="shared" si="45"/>
        <v>K01CSY01UH001-FC40</v>
      </c>
      <c r="C602" s="33" t="s">
        <v>3800</v>
      </c>
      <c r="D602" s="34" t="str">
        <f t="shared" si="46"/>
        <v>CTRL PLNT CAB1 230VAC20 CB ON/OPN</v>
      </c>
      <c r="E602" s="31">
        <f t="shared" si="47"/>
        <v>33</v>
      </c>
      <c r="F602" s="32" t="str">
        <f t="shared" si="48"/>
        <v>PLANT CONTROL SYSTEM PLANT CONTROL SYSTEM 1 PLANT CONTROL SYSTEM PLANT CONTROL SYSTEM AUTOMATION CABINET AUTOMATION CABINET 230VAC DISTRIBUTION CHECK BACK ON/OPEN</v>
      </c>
      <c r="G602" s="29" t="s">
        <v>3702</v>
      </c>
      <c r="H602" s="29" t="s">
        <v>3703</v>
      </c>
      <c r="I602" s="29" t="str">
        <f t="shared" si="49"/>
        <v>01</v>
      </c>
      <c r="J602" s="29" t="s">
        <v>3704</v>
      </c>
      <c r="K602" s="29" t="s">
        <v>3728</v>
      </c>
      <c r="L602" s="29" t="s">
        <v>3703</v>
      </c>
      <c r="M602" s="29" t="s">
        <v>1619</v>
      </c>
      <c r="N602" s="29" t="s">
        <v>3703</v>
      </c>
      <c r="O602" s="29" t="s">
        <v>3707</v>
      </c>
      <c r="P602" s="29" t="s">
        <v>3708</v>
      </c>
      <c r="Q602" s="29" t="s">
        <v>1623</v>
      </c>
      <c r="R602" s="29" t="s">
        <v>3708</v>
      </c>
      <c r="S602" s="29" t="s">
        <v>3801</v>
      </c>
      <c r="T602" s="29" t="s">
        <v>2770</v>
      </c>
      <c r="U602" s="29" t="s">
        <v>790</v>
      </c>
      <c r="V602" s="29" t="s">
        <v>2639</v>
      </c>
      <c r="W602" s="35" t="s">
        <v>3709</v>
      </c>
      <c r="X602" s="35" t="s">
        <v>3729</v>
      </c>
      <c r="Y602" s="35" t="s">
        <v>3711</v>
      </c>
      <c r="Z602" s="35" t="s">
        <v>3802</v>
      </c>
      <c r="AA602" s="35" t="s">
        <v>2641</v>
      </c>
      <c r="AB602" s="29" t="s">
        <v>2766</v>
      </c>
      <c r="AC602" s="35" t="s">
        <v>1633</v>
      </c>
      <c r="AD602" s="35" t="s">
        <v>1634</v>
      </c>
      <c r="AE602" s="35" t="s">
        <v>1634</v>
      </c>
      <c r="AF602" s="35" t="s">
        <v>1635</v>
      </c>
      <c r="AG602" s="35" t="s">
        <v>2634</v>
      </c>
      <c r="AI602" s="35"/>
      <c r="AJ602" s="35" t="s">
        <v>1637</v>
      </c>
      <c r="AK602" s="35" t="s">
        <v>1672</v>
      </c>
      <c r="AL602" s="29" t="s">
        <v>1803</v>
      </c>
      <c r="AM602" s="35"/>
      <c r="AN602" s="35"/>
      <c r="AO602" s="35"/>
      <c r="AP602" s="35"/>
      <c r="AQ602" s="35"/>
      <c r="AS602" s="35"/>
      <c r="AU602" s="35"/>
      <c r="AW602" s="35"/>
      <c r="AY602" s="35"/>
      <c r="AZ602" s="35"/>
      <c r="BA602" s="35"/>
      <c r="BB602" s="29" t="s">
        <v>3735</v>
      </c>
      <c r="BC602" s="29" t="s">
        <v>2347</v>
      </c>
      <c r="BD602" s="29" t="s">
        <v>2739</v>
      </c>
      <c r="BE602" s="29" t="s">
        <v>1805</v>
      </c>
      <c r="BF602" s="29" t="s">
        <v>1973</v>
      </c>
      <c r="BG602" s="29" t="s">
        <v>3803</v>
      </c>
      <c r="BI602" s="35"/>
      <c r="BJ602" s="35"/>
      <c r="BK602" s="29" t="str" cm="1">
        <f t="array" ref="BK602">_xlfn.UNIQUE(MID(BB602,16,14))</f>
        <v>U012UBB01UH002</v>
      </c>
    </row>
    <row r="603" spans="1:63" x14ac:dyDescent="0.3">
      <c r="A603" s="29" t="s">
        <v>3726</v>
      </c>
      <c r="B603" s="36" t="str">
        <f t="shared" si="45"/>
        <v>K01CSY01UH001-FC41</v>
      </c>
      <c r="C603" s="33" t="s">
        <v>3804</v>
      </c>
      <c r="D603" s="34" t="str">
        <f t="shared" si="46"/>
        <v>CTRL PLNT CAB1 230VAC UPS1 CB ON/OPN</v>
      </c>
      <c r="E603" s="31">
        <f t="shared" si="47"/>
        <v>36</v>
      </c>
      <c r="F603" s="32" t="str">
        <f t="shared" si="48"/>
        <v>PLANT CONTROL SYSTEM PLANT CONTROL SYSTEM 1 PLANT CONTROL SYSTEM PLANT CONTROL SYSTEM AUTOMATION CABINET AUTOMATION CABINET 230VAC UPS DISTRIBUTION CHECK BACK ON/OPEN</v>
      </c>
      <c r="G603" s="29" t="s">
        <v>3702</v>
      </c>
      <c r="H603" s="29" t="s">
        <v>3703</v>
      </c>
      <c r="I603" s="29" t="str">
        <f t="shared" si="49"/>
        <v>01</v>
      </c>
      <c r="J603" s="29" t="s">
        <v>3704</v>
      </c>
      <c r="K603" s="29" t="s">
        <v>3728</v>
      </c>
      <c r="L603" s="29" t="s">
        <v>3703</v>
      </c>
      <c r="M603" s="29" t="s">
        <v>1619</v>
      </c>
      <c r="N603" s="29" t="s">
        <v>3703</v>
      </c>
      <c r="O603" s="29" t="s">
        <v>3707</v>
      </c>
      <c r="P603" s="29" t="s">
        <v>3708</v>
      </c>
      <c r="Q603" s="29" t="s">
        <v>1623</v>
      </c>
      <c r="R603" s="29" t="s">
        <v>3708</v>
      </c>
      <c r="S603" s="29" t="s">
        <v>2814</v>
      </c>
      <c r="T603" s="29" t="s">
        <v>2815</v>
      </c>
      <c r="U603" s="29" t="s">
        <v>790</v>
      </c>
      <c r="V603" s="29" t="s">
        <v>2639</v>
      </c>
      <c r="W603" s="35" t="s">
        <v>3709</v>
      </c>
      <c r="X603" s="35" t="s">
        <v>3729</v>
      </c>
      <c r="Y603" s="35" t="s">
        <v>3711</v>
      </c>
      <c r="Z603" s="35" t="s">
        <v>2816</v>
      </c>
      <c r="AA603" s="35" t="s">
        <v>2641</v>
      </c>
      <c r="AB603" s="29" t="s">
        <v>2766</v>
      </c>
      <c r="AC603" s="35" t="s">
        <v>1633</v>
      </c>
      <c r="AD603" s="35" t="s">
        <v>1634</v>
      </c>
      <c r="AE603" s="35" t="s">
        <v>1634</v>
      </c>
      <c r="AF603" s="35" t="s">
        <v>1635</v>
      </c>
      <c r="AG603" s="35" t="s">
        <v>2634</v>
      </c>
      <c r="AI603" s="35"/>
      <c r="AJ603" s="35" t="s">
        <v>1637</v>
      </c>
      <c r="AK603" s="35" t="s">
        <v>1672</v>
      </c>
      <c r="AL603" s="29" t="s">
        <v>1803</v>
      </c>
      <c r="AM603" s="35"/>
      <c r="AN603" s="35"/>
      <c r="AO603" s="35"/>
      <c r="AP603" s="35"/>
      <c r="AQ603" s="35"/>
      <c r="AS603" s="35"/>
      <c r="AU603" s="35"/>
      <c r="AW603" s="35"/>
      <c r="AY603" s="35"/>
      <c r="AZ603" s="35"/>
      <c r="BA603" s="35"/>
      <c r="BB603" s="29" t="s">
        <v>3735</v>
      </c>
      <c r="BC603" s="29" t="s">
        <v>2347</v>
      </c>
      <c r="BD603" s="29" t="s">
        <v>2739</v>
      </c>
      <c r="BE603" s="29" t="s">
        <v>1805</v>
      </c>
      <c r="BF603" s="29" t="s">
        <v>2048</v>
      </c>
      <c r="BG603" s="29" t="s">
        <v>3805</v>
      </c>
      <c r="BI603" s="35"/>
      <c r="BJ603" s="35"/>
      <c r="BK603" s="29" t="str" cm="1">
        <f t="array" ref="BK603">_xlfn.UNIQUE(MID(BB603,16,14))</f>
        <v>U012UBB01UH002</v>
      </c>
    </row>
    <row r="604" spans="1:63" x14ac:dyDescent="0.3">
      <c r="A604" s="29" t="s">
        <v>3726</v>
      </c>
      <c r="B604" s="36" t="str">
        <f t="shared" si="45"/>
        <v>K01CSY01UH001-FC42</v>
      </c>
      <c r="C604" s="33" t="s">
        <v>3806</v>
      </c>
      <c r="D604" s="34" t="str">
        <f t="shared" si="46"/>
        <v>CTRL PLNT CAB1 230VAC UPS2 CB ON/OPN</v>
      </c>
      <c r="E604" s="31">
        <f t="shared" si="47"/>
        <v>36</v>
      </c>
      <c r="F604" s="32" t="str">
        <f t="shared" si="48"/>
        <v>PLANT CONTROL SYSTEM PLANT CONTROL SYSTEM 1 PLANT CONTROL SYSTEM PLANT CONTROL SYSTEM AUTOMATION CABINET AUTOMATION CABINET 230VAC UPS DISTRIBUTION CHECK BACK ON/OPEN</v>
      </c>
      <c r="G604" s="29" t="s">
        <v>3702</v>
      </c>
      <c r="H604" s="29" t="s">
        <v>3703</v>
      </c>
      <c r="I604" s="29" t="str">
        <f t="shared" si="49"/>
        <v>01</v>
      </c>
      <c r="J604" s="29" t="s">
        <v>3704</v>
      </c>
      <c r="K604" s="29" t="s">
        <v>3728</v>
      </c>
      <c r="L604" s="29" t="s">
        <v>3703</v>
      </c>
      <c r="M604" s="29" t="s">
        <v>1619</v>
      </c>
      <c r="N604" s="29" t="s">
        <v>3703</v>
      </c>
      <c r="O604" s="29" t="s">
        <v>3707</v>
      </c>
      <c r="P604" s="29" t="s">
        <v>3708</v>
      </c>
      <c r="Q604" s="29" t="s">
        <v>1623</v>
      </c>
      <c r="R604" s="29" t="s">
        <v>3708</v>
      </c>
      <c r="S604" s="29" t="s">
        <v>2819</v>
      </c>
      <c r="T604" s="29" t="s">
        <v>2815</v>
      </c>
      <c r="U604" s="29" t="s">
        <v>790</v>
      </c>
      <c r="V604" s="29" t="s">
        <v>2639</v>
      </c>
      <c r="W604" s="35" t="s">
        <v>3709</v>
      </c>
      <c r="X604" s="35" t="s">
        <v>3729</v>
      </c>
      <c r="Y604" s="35" t="s">
        <v>3711</v>
      </c>
      <c r="Z604" s="35" t="s">
        <v>2820</v>
      </c>
      <c r="AA604" s="35" t="s">
        <v>2641</v>
      </c>
      <c r="AB604" s="29" t="s">
        <v>2766</v>
      </c>
      <c r="AC604" s="35" t="s">
        <v>1633</v>
      </c>
      <c r="AD604" s="35" t="s">
        <v>1634</v>
      </c>
      <c r="AE604" s="35" t="s">
        <v>1634</v>
      </c>
      <c r="AF604" s="35" t="s">
        <v>1635</v>
      </c>
      <c r="AG604" s="35" t="s">
        <v>2634</v>
      </c>
      <c r="AI604" s="35"/>
      <c r="AJ604" s="35" t="s">
        <v>1637</v>
      </c>
      <c r="AK604" s="35" t="s">
        <v>1672</v>
      </c>
      <c r="AL604" s="29" t="s">
        <v>1803</v>
      </c>
      <c r="AM604" s="35"/>
      <c r="AN604" s="35"/>
      <c r="AO604" s="35"/>
      <c r="AP604" s="35"/>
      <c r="AQ604" s="35"/>
      <c r="AS604" s="35"/>
      <c r="AU604" s="35"/>
      <c r="AW604" s="35"/>
      <c r="AY604" s="35"/>
      <c r="AZ604" s="35"/>
      <c r="BA604" s="35"/>
      <c r="BB604" s="29" t="s">
        <v>3735</v>
      </c>
      <c r="BC604" s="29" t="s">
        <v>2347</v>
      </c>
      <c r="BD604" s="29" t="s">
        <v>2739</v>
      </c>
      <c r="BE604" s="29" t="s">
        <v>1805</v>
      </c>
      <c r="BF604" s="29" t="s">
        <v>2016</v>
      </c>
      <c r="BG604" s="29" t="s">
        <v>3807</v>
      </c>
      <c r="BI604" s="35"/>
      <c r="BJ604" s="35"/>
      <c r="BK604" s="29" t="str" cm="1">
        <f t="array" ref="BK604">_xlfn.UNIQUE(MID(BB604,16,14))</f>
        <v>U012UBB01UH002</v>
      </c>
    </row>
    <row r="605" spans="1:63" x14ac:dyDescent="0.3">
      <c r="A605" s="29" t="s">
        <v>3726</v>
      </c>
      <c r="B605" s="36" t="str">
        <f t="shared" si="45"/>
        <v>K01CSY01UH001-FC43</v>
      </c>
      <c r="C605" s="33" t="s">
        <v>3808</v>
      </c>
      <c r="D605" s="34" t="str">
        <f t="shared" si="46"/>
        <v>CTRL PLNT CAB1 230VAC UPS3 CB ON/OPN</v>
      </c>
      <c r="E605" s="31">
        <f t="shared" si="47"/>
        <v>36</v>
      </c>
      <c r="F605" s="32" t="str">
        <f t="shared" si="48"/>
        <v>PLANT CONTROL SYSTEM PLANT CONTROL SYSTEM 1 PLANT CONTROL SYSTEM PLANT CONTROL SYSTEM AUTOMATION CABINET AUTOMATION CABINET 230VAC UPS DISTRIBUTION CHECK BACK ON/OPEN</v>
      </c>
      <c r="G605" s="29" t="s">
        <v>3702</v>
      </c>
      <c r="H605" s="29" t="s">
        <v>3703</v>
      </c>
      <c r="I605" s="29" t="str">
        <f t="shared" si="49"/>
        <v>01</v>
      </c>
      <c r="J605" s="29" t="s">
        <v>3704</v>
      </c>
      <c r="K605" s="29" t="s">
        <v>3728</v>
      </c>
      <c r="L605" s="29" t="s">
        <v>3703</v>
      </c>
      <c r="M605" s="29" t="s">
        <v>1619</v>
      </c>
      <c r="N605" s="29" t="s">
        <v>3703</v>
      </c>
      <c r="O605" s="29" t="s">
        <v>3707</v>
      </c>
      <c r="P605" s="29" t="s">
        <v>3708</v>
      </c>
      <c r="Q605" s="29" t="s">
        <v>1623</v>
      </c>
      <c r="R605" s="29" t="s">
        <v>3708</v>
      </c>
      <c r="S605" s="29" t="s">
        <v>2823</v>
      </c>
      <c r="T605" s="29" t="s">
        <v>2815</v>
      </c>
      <c r="U605" s="29" t="s">
        <v>790</v>
      </c>
      <c r="V605" s="29" t="s">
        <v>2639</v>
      </c>
      <c r="W605" s="35" t="s">
        <v>3709</v>
      </c>
      <c r="X605" s="35" t="s">
        <v>3729</v>
      </c>
      <c r="Y605" s="35" t="s">
        <v>3711</v>
      </c>
      <c r="Z605" s="35" t="s">
        <v>2824</v>
      </c>
      <c r="AA605" s="35" t="s">
        <v>2641</v>
      </c>
      <c r="AB605" s="29" t="s">
        <v>2766</v>
      </c>
      <c r="AC605" s="35" t="s">
        <v>1633</v>
      </c>
      <c r="AD605" s="35" t="s">
        <v>1634</v>
      </c>
      <c r="AE605" s="35" t="s">
        <v>1634</v>
      </c>
      <c r="AF605" s="35" t="s">
        <v>1635</v>
      </c>
      <c r="AG605" s="35" t="s">
        <v>2634</v>
      </c>
      <c r="AI605" s="35"/>
      <c r="AJ605" s="35" t="s">
        <v>1637</v>
      </c>
      <c r="AK605" s="35" t="s">
        <v>1672</v>
      </c>
      <c r="AL605" s="29" t="s">
        <v>1803</v>
      </c>
      <c r="AM605" s="35"/>
      <c r="AN605" s="35"/>
      <c r="AO605" s="35"/>
      <c r="AP605" s="35"/>
      <c r="AQ605" s="35"/>
      <c r="AS605" s="35"/>
      <c r="AU605" s="35"/>
      <c r="AW605" s="35"/>
      <c r="AY605" s="35"/>
      <c r="AZ605" s="35"/>
      <c r="BA605" s="35"/>
      <c r="BB605" s="29" t="s">
        <v>3735</v>
      </c>
      <c r="BC605" s="29" t="s">
        <v>2347</v>
      </c>
      <c r="BD605" s="29" t="s">
        <v>2739</v>
      </c>
      <c r="BE605" s="29" t="s">
        <v>1805</v>
      </c>
      <c r="BF605" s="29" t="s">
        <v>2341</v>
      </c>
      <c r="BG605" s="29" t="s">
        <v>3809</v>
      </c>
      <c r="BI605" s="35"/>
      <c r="BJ605" s="35"/>
      <c r="BK605" s="29" t="str" cm="1">
        <f t="array" ref="BK605">_xlfn.UNIQUE(MID(BB605,16,14))</f>
        <v>U012UBB01UH002</v>
      </c>
    </row>
    <row r="606" spans="1:63" x14ac:dyDescent="0.3">
      <c r="A606" s="29" t="s">
        <v>3726</v>
      </c>
      <c r="B606" s="36" t="str">
        <f t="shared" si="45"/>
        <v>K01CSY01UH001-FC44</v>
      </c>
      <c r="C606" s="33" t="s">
        <v>3810</v>
      </c>
      <c r="D606" s="34" t="str">
        <f t="shared" si="46"/>
        <v>CTRL PLNT CAB1 230VAC UPS4 CB ON/OPN</v>
      </c>
      <c r="E606" s="31">
        <f t="shared" si="47"/>
        <v>36</v>
      </c>
      <c r="F606" s="32" t="str">
        <f t="shared" si="48"/>
        <v>PLANT CONTROL SYSTEM PLANT CONTROL SYSTEM 1 PLANT CONTROL SYSTEM PLANT CONTROL SYSTEM AUTOMATION CABINET AUTOMATION CABINET 230VAC UPS DISTRIBUTION CHECK BACK ON/OPEN</v>
      </c>
      <c r="G606" s="29" t="s">
        <v>3702</v>
      </c>
      <c r="H606" s="29" t="s">
        <v>3703</v>
      </c>
      <c r="I606" s="29" t="str">
        <f t="shared" si="49"/>
        <v>01</v>
      </c>
      <c r="J606" s="29" t="s">
        <v>3704</v>
      </c>
      <c r="K606" s="29" t="s">
        <v>3728</v>
      </c>
      <c r="L606" s="29" t="s">
        <v>3703</v>
      </c>
      <c r="M606" s="29" t="s">
        <v>1619</v>
      </c>
      <c r="N606" s="29" t="s">
        <v>3703</v>
      </c>
      <c r="O606" s="29" t="s">
        <v>3707</v>
      </c>
      <c r="P606" s="29" t="s">
        <v>3708</v>
      </c>
      <c r="Q606" s="29" t="s">
        <v>1623</v>
      </c>
      <c r="R606" s="29" t="s">
        <v>3708</v>
      </c>
      <c r="S606" s="29" t="s">
        <v>3645</v>
      </c>
      <c r="T606" s="29" t="s">
        <v>2815</v>
      </c>
      <c r="U606" s="29" t="s">
        <v>790</v>
      </c>
      <c r="V606" s="29" t="s">
        <v>2639</v>
      </c>
      <c r="W606" s="35" t="s">
        <v>3709</v>
      </c>
      <c r="X606" s="35" t="s">
        <v>3729</v>
      </c>
      <c r="Y606" s="35" t="s">
        <v>3711</v>
      </c>
      <c r="Z606" s="35" t="s">
        <v>3646</v>
      </c>
      <c r="AA606" s="35" t="s">
        <v>2641</v>
      </c>
      <c r="AB606" s="29" t="s">
        <v>2766</v>
      </c>
      <c r="AC606" s="35" t="s">
        <v>1633</v>
      </c>
      <c r="AD606" s="35" t="s">
        <v>1634</v>
      </c>
      <c r="AE606" s="35" t="s">
        <v>1634</v>
      </c>
      <c r="AF606" s="35" t="s">
        <v>1635</v>
      </c>
      <c r="AG606" s="35" t="s">
        <v>2634</v>
      </c>
      <c r="AI606" s="35"/>
      <c r="AJ606" s="35" t="s">
        <v>1637</v>
      </c>
      <c r="AK606" s="35" t="s">
        <v>1672</v>
      </c>
      <c r="AL606" s="29" t="s">
        <v>1803</v>
      </c>
      <c r="AM606" s="35"/>
      <c r="AN606" s="35"/>
      <c r="AO606" s="35"/>
      <c r="AP606" s="35"/>
      <c r="AQ606" s="35"/>
      <c r="AS606" s="35"/>
      <c r="AU606" s="35"/>
      <c r="AW606" s="35"/>
      <c r="AY606" s="35"/>
      <c r="AZ606" s="35"/>
      <c r="BA606" s="35"/>
      <c r="BB606" s="29" t="s">
        <v>3735</v>
      </c>
      <c r="BC606" s="29" t="s">
        <v>2347</v>
      </c>
      <c r="BD606" s="29" t="s">
        <v>2739</v>
      </c>
      <c r="BE606" s="29" t="s">
        <v>1805</v>
      </c>
      <c r="BF606" s="29" t="s">
        <v>2388</v>
      </c>
      <c r="BG606" s="29" t="s">
        <v>3811</v>
      </c>
      <c r="BI606" s="35"/>
      <c r="BJ606" s="35"/>
      <c r="BK606" s="29" t="str" cm="1">
        <f t="array" ref="BK606">_xlfn.UNIQUE(MID(BB606,16,14))</f>
        <v>U012UBB01UH002</v>
      </c>
    </row>
    <row r="607" spans="1:63" x14ac:dyDescent="0.3">
      <c r="A607" s="29" t="s">
        <v>3726</v>
      </c>
      <c r="B607" s="36" t="str">
        <f t="shared" si="45"/>
        <v>K01CSY01UH001-FC45</v>
      </c>
      <c r="C607" s="33" t="s">
        <v>3812</v>
      </c>
      <c r="D607" s="34" t="str">
        <f t="shared" si="46"/>
        <v>CTRL PLNT CAB1 230VAC UPS5 CB ON/OPN</v>
      </c>
      <c r="E607" s="31">
        <f t="shared" si="47"/>
        <v>36</v>
      </c>
      <c r="F607" s="32" t="str">
        <f t="shared" si="48"/>
        <v>PLANT CONTROL SYSTEM PLANT CONTROL SYSTEM 1 PLANT CONTROL SYSTEM PLANT CONTROL SYSTEM AUTOMATION CABINET AUTOMATION CABINET 230VAC UPS DISTRIBUTION CHECK BACK ON/OPEN</v>
      </c>
      <c r="G607" s="29" t="s">
        <v>3702</v>
      </c>
      <c r="H607" s="29" t="s">
        <v>3703</v>
      </c>
      <c r="I607" s="29" t="str">
        <f t="shared" si="49"/>
        <v>01</v>
      </c>
      <c r="J607" s="29" t="s">
        <v>3704</v>
      </c>
      <c r="K607" s="29" t="s">
        <v>3728</v>
      </c>
      <c r="L607" s="29" t="s">
        <v>3703</v>
      </c>
      <c r="M607" s="29" t="s">
        <v>1619</v>
      </c>
      <c r="N607" s="29" t="s">
        <v>3703</v>
      </c>
      <c r="O607" s="29" t="s">
        <v>3707</v>
      </c>
      <c r="P607" s="29" t="s">
        <v>3708</v>
      </c>
      <c r="Q607" s="29" t="s">
        <v>1623</v>
      </c>
      <c r="R607" s="29" t="s">
        <v>3708</v>
      </c>
      <c r="S607" s="29" t="s">
        <v>3649</v>
      </c>
      <c r="T607" s="29" t="s">
        <v>2815</v>
      </c>
      <c r="U607" s="29" t="s">
        <v>790</v>
      </c>
      <c r="V607" s="29" t="s">
        <v>2639</v>
      </c>
      <c r="W607" s="35" t="s">
        <v>3709</v>
      </c>
      <c r="X607" s="35" t="s">
        <v>3729</v>
      </c>
      <c r="Y607" s="35" t="s">
        <v>3711</v>
      </c>
      <c r="Z607" s="35" t="s">
        <v>3650</v>
      </c>
      <c r="AA607" s="35" t="s">
        <v>2641</v>
      </c>
      <c r="AB607" s="29" t="s">
        <v>2766</v>
      </c>
      <c r="AC607" s="35" t="s">
        <v>1633</v>
      </c>
      <c r="AD607" s="35" t="s">
        <v>1634</v>
      </c>
      <c r="AE607" s="35" t="s">
        <v>1634</v>
      </c>
      <c r="AF607" s="35" t="s">
        <v>1635</v>
      </c>
      <c r="AG607" s="35" t="s">
        <v>2634</v>
      </c>
      <c r="AI607" s="35"/>
      <c r="AJ607" s="35" t="s">
        <v>1637</v>
      </c>
      <c r="AK607" s="35" t="s">
        <v>1672</v>
      </c>
      <c r="AL607" s="29" t="s">
        <v>1803</v>
      </c>
      <c r="AM607" s="35"/>
      <c r="AN607" s="35"/>
      <c r="AO607" s="35"/>
      <c r="AP607" s="35"/>
      <c r="AQ607" s="35"/>
      <c r="AS607" s="35"/>
      <c r="AU607" s="35"/>
      <c r="AW607" s="35"/>
      <c r="AY607" s="35"/>
      <c r="AZ607" s="35"/>
      <c r="BA607" s="35"/>
      <c r="BB607" s="29" t="s">
        <v>3738</v>
      </c>
      <c r="BC607" s="29" t="s">
        <v>2347</v>
      </c>
      <c r="BD607" s="29" t="s">
        <v>2739</v>
      </c>
      <c r="BE607" s="29" t="s">
        <v>1805</v>
      </c>
      <c r="BF607" s="29" t="s">
        <v>1619</v>
      </c>
      <c r="BG607" s="29" t="s">
        <v>3813</v>
      </c>
      <c r="BI607" s="35"/>
      <c r="BJ607" s="35"/>
      <c r="BK607" s="29" t="str" cm="1">
        <f t="array" ref="BK607">_xlfn.UNIQUE(MID(BB607,16,14))</f>
        <v>U012UBB01UH002</v>
      </c>
    </row>
    <row r="608" spans="1:63" x14ac:dyDescent="0.3">
      <c r="A608" s="29" t="s">
        <v>3726</v>
      </c>
      <c r="B608" s="36" t="str">
        <f t="shared" si="45"/>
        <v>K01CSY01UH001-QA11</v>
      </c>
      <c r="C608" s="33" t="s">
        <v>3814</v>
      </c>
      <c r="D608" s="34" t="str">
        <f t="shared" si="46"/>
        <v>CTRL PLNT CAB1 SW 400VAC1 CB ON/OPN</v>
      </c>
      <c r="E608" s="31">
        <f t="shared" si="47"/>
        <v>35</v>
      </c>
      <c r="F608" s="32" t="str">
        <f t="shared" si="48"/>
        <v>PLANT CONTROL SYSTEM PLANT CONTROL SYSTEM 1 PLANT CONTROL SYSTEM PLANT CONTROL SYSTEM AUTOMATION CABINET AUTOMATION CABINET 400VAC DISTRIBUTION CHECK BACK ON/OPEN</v>
      </c>
      <c r="G608" s="29" t="s">
        <v>3702</v>
      </c>
      <c r="H608" s="29" t="s">
        <v>3703</v>
      </c>
      <c r="I608" s="29" t="str">
        <f t="shared" si="49"/>
        <v>01</v>
      </c>
      <c r="J608" s="29" t="s">
        <v>3704</v>
      </c>
      <c r="K608" s="29" t="s">
        <v>3728</v>
      </c>
      <c r="L608" s="29" t="s">
        <v>3703</v>
      </c>
      <c r="M608" s="29" t="s">
        <v>1619</v>
      </c>
      <c r="N608" s="29" t="s">
        <v>3703</v>
      </c>
      <c r="O608" s="29" t="s">
        <v>3707</v>
      </c>
      <c r="P608" s="29" t="s">
        <v>3708</v>
      </c>
      <c r="Q608" s="29" t="s">
        <v>1623</v>
      </c>
      <c r="R608" s="29" t="s">
        <v>3708</v>
      </c>
      <c r="S608" s="29" t="s">
        <v>2828</v>
      </c>
      <c r="T608" s="29" t="s">
        <v>2829</v>
      </c>
      <c r="U608" s="29" t="s">
        <v>790</v>
      </c>
      <c r="V608" s="29" t="s">
        <v>2639</v>
      </c>
      <c r="W608" s="35" t="s">
        <v>3709</v>
      </c>
      <c r="X608" s="35" t="s">
        <v>3729</v>
      </c>
      <c r="Y608" s="35" t="s">
        <v>3711</v>
      </c>
      <c r="Z608" s="35" t="s">
        <v>2830</v>
      </c>
      <c r="AA608" s="35" t="s">
        <v>2641</v>
      </c>
      <c r="AB608" s="29" t="s">
        <v>2831</v>
      </c>
      <c r="AC608" s="35" t="s">
        <v>1633</v>
      </c>
      <c r="AD608" s="35" t="s">
        <v>1634</v>
      </c>
      <c r="AE608" s="35" t="s">
        <v>1634</v>
      </c>
      <c r="AF608" s="35" t="s">
        <v>1635</v>
      </c>
      <c r="AG608" s="35" t="s">
        <v>2634</v>
      </c>
      <c r="AI608" s="35"/>
      <c r="AJ608" s="35" t="s">
        <v>1637</v>
      </c>
      <c r="AK608" s="35" t="s">
        <v>1672</v>
      </c>
      <c r="AL608" s="29" t="s">
        <v>1803</v>
      </c>
      <c r="AM608" s="35"/>
      <c r="AN608" s="35"/>
      <c r="AO608" s="35"/>
      <c r="AP608" s="35"/>
      <c r="AQ608" s="35"/>
      <c r="AS608" s="35"/>
      <c r="AU608" s="35"/>
      <c r="AW608" s="35"/>
      <c r="AY608" s="35"/>
      <c r="AZ608" s="35"/>
      <c r="BA608" s="35"/>
      <c r="BB608" s="29" t="s">
        <v>3730</v>
      </c>
      <c r="BC608" s="29" t="s">
        <v>2347</v>
      </c>
      <c r="BD608" s="29" t="s">
        <v>2739</v>
      </c>
      <c r="BE608" s="29" t="s">
        <v>1805</v>
      </c>
      <c r="BF608" s="29" t="s">
        <v>1909</v>
      </c>
      <c r="BG608" s="29" t="s">
        <v>3815</v>
      </c>
      <c r="BI608" s="35"/>
      <c r="BJ608" s="35"/>
      <c r="BK608" s="29" t="str" cm="1">
        <f t="array" ref="BK608">_xlfn.UNIQUE(MID(BB608,16,14))</f>
        <v>U012UBB01UH002</v>
      </c>
    </row>
    <row r="609" spans="1:63" x14ac:dyDescent="0.3">
      <c r="A609" s="29" t="s">
        <v>3726</v>
      </c>
      <c r="B609" s="36" t="str">
        <f t="shared" si="45"/>
        <v>K01CSY01UH001-QA12</v>
      </c>
      <c r="C609" s="33" t="s">
        <v>3816</v>
      </c>
      <c r="D609" s="34" t="str">
        <f t="shared" si="46"/>
        <v>CTRL PLNT CAB1 SW 400VAC2 CB ON/OPN</v>
      </c>
      <c r="E609" s="31">
        <f t="shared" si="47"/>
        <v>35</v>
      </c>
      <c r="F609" s="32" t="str">
        <f t="shared" si="48"/>
        <v>PLANT CONTROL SYSTEM PLANT CONTROL SYSTEM 1 PLANT CONTROL SYSTEM PLANT CONTROL SYSTEM AUTOMATION CABINET AUTOMATION CABINET 400VAC DISTRIBUTION CHECK BACK ON/OPEN</v>
      </c>
      <c r="G609" s="29" t="s">
        <v>3702</v>
      </c>
      <c r="H609" s="29" t="s">
        <v>3703</v>
      </c>
      <c r="I609" s="29" t="str">
        <f t="shared" si="49"/>
        <v>01</v>
      </c>
      <c r="J609" s="29" t="s">
        <v>3704</v>
      </c>
      <c r="K609" s="29" t="s">
        <v>3728</v>
      </c>
      <c r="L609" s="29" t="s">
        <v>3703</v>
      </c>
      <c r="M609" s="29" t="s">
        <v>1619</v>
      </c>
      <c r="N609" s="29" t="s">
        <v>3703</v>
      </c>
      <c r="O609" s="29" t="s">
        <v>3707</v>
      </c>
      <c r="P609" s="29" t="s">
        <v>3708</v>
      </c>
      <c r="Q609" s="29" t="s">
        <v>1623</v>
      </c>
      <c r="R609" s="29" t="s">
        <v>3708</v>
      </c>
      <c r="S609" s="29" t="s">
        <v>2834</v>
      </c>
      <c r="T609" s="29" t="s">
        <v>2829</v>
      </c>
      <c r="U609" s="29" t="s">
        <v>790</v>
      </c>
      <c r="V609" s="29" t="s">
        <v>2639</v>
      </c>
      <c r="W609" s="35" t="s">
        <v>3709</v>
      </c>
      <c r="X609" s="35" t="s">
        <v>3729</v>
      </c>
      <c r="Y609" s="35" t="s">
        <v>3711</v>
      </c>
      <c r="Z609" s="35" t="s">
        <v>2835</v>
      </c>
      <c r="AA609" s="35" t="s">
        <v>2641</v>
      </c>
      <c r="AB609" s="29" t="s">
        <v>2831</v>
      </c>
      <c r="AC609" s="35" t="s">
        <v>1633</v>
      </c>
      <c r="AD609" s="35" t="s">
        <v>1634</v>
      </c>
      <c r="AE609" s="35" t="s">
        <v>1634</v>
      </c>
      <c r="AF609" s="35" t="s">
        <v>1635</v>
      </c>
      <c r="AG609" s="35" t="s">
        <v>2634</v>
      </c>
      <c r="AI609" s="35"/>
      <c r="AJ609" s="35" t="s">
        <v>1637</v>
      </c>
      <c r="AK609" s="35" t="s">
        <v>1672</v>
      </c>
      <c r="AL609" s="29" t="s">
        <v>1803</v>
      </c>
      <c r="AM609" s="35"/>
      <c r="AN609" s="35"/>
      <c r="AO609" s="35"/>
      <c r="AP609" s="35"/>
      <c r="AQ609" s="35"/>
      <c r="AS609" s="35"/>
      <c r="AU609" s="35"/>
      <c r="AW609" s="35"/>
      <c r="AY609" s="35"/>
      <c r="AZ609" s="35"/>
      <c r="BA609" s="35"/>
      <c r="BB609" s="29" t="s">
        <v>3730</v>
      </c>
      <c r="BC609" s="29" t="s">
        <v>2347</v>
      </c>
      <c r="BD609" s="29" t="s">
        <v>2739</v>
      </c>
      <c r="BE609" s="29" t="s">
        <v>1805</v>
      </c>
      <c r="BF609" s="29" t="s">
        <v>1915</v>
      </c>
      <c r="BG609" s="29" t="s">
        <v>3817</v>
      </c>
      <c r="BI609" s="35"/>
      <c r="BJ609" s="35"/>
      <c r="BK609" s="29" t="str" cm="1">
        <f t="array" ref="BK609">_xlfn.UNIQUE(MID(BB609,16,14))</f>
        <v>U012UBB01UH002</v>
      </c>
    </row>
    <row r="610" spans="1:63" x14ac:dyDescent="0.3">
      <c r="A610" s="29" t="s">
        <v>3726</v>
      </c>
      <c r="B610" s="36" t="str">
        <f t="shared" si="45"/>
        <v>K01CSY01UH001-QA13</v>
      </c>
      <c r="C610" s="33" t="s">
        <v>3818</v>
      </c>
      <c r="D610" s="34" t="str">
        <f t="shared" si="46"/>
        <v>CTRL PLNT CAB1 SW 400VAC3 CB ON/OPN</v>
      </c>
      <c r="E610" s="31">
        <f t="shared" si="47"/>
        <v>35</v>
      </c>
      <c r="F610" s="32" t="str">
        <f t="shared" si="48"/>
        <v>PLANT CONTROL SYSTEM PLANT CONTROL SYSTEM 1 PLANT CONTROL SYSTEM PLANT CONTROL SYSTEM AUTOMATION CABINET AUTOMATION CABINET 400VAC DISTRIBUTION CHECK BACK ON/OPEN</v>
      </c>
      <c r="G610" s="29" t="s">
        <v>3702</v>
      </c>
      <c r="H610" s="29" t="s">
        <v>3703</v>
      </c>
      <c r="I610" s="29" t="str">
        <f t="shared" si="49"/>
        <v>01</v>
      </c>
      <c r="J610" s="29" t="s">
        <v>3704</v>
      </c>
      <c r="K610" s="29" t="s">
        <v>3728</v>
      </c>
      <c r="L610" s="29" t="s">
        <v>3703</v>
      </c>
      <c r="M610" s="29" t="s">
        <v>1619</v>
      </c>
      <c r="N610" s="29" t="s">
        <v>3703</v>
      </c>
      <c r="O610" s="29" t="s">
        <v>3707</v>
      </c>
      <c r="P610" s="29" t="s">
        <v>3708</v>
      </c>
      <c r="Q610" s="29" t="s">
        <v>1623</v>
      </c>
      <c r="R610" s="29" t="s">
        <v>3708</v>
      </c>
      <c r="S610" s="29" t="s">
        <v>2838</v>
      </c>
      <c r="T610" s="29" t="s">
        <v>2829</v>
      </c>
      <c r="U610" s="29" t="s">
        <v>790</v>
      </c>
      <c r="V610" s="29" t="s">
        <v>2639</v>
      </c>
      <c r="W610" s="35" t="s">
        <v>3709</v>
      </c>
      <c r="X610" s="35" t="s">
        <v>3729</v>
      </c>
      <c r="Y610" s="35" t="s">
        <v>3711</v>
      </c>
      <c r="Z610" s="35" t="s">
        <v>2839</v>
      </c>
      <c r="AA610" s="35" t="s">
        <v>2641</v>
      </c>
      <c r="AB610" s="29" t="s">
        <v>2831</v>
      </c>
      <c r="AC610" s="35" t="s">
        <v>1633</v>
      </c>
      <c r="AD610" s="35" t="s">
        <v>1634</v>
      </c>
      <c r="AE610" s="35" t="s">
        <v>1634</v>
      </c>
      <c r="AF610" s="35" t="s">
        <v>1635</v>
      </c>
      <c r="AG610" s="35" t="s">
        <v>2634</v>
      </c>
      <c r="AI610" s="35"/>
      <c r="AJ610" s="35" t="s">
        <v>1637</v>
      </c>
      <c r="AK610" s="35" t="s">
        <v>1672</v>
      </c>
      <c r="AL610" s="29" t="s">
        <v>1803</v>
      </c>
      <c r="AM610" s="35"/>
      <c r="AN610" s="35"/>
      <c r="AO610" s="35"/>
      <c r="AP610" s="35"/>
      <c r="AQ610" s="35"/>
      <c r="AS610" s="35"/>
      <c r="AU610" s="35"/>
      <c r="AW610" s="35"/>
      <c r="AY610" s="35"/>
      <c r="AZ610" s="35"/>
      <c r="BA610" s="35"/>
      <c r="BB610" s="29" t="s">
        <v>3730</v>
      </c>
      <c r="BC610" s="29" t="s">
        <v>2347</v>
      </c>
      <c r="BD610" s="29" t="s">
        <v>2739</v>
      </c>
      <c r="BE610" s="29" t="s">
        <v>1805</v>
      </c>
      <c r="BF610" s="29" t="s">
        <v>1919</v>
      </c>
      <c r="BG610" s="29" t="s">
        <v>3819</v>
      </c>
      <c r="BI610" s="35"/>
      <c r="BJ610" s="35"/>
      <c r="BK610" s="29" t="str" cm="1">
        <f t="array" ref="BK610">_xlfn.UNIQUE(MID(BB610,16,14))</f>
        <v>U012UBB01UH002</v>
      </c>
    </row>
    <row r="611" spans="1:63" x14ac:dyDescent="0.3">
      <c r="A611" s="29" t="s">
        <v>3726</v>
      </c>
      <c r="B611" s="36" t="str">
        <f t="shared" si="45"/>
        <v>K01CSY01UH001-QA14</v>
      </c>
      <c r="C611" s="33" t="s">
        <v>3820</v>
      </c>
      <c r="D611" s="34" t="str">
        <f t="shared" si="46"/>
        <v>CTRL PLNT CAB1 SW 400VAC4 CB ON/OPN</v>
      </c>
      <c r="E611" s="31">
        <f t="shared" si="47"/>
        <v>35</v>
      </c>
      <c r="F611" s="32" t="str">
        <f t="shared" si="48"/>
        <v>PLANT CONTROL SYSTEM PLANT CONTROL SYSTEM 1 PLANT CONTROL SYSTEM PLANT CONTROL SYSTEM AUTOMATION CABINET AUTOMATION CABINET 400VAC DISTRIBUTION CHECK BACK ON/OPEN</v>
      </c>
      <c r="G611" s="29" t="s">
        <v>3702</v>
      </c>
      <c r="H611" s="29" t="s">
        <v>3703</v>
      </c>
      <c r="I611" s="29" t="str">
        <f t="shared" si="49"/>
        <v>01</v>
      </c>
      <c r="J611" s="29" t="s">
        <v>3704</v>
      </c>
      <c r="K611" s="29" t="s">
        <v>3728</v>
      </c>
      <c r="L611" s="29" t="s">
        <v>3703</v>
      </c>
      <c r="M611" s="29" t="s">
        <v>1619</v>
      </c>
      <c r="N611" s="29" t="s">
        <v>3703</v>
      </c>
      <c r="O611" s="29" t="s">
        <v>3707</v>
      </c>
      <c r="P611" s="29" t="s">
        <v>3708</v>
      </c>
      <c r="Q611" s="29" t="s">
        <v>1623</v>
      </c>
      <c r="R611" s="29" t="s">
        <v>3708</v>
      </c>
      <c r="S611" s="29" t="s">
        <v>2842</v>
      </c>
      <c r="T611" s="29" t="s">
        <v>2829</v>
      </c>
      <c r="U611" s="29" t="s">
        <v>790</v>
      </c>
      <c r="V611" s="29" t="s">
        <v>2639</v>
      </c>
      <c r="W611" s="35" t="s">
        <v>3709</v>
      </c>
      <c r="X611" s="35" t="s">
        <v>3729</v>
      </c>
      <c r="Y611" s="35" t="s">
        <v>3711</v>
      </c>
      <c r="Z611" s="35" t="s">
        <v>2843</v>
      </c>
      <c r="AA611" s="35" t="s">
        <v>2641</v>
      </c>
      <c r="AB611" s="29" t="s">
        <v>2831</v>
      </c>
      <c r="AC611" s="35" t="s">
        <v>1633</v>
      </c>
      <c r="AD611" s="35" t="s">
        <v>1634</v>
      </c>
      <c r="AE611" s="35" t="s">
        <v>1634</v>
      </c>
      <c r="AF611" s="35" t="s">
        <v>1635</v>
      </c>
      <c r="AG611" s="35" t="s">
        <v>2634</v>
      </c>
      <c r="AI611" s="35"/>
      <c r="AJ611" s="35" t="s">
        <v>1637</v>
      </c>
      <c r="AK611" s="35" t="s">
        <v>1672</v>
      </c>
      <c r="AL611" s="29" t="s">
        <v>1803</v>
      </c>
      <c r="AM611" s="35"/>
      <c r="AN611" s="35"/>
      <c r="AO611" s="35"/>
      <c r="AP611" s="35"/>
      <c r="AQ611" s="35"/>
      <c r="AS611" s="35"/>
      <c r="AU611" s="35"/>
      <c r="AW611" s="35"/>
      <c r="AY611" s="35"/>
      <c r="AZ611" s="35"/>
      <c r="BA611" s="35"/>
      <c r="BB611" s="29" t="s">
        <v>3730</v>
      </c>
      <c r="BC611" s="29" t="s">
        <v>2347</v>
      </c>
      <c r="BD611" s="29" t="s">
        <v>2739</v>
      </c>
      <c r="BE611" s="29" t="s">
        <v>1805</v>
      </c>
      <c r="BF611" s="29" t="s">
        <v>1922</v>
      </c>
      <c r="BG611" s="29" t="s">
        <v>3821</v>
      </c>
      <c r="BI611" s="35"/>
      <c r="BJ611" s="35"/>
      <c r="BK611" s="29" t="str" cm="1">
        <f t="array" ref="BK611">_xlfn.UNIQUE(MID(BB611,16,14))</f>
        <v>U012UBB01UH002</v>
      </c>
    </row>
    <row r="612" spans="1:63" x14ac:dyDescent="0.3">
      <c r="A612" s="29" t="s">
        <v>3726</v>
      </c>
      <c r="B612" s="36" t="str">
        <f t="shared" si="45"/>
        <v>K01CSY01UH001-SF01</v>
      </c>
      <c r="C612" s="33" t="s">
        <v>3822</v>
      </c>
      <c r="D612" s="34" t="str">
        <f t="shared" si="46"/>
        <v>CTRL PLNT CAB1 SW OFF WARN CODE</v>
      </c>
      <c r="E612" s="31">
        <f t="shared" si="47"/>
        <v>31</v>
      </c>
      <c r="F612" s="32" t="str">
        <f t="shared" si="48"/>
        <v>PLANT CONTROL SYSTEM PLANT CONTROL SYSTEM 1 PLANT CONTROL SYSTEM PLANT CONTROL SYSTEM AUTOMATION CABINET AUTOMATION CABINET EMERGENCY STOP - PUSHBUTTON - CABINET I&amp;C ELECTROLYSIS ARRAY COMPONENT PROTECTION</v>
      </c>
      <c r="G612" s="29" t="s">
        <v>3702</v>
      </c>
      <c r="H612" s="29" t="s">
        <v>3703</v>
      </c>
      <c r="I612" s="29" t="str">
        <f t="shared" si="49"/>
        <v>01</v>
      </c>
      <c r="J612" s="29" t="s">
        <v>3704</v>
      </c>
      <c r="K612" s="29" t="s">
        <v>3728</v>
      </c>
      <c r="L612" s="29" t="s">
        <v>3703</v>
      </c>
      <c r="M612" s="29" t="s">
        <v>1619</v>
      </c>
      <c r="N612" s="29" t="s">
        <v>3703</v>
      </c>
      <c r="O612" s="29" t="s">
        <v>3707</v>
      </c>
      <c r="P612" s="29" t="s">
        <v>3708</v>
      </c>
      <c r="Q612" s="29" t="s">
        <v>1623</v>
      </c>
      <c r="R612" s="29" t="s">
        <v>3708</v>
      </c>
      <c r="S612" s="29" t="s">
        <v>2862</v>
      </c>
      <c r="T612" s="29" t="s">
        <v>3693</v>
      </c>
      <c r="U612" s="29" t="s">
        <v>1074</v>
      </c>
      <c r="V612" s="29" t="s">
        <v>2864</v>
      </c>
      <c r="W612" s="35" t="s">
        <v>3709</v>
      </c>
      <c r="X612" s="35" t="s">
        <v>3729</v>
      </c>
      <c r="Y612" s="35" t="s">
        <v>3711</v>
      </c>
      <c r="Z612" s="35" t="s">
        <v>2865</v>
      </c>
      <c r="AA612" s="35" t="s">
        <v>2665</v>
      </c>
      <c r="AC612" s="35" t="s">
        <v>1633</v>
      </c>
      <c r="AD612" s="35" t="s">
        <v>1634</v>
      </c>
      <c r="AE612" s="35" t="s">
        <v>1634</v>
      </c>
      <c r="AF612" s="35" t="s">
        <v>1635</v>
      </c>
      <c r="AG612" s="35" t="s">
        <v>2634</v>
      </c>
      <c r="AI612" s="35"/>
      <c r="AJ612" s="35" t="s">
        <v>1637</v>
      </c>
      <c r="AK612" s="35" t="s">
        <v>1638</v>
      </c>
      <c r="AL612" s="29" t="s">
        <v>2866</v>
      </c>
      <c r="AM612" s="35"/>
      <c r="AN612" s="35"/>
      <c r="AO612" s="35"/>
      <c r="AP612" s="35"/>
      <c r="AQ612" s="35"/>
      <c r="AS612" s="35"/>
      <c r="AU612" s="35"/>
      <c r="AW612" s="35"/>
      <c r="AY612" s="35"/>
      <c r="AZ612" s="35" t="s">
        <v>1642</v>
      </c>
      <c r="BA612" s="35" t="s">
        <v>2002</v>
      </c>
      <c r="BD612" s="29" t="s">
        <v>2666</v>
      </c>
      <c r="BE612" s="29" t="s">
        <v>1074</v>
      </c>
      <c r="BG612" s="29" t="s">
        <v>3823</v>
      </c>
      <c r="BI612" s="35"/>
      <c r="BJ612" s="35"/>
      <c r="BK612" s="29" t="str" cm="1">
        <f t="array" ref="BK612">_xlfn.UNIQUE(MID(BB612,16,14))</f>
        <v/>
      </c>
    </row>
    <row r="613" spans="1:63" x14ac:dyDescent="0.3">
      <c r="A613" s="29" t="s">
        <v>3726</v>
      </c>
      <c r="B613" s="36" t="str">
        <f t="shared" si="45"/>
        <v>K01CSY01UH001-SF01</v>
      </c>
      <c r="C613" s="33" t="s">
        <v>3824</v>
      </c>
      <c r="D613" s="34" t="str">
        <f t="shared" si="46"/>
        <v>CTRL PLNT CAB1 SW OFF AL/FLT CODE</v>
      </c>
      <c r="E613" s="31">
        <f t="shared" si="47"/>
        <v>33</v>
      </c>
      <c r="F613" s="32" t="str">
        <f t="shared" si="48"/>
        <v>PLANT CONTROL SYSTEM PLANT CONTROL SYSTEM 1 PLANT CONTROL SYSTEM PLANT CONTROL SYSTEM AUTOMATION CABINET AUTOMATION CABINET EMERGENCY STOP - PUSHBUTTON - CABINET I&amp;C ELECTROLYSIS ARRAY COMPONENT PROTECTION</v>
      </c>
      <c r="G613" s="29" t="s">
        <v>3702</v>
      </c>
      <c r="H613" s="29" t="s">
        <v>3703</v>
      </c>
      <c r="I613" s="29" t="str">
        <f t="shared" si="49"/>
        <v>01</v>
      </c>
      <c r="J613" s="29" t="s">
        <v>3704</v>
      </c>
      <c r="K613" s="29" t="s">
        <v>3728</v>
      </c>
      <c r="L613" s="29" t="s">
        <v>3703</v>
      </c>
      <c r="M613" s="29" t="s">
        <v>1619</v>
      </c>
      <c r="N613" s="29" t="s">
        <v>3703</v>
      </c>
      <c r="O613" s="29" t="s">
        <v>3707</v>
      </c>
      <c r="P613" s="29" t="s">
        <v>3708</v>
      </c>
      <c r="Q613" s="29" t="s">
        <v>1623</v>
      </c>
      <c r="R613" s="29" t="s">
        <v>3708</v>
      </c>
      <c r="S613" s="29" t="s">
        <v>2862</v>
      </c>
      <c r="T613" s="29" t="s">
        <v>3693</v>
      </c>
      <c r="U613" s="29" t="s">
        <v>1360</v>
      </c>
      <c r="V613" s="29" t="s">
        <v>2864</v>
      </c>
      <c r="W613" s="35" t="s">
        <v>3709</v>
      </c>
      <c r="X613" s="35" t="s">
        <v>3729</v>
      </c>
      <c r="Y613" s="35" t="s">
        <v>3711</v>
      </c>
      <c r="Z613" s="35" t="s">
        <v>2865</v>
      </c>
      <c r="AA613" s="35" t="s">
        <v>2670</v>
      </c>
      <c r="AC613" s="35" t="s">
        <v>1633</v>
      </c>
      <c r="AD613" s="35" t="s">
        <v>1634</v>
      </c>
      <c r="AE613" s="35" t="s">
        <v>1634</v>
      </c>
      <c r="AF613" s="35" t="s">
        <v>1635</v>
      </c>
      <c r="AG613" s="35" t="s">
        <v>2634</v>
      </c>
      <c r="AI613" s="35"/>
      <c r="AJ613" s="35" t="s">
        <v>1637</v>
      </c>
      <c r="AK613" s="35" t="s">
        <v>1638</v>
      </c>
      <c r="AL613" s="29" t="s">
        <v>2866</v>
      </c>
      <c r="AM613" s="35"/>
      <c r="AN613" s="35"/>
      <c r="AO613" s="35"/>
      <c r="AP613" s="35"/>
      <c r="AQ613" s="35"/>
      <c r="AS613" s="35"/>
      <c r="AU613" s="35"/>
      <c r="AW613" s="35"/>
      <c r="AY613" s="35"/>
      <c r="AZ613" s="35" t="s">
        <v>1642</v>
      </c>
      <c r="BA613" s="35" t="s">
        <v>2002</v>
      </c>
      <c r="BD613" s="29" t="s">
        <v>2671</v>
      </c>
      <c r="BE613" s="29" t="s">
        <v>1360</v>
      </c>
      <c r="BG613" s="29" t="s">
        <v>3823</v>
      </c>
      <c r="BI613" s="35"/>
      <c r="BJ613" s="35"/>
      <c r="BK613" s="29" t="str" cm="1">
        <f t="array" ref="BK613">_xlfn.UNIQUE(MID(BB613,16,14))</f>
        <v/>
      </c>
    </row>
    <row r="614" spans="1:63" x14ac:dyDescent="0.3">
      <c r="A614" s="29" t="s">
        <v>3726</v>
      </c>
      <c r="B614" s="36" t="str">
        <f t="shared" si="45"/>
        <v>K01CSY01UH001-TB01</v>
      </c>
      <c r="C614" s="33" t="s">
        <v>3825</v>
      </c>
      <c r="D614" s="34" t="str">
        <f t="shared" si="46"/>
        <v>CTRL PLNT CAB1 24VDC MON1 CB ON/OPN</v>
      </c>
      <c r="E614" s="31">
        <f t="shared" si="47"/>
        <v>35</v>
      </c>
      <c r="F614" s="32" t="str">
        <f t="shared" si="48"/>
        <v>PLANT CONTROL SYSTEM PLANT CONTROL SYSTEM 1 PLANT CONTROL SYSTEM PLANT CONTROL SYSTEM AUTOMATION CABINET AUTOMATION CABINET SITOP PSU6200 24 V/20 A CHECK BACK ON/OPEN</v>
      </c>
      <c r="G614" s="29" t="s">
        <v>3702</v>
      </c>
      <c r="H614" s="29" t="s">
        <v>3703</v>
      </c>
      <c r="I614" s="29" t="str">
        <f t="shared" si="49"/>
        <v>01</v>
      </c>
      <c r="J614" s="29" t="s">
        <v>3704</v>
      </c>
      <c r="K614" s="29" t="s">
        <v>3728</v>
      </c>
      <c r="L614" s="29" t="s">
        <v>3703</v>
      </c>
      <c r="M614" s="29" t="s">
        <v>1619</v>
      </c>
      <c r="N614" s="29" t="s">
        <v>3703</v>
      </c>
      <c r="O614" s="29" t="s">
        <v>3707</v>
      </c>
      <c r="P614" s="29" t="s">
        <v>3708</v>
      </c>
      <c r="Q614" s="29" t="s">
        <v>1623</v>
      </c>
      <c r="R614" s="29" t="s">
        <v>3708</v>
      </c>
      <c r="S614" s="29" t="s">
        <v>2870</v>
      </c>
      <c r="T614" s="29" t="s">
        <v>2871</v>
      </c>
      <c r="U614" s="29" t="s">
        <v>790</v>
      </c>
      <c r="V614" s="29" t="s">
        <v>2639</v>
      </c>
      <c r="W614" s="35" t="s">
        <v>3709</v>
      </c>
      <c r="X614" s="35" t="s">
        <v>3729</v>
      </c>
      <c r="Y614" s="35" t="s">
        <v>3711</v>
      </c>
      <c r="Z614" s="35" t="s">
        <v>2872</v>
      </c>
      <c r="AA614" s="35" t="s">
        <v>2641</v>
      </c>
      <c r="AB614" s="29" t="s">
        <v>2870</v>
      </c>
      <c r="AC614" s="35" t="s">
        <v>1633</v>
      </c>
      <c r="AD614" s="35" t="s">
        <v>1634</v>
      </c>
      <c r="AE614" s="35" t="s">
        <v>1634</v>
      </c>
      <c r="AF614" s="35" t="s">
        <v>1635</v>
      </c>
      <c r="AG614" s="35" t="s">
        <v>1670</v>
      </c>
      <c r="AI614" s="35"/>
      <c r="AJ614" s="35" t="s">
        <v>1637</v>
      </c>
      <c r="AK614" s="35" t="s">
        <v>1672</v>
      </c>
      <c r="AL614" s="29" t="s">
        <v>1803</v>
      </c>
      <c r="AM614" s="35"/>
      <c r="AN614" s="35"/>
      <c r="AO614" s="35"/>
      <c r="AP614" s="35"/>
      <c r="AQ614" s="35"/>
      <c r="AS614" s="35"/>
      <c r="AU614" s="35"/>
      <c r="AW614" s="35"/>
      <c r="AY614" s="35"/>
      <c r="AZ614" s="35"/>
      <c r="BA614" s="35"/>
      <c r="BB614" s="29" t="s">
        <v>3738</v>
      </c>
      <c r="BC614" s="29" t="s">
        <v>2347</v>
      </c>
      <c r="BD614" s="29" t="s">
        <v>2739</v>
      </c>
      <c r="BE614" s="29" t="s">
        <v>1805</v>
      </c>
      <c r="BF614" s="29" t="s">
        <v>1905</v>
      </c>
      <c r="BG614" s="29" t="s">
        <v>3826</v>
      </c>
      <c r="BI614" s="35"/>
      <c r="BJ614" s="35"/>
      <c r="BK614" s="29" t="str" cm="1">
        <f t="array" ref="BK614">_xlfn.UNIQUE(MID(BB614,16,14))</f>
        <v>U012UBB01UH002</v>
      </c>
    </row>
    <row r="615" spans="1:63" x14ac:dyDescent="0.3">
      <c r="A615" s="29" t="s">
        <v>3726</v>
      </c>
      <c r="B615" s="36" t="str">
        <f t="shared" si="45"/>
        <v>K01CSY01UH001-TB02</v>
      </c>
      <c r="C615" s="33" t="s">
        <v>3827</v>
      </c>
      <c r="D615" s="34" t="str">
        <f t="shared" si="46"/>
        <v>CTRL PLNT CAB1 24VDC MON2 CB ON/OPN</v>
      </c>
      <c r="E615" s="31">
        <f t="shared" si="47"/>
        <v>35</v>
      </c>
      <c r="F615" s="32" t="str">
        <f t="shared" si="48"/>
        <v>PLANT CONTROL SYSTEM PLANT CONTROL SYSTEM 1 PLANT CONTROL SYSTEM PLANT CONTROL SYSTEM AUTOMATION CABINET AUTOMATION CABINET SITOP PSU6200 24 V/20 A CHECK BACK ON/OPEN</v>
      </c>
      <c r="G615" s="29" t="s">
        <v>3702</v>
      </c>
      <c r="H615" s="29" t="s">
        <v>3703</v>
      </c>
      <c r="I615" s="29" t="str">
        <f t="shared" si="49"/>
        <v>01</v>
      </c>
      <c r="J615" s="29" t="s">
        <v>3704</v>
      </c>
      <c r="K615" s="29" t="s">
        <v>3728</v>
      </c>
      <c r="L615" s="29" t="s">
        <v>3703</v>
      </c>
      <c r="M615" s="29" t="s">
        <v>1619</v>
      </c>
      <c r="N615" s="29" t="s">
        <v>3703</v>
      </c>
      <c r="O615" s="29" t="s">
        <v>3707</v>
      </c>
      <c r="P615" s="29" t="s">
        <v>3708</v>
      </c>
      <c r="Q615" s="29" t="s">
        <v>1623</v>
      </c>
      <c r="R615" s="29" t="s">
        <v>3708</v>
      </c>
      <c r="S615" s="29" t="s">
        <v>2875</v>
      </c>
      <c r="T615" s="29" t="s">
        <v>2871</v>
      </c>
      <c r="U615" s="29" t="s">
        <v>790</v>
      </c>
      <c r="V615" s="29" t="s">
        <v>2639</v>
      </c>
      <c r="W615" s="35" t="s">
        <v>3709</v>
      </c>
      <c r="X615" s="35" t="s">
        <v>3729</v>
      </c>
      <c r="Y615" s="35" t="s">
        <v>3711</v>
      </c>
      <c r="Z615" s="35" t="s">
        <v>2876</v>
      </c>
      <c r="AA615" s="35" t="s">
        <v>2641</v>
      </c>
      <c r="AB615" s="29" t="s">
        <v>2875</v>
      </c>
      <c r="AC615" s="35" t="s">
        <v>1633</v>
      </c>
      <c r="AD615" s="35" t="s">
        <v>1634</v>
      </c>
      <c r="AE615" s="35" t="s">
        <v>1634</v>
      </c>
      <c r="AF615" s="35" t="s">
        <v>1635</v>
      </c>
      <c r="AG615" s="35" t="s">
        <v>2660</v>
      </c>
      <c r="AI615" s="35"/>
      <c r="AJ615" s="35" t="s">
        <v>1637</v>
      </c>
      <c r="AK615" s="35" t="s">
        <v>1672</v>
      </c>
      <c r="AL615" s="29" t="s">
        <v>1803</v>
      </c>
      <c r="AM615" s="35"/>
      <c r="AN615" s="35"/>
      <c r="AO615" s="35"/>
      <c r="AP615" s="35"/>
      <c r="AQ615" s="35"/>
      <c r="AS615" s="35"/>
      <c r="AU615" s="35"/>
      <c r="AW615" s="35"/>
      <c r="AY615" s="35"/>
      <c r="AZ615" s="35"/>
      <c r="BA615" s="35"/>
      <c r="BB615" s="29" t="s">
        <v>3738</v>
      </c>
      <c r="BC615" s="29" t="s">
        <v>2347</v>
      </c>
      <c r="BD615" s="29" t="s">
        <v>2739</v>
      </c>
      <c r="BE615" s="29" t="s">
        <v>1805</v>
      </c>
      <c r="BF615" s="29" t="s">
        <v>1909</v>
      </c>
      <c r="BG615" s="29" t="s">
        <v>3828</v>
      </c>
      <c r="BI615" s="35"/>
      <c r="BJ615" s="35"/>
      <c r="BK615" s="29" t="str" cm="1">
        <f t="array" ref="BK615">_xlfn.UNIQUE(MID(BB615,16,14))</f>
        <v>U012UBB01UH002</v>
      </c>
    </row>
    <row r="616" spans="1:63" x14ac:dyDescent="0.3">
      <c r="A616" s="29" t="s">
        <v>3829</v>
      </c>
      <c r="B616" s="36" t="str">
        <f t="shared" si="45"/>
        <v>T01BBA01QA001-QA01</v>
      </c>
      <c r="C616" s="33" t="s">
        <v>3830</v>
      </c>
      <c r="D616" s="34" t="str">
        <f t="shared" si="46"/>
        <v>EL POW SUP MV MV DIST1 SW1 RDY F OP</v>
      </c>
      <c r="E616" s="31">
        <f t="shared" si="47"/>
        <v>35</v>
      </c>
      <c r="F616" s="32" t="str">
        <f t="shared" si="48"/>
        <v>ELECTRICAL POWER SUPPLY SYSTEM SYSTEM 1 MV SUPPLY SYSTEM - 20KV SYSTEM 1 MV DISTRIBUTION MV DISTRIBUTION UNIT - ARRAY 1 POWER CIRCUIT-BREAKER, 3-POLE READY TO SWITCH ON</v>
      </c>
      <c r="G616" s="29" t="s">
        <v>3831</v>
      </c>
      <c r="H616" s="29" t="s">
        <v>3832</v>
      </c>
      <c r="I616" s="29" t="str">
        <f t="shared" si="49"/>
        <v>01</v>
      </c>
      <c r="J616" s="29" t="s">
        <v>3833</v>
      </c>
      <c r="K616" s="29" t="s">
        <v>3834</v>
      </c>
      <c r="L616" s="29" t="s">
        <v>3835</v>
      </c>
      <c r="M616" s="29" t="s">
        <v>1619</v>
      </c>
      <c r="N616" s="29" t="s">
        <v>3833</v>
      </c>
      <c r="O616" s="29" t="s">
        <v>3836</v>
      </c>
      <c r="P616" s="29" t="s">
        <v>3837</v>
      </c>
      <c r="Q616" s="29" t="s">
        <v>1623</v>
      </c>
      <c r="R616" s="29" t="s">
        <v>3838</v>
      </c>
      <c r="S616" s="29" t="s">
        <v>2709</v>
      </c>
      <c r="T616" s="29" t="s">
        <v>3839</v>
      </c>
      <c r="U616" s="29" t="s">
        <v>1019</v>
      </c>
      <c r="V616" s="29" t="s">
        <v>3840</v>
      </c>
      <c r="W616" s="35" t="s">
        <v>3841</v>
      </c>
      <c r="X616" s="35" t="s">
        <v>3842</v>
      </c>
      <c r="Y616" s="35" t="s">
        <v>3843</v>
      </c>
      <c r="Z616" s="35" t="s">
        <v>2713</v>
      </c>
      <c r="AA616" s="35" t="s">
        <v>3320</v>
      </c>
      <c r="AB616" s="29" t="s">
        <v>3844</v>
      </c>
      <c r="AC616" s="35" t="s">
        <v>1633</v>
      </c>
      <c r="AD616" s="35" t="s">
        <v>1634</v>
      </c>
      <c r="AE616" s="35" t="s">
        <v>1634</v>
      </c>
      <c r="AF616" s="35" t="s">
        <v>1635</v>
      </c>
      <c r="AG616" s="35" t="s">
        <v>1728</v>
      </c>
      <c r="AI616" s="35"/>
      <c r="AJ616" s="35" t="s">
        <v>1637</v>
      </c>
      <c r="AK616" s="35" t="s">
        <v>1672</v>
      </c>
      <c r="AL616" s="29" t="s">
        <v>3845</v>
      </c>
      <c r="AM616" s="35"/>
      <c r="AN616" s="35"/>
      <c r="AO616" s="35"/>
      <c r="AP616" s="35"/>
      <c r="AQ616" s="35"/>
      <c r="AS616" s="35"/>
      <c r="AU616" s="35"/>
      <c r="AW616" s="35"/>
      <c r="AY616" s="35"/>
      <c r="AZ616" s="35"/>
      <c r="BA616" s="35"/>
      <c r="BB616" s="29" t="s">
        <v>3006</v>
      </c>
      <c r="BC616" s="29" t="s">
        <v>2347</v>
      </c>
      <c r="BD616" s="29" t="s">
        <v>3321</v>
      </c>
      <c r="BE616" s="29" t="s">
        <v>1805</v>
      </c>
      <c r="BF616" s="29" t="s">
        <v>1969</v>
      </c>
      <c r="BG616" s="29" t="s">
        <v>3846</v>
      </c>
      <c r="BI616" s="35"/>
      <c r="BJ616" s="35"/>
      <c r="BK616" s="29" t="str" cm="1">
        <f t="array" ref="BK616">_xlfn.UNIQUE(MID(BB616,16,14))</f>
        <v>U012UBB01UC001</v>
      </c>
    </row>
    <row r="617" spans="1:63" x14ac:dyDescent="0.3">
      <c r="A617" s="29" t="s">
        <v>3829</v>
      </c>
      <c r="B617" s="36" t="str">
        <f t="shared" si="45"/>
        <v>T01BBA01QA001-QA01</v>
      </c>
      <c r="C617" s="33" t="s">
        <v>3847</v>
      </c>
      <c r="D617" s="34" t="str">
        <f t="shared" si="46"/>
        <v>EL POW SUP MV MV DIST1 SW1 CB ON/OPN</v>
      </c>
      <c r="E617" s="31">
        <f t="shared" si="47"/>
        <v>36</v>
      </c>
      <c r="F617" s="32" t="str">
        <f t="shared" si="48"/>
        <v>ELECTRICAL POWER SUPPLY SYSTEM SYSTEM 1 MV SUPPLY SYSTEM - 20KV SYSTEM 1 MV DISTRIBUTION MV DISTRIBUTION UNIT - ARRAY 1 POWER CIRCUIT-BREAKER, 3-POLE CHECK BACK ON/OPEN</v>
      </c>
      <c r="G617" s="29" t="s">
        <v>3831</v>
      </c>
      <c r="H617" s="29" t="s">
        <v>3832</v>
      </c>
      <c r="I617" s="29" t="str">
        <f t="shared" si="49"/>
        <v>01</v>
      </c>
      <c r="J617" s="29" t="s">
        <v>3833</v>
      </c>
      <c r="K617" s="29" t="s">
        <v>3834</v>
      </c>
      <c r="L617" s="29" t="s">
        <v>3835</v>
      </c>
      <c r="M617" s="29" t="s">
        <v>1619</v>
      </c>
      <c r="N617" s="29" t="s">
        <v>3833</v>
      </c>
      <c r="O617" s="29" t="s">
        <v>3836</v>
      </c>
      <c r="P617" s="29" t="s">
        <v>3837</v>
      </c>
      <c r="Q617" s="29" t="s">
        <v>1623</v>
      </c>
      <c r="R617" s="29" t="s">
        <v>3838</v>
      </c>
      <c r="S617" s="29" t="s">
        <v>2709</v>
      </c>
      <c r="T617" s="29" t="s">
        <v>3839</v>
      </c>
      <c r="U617" s="29" t="s">
        <v>790</v>
      </c>
      <c r="V617" s="29" t="s">
        <v>2639</v>
      </c>
      <c r="W617" s="35" t="s">
        <v>3841</v>
      </c>
      <c r="X617" s="35" t="s">
        <v>3842</v>
      </c>
      <c r="Y617" s="35" t="s">
        <v>3843</v>
      </c>
      <c r="Z617" s="35" t="s">
        <v>2713</v>
      </c>
      <c r="AA617" s="35" t="s">
        <v>2641</v>
      </c>
      <c r="AB617" s="29" t="s">
        <v>3844</v>
      </c>
      <c r="AC617" s="35" t="s">
        <v>1633</v>
      </c>
      <c r="AD617" s="35"/>
      <c r="AE617" s="35"/>
      <c r="AF617" s="35" t="s">
        <v>1635</v>
      </c>
      <c r="AG617" s="35" t="s">
        <v>1728</v>
      </c>
      <c r="AI617" s="35"/>
      <c r="AJ617" s="35" t="s">
        <v>1637</v>
      </c>
      <c r="AK617" s="35" t="s">
        <v>1672</v>
      </c>
      <c r="AL617" s="29" t="s">
        <v>3845</v>
      </c>
      <c r="AM617" s="35"/>
      <c r="AN617" s="35"/>
      <c r="AO617" s="35"/>
      <c r="AP617" s="35"/>
      <c r="AQ617" s="35"/>
      <c r="AS617" s="35"/>
      <c r="AU617" s="35"/>
      <c r="AW617" s="35"/>
      <c r="AY617" s="35"/>
      <c r="AZ617" s="35"/>
      <c r="BA617" s="35"/>
      <c r="BB617" s="29" t="s">
        <v>3006</v>
      </c>
      <c r="BC617" s="29" t="s">
        <v>2347</v>
      </c>
      <c r="BD617" s="29" t="s">
        <v>2739</v>
      </c>
      <c r="BE617" s="29" t="s">
        <v>1805</v>
      </c>
      <c r="BF617" s="29" t="s">
        <v>1936</v>
      </c>
      <c r="BG617" s="29" t="s">
        <v>3846</v>
      </c>
      <c r="BI617" s="35"/>
      <c r="BJ617" s="35"/>
      <c r="BK617" s="29" t="str" cm="1">
        <f t="array" ref="BK617">_xlfn.UNIQUE(MID(BB617,16,14))</f>
        <v>U012UBB01UC001</v>
      </c>
    </row>
    <row r="618" spans="1:63" x14ac:dyDescent="0.3">
      <c r="A618" s="29" t="s">
        <v>3829</v>
      </c>
      <c r="B618" s="36" t="str">
        <f t="shared" si="45"/>
        <v>T01BBA01QA001-QA01</v>
      </c>
      <c r="C618" s="33" t="s">
        <v>3848</v>
      </c>
      <c r="D618" s="34" t="str">
        <f t="shared" si="46"/>
        <v>EL POW SUP MV MV DIST1 SW1 CB OFF/CLD</v>
      </c>
      <c r="E618" s="31">
        <f t="shared" si="47"/>
        <v>37</v>
      </c>
      <c r="F618" s="32" t="str">
        <f t="shared" si="48"/>
        <v>ELECTRICAL POWER SUPPLY SYSTEM SYSTEM 1 MV SUPPLY SYSTEM - 20KV SYSTEM 1 MV DISTRIBUTION MV DISTRIBUTION UNIT - ARRAY 1 POWER CIRCUIT-BREAKER, 3-POLE CHECK BACK OFF/CLOSED</v>
      </c>
      <c r="G618" s="29" t="s">
        <v>3831</v>
      </c>
      <c r="H618" s="29" t="s">
        <v>3832</v>
      </c>
      <c r="I618" s="29" t="str">
        <f t="shared" si="49"/>
        <v>01</v>
      </c>
      <c r="J618" s="29" t="s">
        <v>3833</v>
      </c>
      <c r="K618" s="29" t="s">
        <v>3834</v>
      </c>
      <c r="L618" s="29" t="s">
        <v>3835</v>
      </c>
      <c r="M618" s="29" t="s">
        <v>1619</v>
      </c>
      <c r="N618" s="29" t="s">
        <v>3833</v>
      </c>
      <c r="O618" s="29" t="s">
        <v>3836</v>
      </c>
      <c r="P618" s="29" t="s">
        <v>3837</v>
      </c>
      <c r="Q618" s="29" t="s">
        <v>1623</v>
      </c>
      <c r="R618" s="29" t="s">
        <v>3838</v>
      </c>
      <c r="S618" s="29" t="s">
        <v>2709</v>
      </c>
      <c r="T618" s="29" t="s">
        <v>3839</v>
      </c>
      <c r="U618" s="29" t="s">
        <v>363</v>
      </c>
      <c r="V618" s="29" t="s">
        <v>2645</v>
      </c>
      <c r="W618" s="35" t="s">
        <v>3841</v>
      </c>
      <c r="X618" s="35" t="s">
        <v>3842</v>
      </c>
      <c r="Y618" s="35" t="s">
        <v>3843</v>
      </c>
      <c r="Z618" s="35" t="s">
        <v>2713</v>
      </c>
      <c r="AA618" s="35" t="s">
        <v>2646</v>
      </c>
      <c r="AB618" s="29" t="s">
        <v>3844</v>
      </c>
      <c r="AC618" s="35" t="s">
        <v>1633</v>
      </c>
      <c r="AD618" s="35"/>
      <c r="AE618" s="35"/>
      <c r="AF618" s="35" t="s">
        <v>1635</v>
      </c>
      <c r="AG618" s="35" t="s">
        <v>1728</v>
      </c>
      <c r="AI618" s="35"/>
      <c r="AJ618" s="35" t="s">
        <v>1637</v>
      </c>
      <c r="AK618" s="35" t="s">
        <v>1672</v>
      </c>
      <c r="AL618" s="29" t="s">
        <v>3845</v>
      </c>
      <c r="AM618" s="35"/>
      <c r="AN618" s="35"/>
      <c r="AO618" s="35"/>
      <c r="AP618" s="35"/>
      <c r="AQ618" s="35"/>
      <c r="AS618" s="35"/>
      <c r="AU618" s="35"/>
      <c r="AW618" s="35"/>
      <c r="AY618" s="35"/>
      <c r="AZ618" s="35"/>
      <c r="BA618" s="35"/>
      <c r="BB618" s="29" t="s">
        <v>3006</v>
      </c>
      <c r="BC618" s="29" t="s">
        <v>2347</v>
      </c>
      <c r="BD618" s="29" t="s">
        <v>3154</v>
      </c>
      <c r="BE618" s="29" t="s">
        <v>1805</v>
      </c>
      <c r="BF618" s="29" t="s">
        <v>2035</v>
      </c>
      <c r="BG618" s="29" t="s">
        <v>3846</v>
      </c>
      <c r="BI618" s="35"/>
      <c r="BJ618" s="35"/>
      <c r="BK618" s="29" t="str" cm="1">
        <f t="array" ref="BK618">_xlfn.UNIQUE(MID(BB618,16,14))</f>
        <v>U012UBB01UC001</v>
      </c>
    </row>
    <row r="619" spans="1:63" x14ac:dyDescent="0.3">
      <c r="A619" s="29" t="s">
        <v>2552</v>
      </c>
      <c r="B619" s="36" t="str">
        <f t="shared" si="45"/>
        <v>V01NHC20CM001-BL04</v>
      </c>
      <c r="C619" s="33" t="s">
        <v>3849</v>
      </c>
      <c r="D619" s="34" t="str">
        <f t="shared" si="46"/>
        <v>GAS TRT H2 LP BUF TNK1 LVL4 AL MAX 1</v>
      </c>
      <c r="E619" s="31">
        <f t="shared" si="47"/>
        <v>36</v>
      </c>
      <c r="F619" s="32" t="str">
        <f t="shared" si="48"/>
        <v>GAS TREATMENT SYSTEM GAS TREATMENT SYSTEM 1 H2 TREATMENT H2 BUFFER TANK BUFFER TANK SYSTEMS BUFFER TANK SYSTEM 10761; VIBR. LEVEL DET., COMP. SYST. LIMIT VALUE &gt;MAX 1</v>
      </c>
      <c r="G619" s="29" t="s">
        <v>2544</v>
      </c>
      <c r="H619" s="29" t="s">
        <v>2545</v>
      </c>
      <c r="I619" s="29" t="str">
        <f t="shared" si="49"/>
        <v>01</v>
      </c>
      <c r="J619" s="29" t="s">
        <v>2546</v>
      </c>
      <c r="K619" s="29" t="s">
        <v>1617</v>
      </c>
      <c r="L619" s="29" t="s">
        <v>1618</v>
      </c>
      <c r="M619" s="29" t="s">
        <v>2554</v>
      </c>
      <c r="N619" s="29" t="s">
        <v>2555</v>
      </c>
      <c r="O619" s="29" t="s">
        <v>1657</v>
      </c>
      <c r="P619" s="29" t="s">
        <v>2556</v>
      </c>
      <c r="Q619" s="29" t="s">
        <v>1623</v>
      </c>
      <c r="R619" s="29" t="s">
        <v>2557</v>
      </c>
      <c r="S619" s="29" t="s">
        <v>3850</v>
      </c>
      <c r="T619" s="29" t="s">
        <v>3851</v>
      </c>
      <c r="U619" s="29" t="s">
        <v>3852</v>
      </c>
      <c r="V619" s="29" t="s">
        <v>3853</v>
      </c>
      <c r="W619" s="35" t="s">
        <v>2549</v>
      </c>
      <c r="X619" s="35" t="s">
        <v>2559</v>
      </c>
      <c r="Y619" s="35" t="s">
        <v>1664</v>
      </c>
      <c r="Z619" s="35" t="s">
        <v>3854</v>
      </c>
      <c r="AA619" s="35" t="s">
        <v>3855</v>
      </c>
      <c r="AB619" s="29" t="s">
        <v>1667</v>
      </c>
      <c r="AC619" s="35" t="s">
        <v>1633</v>
      </c>
      <c r="AD619" s="35" t="s">
        <v>1634</v>
      </c>
      <c r="AE619" s="35" t="s">
        <v>1634</v>
      </c>
      <c r="AF619" s="35" t="s">
        <v>1635</v>
      </c>
      <c r="AG619" s="35" t="s">
        <v>2634</v>
      </c>
      <c r="AI619" s="35"/>
      <c r="AJ619" s="35" t="s">
        <v>1637</v>
      </c>
      <c r="AK619" s="35" t="s">
        <v>1672</v>
      </c>
      <c r="AL619" s="29" t="s">
        <v>2330</v>
      </c>
      <c r="AM619" s="35"/>
      <c r="AN619" s="35"/>
      <c r="AO619" s="35"/>
      <c r="AP619" s="35"/>
      <c r="AQ619" s="35"/>
      <c r="AS619" s="35"/>
      <c r="AU619" s="35"/>
      <c r="AW619" s="35"/>
      <c r="AY619" s="35"/>
      <c r="AZ619" s="35"/>
      <c r="BA619" s="35"/>
      <c r="BH619" s="29" t="s">
        <v>2551</v>
      </c>
      <c r="BI619" s="35"/>
      <c r="BJ619" s="35"/>
      <c r="BK619" s="29" t="str" cm="1">
        <f t="array" ref="BK619">_xlfn.UNIQUE(MID(BB619,16,14))</f>
        <v/>
      </c>
    </row>
    <row r="620" spans="1:63" x14ac:dyDescent="0.3">
      <c r="A620" s="29" t="s">
        <v>2552</v>
      </c>
      <c r="B620" s="36" t="str">
        <f t="shared" si="45"/>
        <v>V01NHC20CM001-BL05</v>
      </c>
      <c r="C620" s="33" t="s">
        <v>3856</v>
      </c>
      <c r="D620" s="34" t="str">
        <f t="shared" si="46"/>
        <v>GAS TRT H2 LP BUF TNK1 LVL5 AL MAX 1</v>
      </c>
      <c r="E620" s="31">
        <f t="shared" si="47"/>
        <v>36</v>
      </c>
      <c r="F620" s="32" t="str">
        <f t="shared" si="48"/>
        <v>GAS TREATMENT SYSTEM GAS TREATMENT SYSTEM 1 H2 TREATMENT H2 BUFFER TANK BUFFER TANK SYSTEMS BUFFER TANK SYSTEM 10761; VIBR. LEVEL DET., COMP. SYST. LIMIT VALUE &gt;MAX 1</v>
      </c>
      <c r="G620" s="29" t="s">
        <v>2544</v>
      </c>
      <c r="H620" s="29" t="s">
        <v>2545</v>
      </c>
      <c r="I620" s="29" t="str">
        <f t="shared" si="49"/>
        <v>01</v>
      </c>
      <c r="J620" s="29" t="s">
        <v>2546</v>
      </c>
      <c r="K620" s="29" t="s">
        <v>1617</v>
      </c>
      <c r="L620" s="29" t="s">
        <v>1618</v>
      </c>
      <c r="M620" s="29" t="s">
        <v>2554</v>
      </c>
      <c r="N620" s="29" t="s">
        <v>2555</v>
      </c>
      <c r="O620" s="29" t="s">
        <v>1657</v>
      </c>
      <c r="P620" s="29" t="s">
        <v>2556</v>
      </c>
      <c r="Q620" s="29" t="s">
        <v>1623</v>
      </c>
      <c r="R620" s="29" t="s">
        <v>2557</v>
      </c>
      <c r="S620" s="29" t="s">
        <v>3857</v>
      </c>
      <c r="T620" s="29" t="s">
        <v>3851</v>
      </c>
      <c r="U620" s="29" t="s">
        <v>3852</v>
      </c>
      <c r="V620" s="29" t="s">
        <v>3853</v>
      </c>
      <c r="W620" s="35" t="s">
        <v>2549</v>
      </c>
      <c r="X620" s="35" t="s">
        <v>2559</v>
      </c>
      <c r="Y620" s="35" t="s">
        <v>1664</v>
      </c>
      <c r="Z620" s="35" t="s">
        <v>3858</v>
      </c>
      <c r="AA620" s="35" t="s">
        <v>3855</v>
      </c>
      <c r="AB620" s="29" t="s">
        <v>1667</v>
      </c>
      <c r="AC620" s="35" t="s">
        <v>1633</v>
      </c>
      <c r="AD620" s="35" t="s">
        <v>1634</v>
      </c>
      <c r="AE620" s="35" t="s">
        <v>1634</v>
      </c>
      <c r="AF620" s="35" t="s">
        <v>1635</v>
      </c>
      <c r="AG620" s="35" t="s">
        <v>2634</v>
      </c>
      <c r="AI620" s="35"/>
      <c r="AJ620" s="35" t="s">
        <v>1637</v>
      </c>
      <c r="AK620" s="35" t="s">
        <v>1672</v>
      </c>
      <c r="AL620" s="29" t="s">
        <v>2330</v>
      </c>
      <c r="AM620" s="35"/>
      <c r="AN620" s="35"/>
      <c r="AO620" s="35"/>
      <c r="AP620" s="35"/>
      <c r="AQ620" s="35"/>
      <c r="AS620" s="35"/>
      <c r="AT620" s="29" t="s">
        <v>1640</v>
      </c>
      <c r="AU620" s="35"/>
      <c r="AW620" s="35"/>
      <c r="AY620" s="35"/>
      <c r="AZ620" s="35"/>
      <c r="BA620" s="35"/>
      <c r="BH620" s="29" t="s">
        <v>2551</v>
      </c>
      <c r="BI620" s="35"/>
      <c r="BJ620" s="35"/>
      <c r="BK620" s="29" t="str" cm="1">
        <f t="array" ref="BK620">_xlfn.UNIQUE(MID(BB620,16,14))</f>
        <v/>
      </c>
    </row>
    <row r="621" spans="1:63" x14ac:dyDescent="0.3">
      <c r="A621" s="29" t="s">
        <v>2566</v>
      </c>
      <c r="B621" s="36" t="str">
        <f t="shared" si="45"/>
        <v>V01NHC30WP001-QM02</v>
      </c>
      <c r="C621" s="33" t="s">
        <v>3859</v>
      </c>
      <c r="D621" s="34" t="str">
        <f t="shared" si="46"/>
        <v>GAS TRT H2 COMPR PIPING SV2 CB ON/OPN</v>
      </c>
      <c r="E621" s="31">
        <f t="shared" si="47"/>
        <v>37</v>
      </c>
      <c r="F621" s="32" t="str">
        <f t="shared" si="48"/>
        <v>GAS TREATMENT SYSTEM GAS TREATMENT SYSTEM 1 H2 TREATMENT H2 COMPRESSOR SYSTEM 30BAR COMPRESSOR PIPE SYSTEMS COMPRESSOR PIPE SYSTEM INLET LINE 2-WAY SHUT-OFF VALVE (GENERAL) CHECK BACK ON/OPEN</v>
      </c>
      <c r="G621" s="29" t="s">
        <v>2544</v>
      </c>
      <c r="H621" s="29" t="s">
        <v>2545</v>
      </c>
      <c r="I621" s="29" t="str">
        <f t="shared" si="49"/>
        <v>01</v>
      </c>
      <c r="J621" s="29" t="s">
        <v>2546</v>
      </c>
      <c r="K621" s="29" t="s">
        <v>1617</v>
      </c>
      <c r="L621" s="29" t="s">
        <v>1618</v>
      </c>
      <c r="M621" s="29" t="s">
        <v>2568</v>
      </c>
      <c r="N621" s="29" t="s">
        <v>2569</v>
      </c>
      <c r="O621" s="29" t="s">
        <v>1781</v>
      </c>
      <c r="P621" s="29" t="s">
        <v>2570</v>
      </c>
      <c r="Q621" s="29" t="s">
        <v>1623</v>
      </c>
      <c r="R621" s="29" t="s">
        <v>2571</v>
      </c>
      <c r="S621" s="29" t="s">
        <v>3860</v>
      </c>
      <c r="T621" s="29" t="s">
        <v>3861</v>
      </c>
      <c r="U621" s="29" t="s">
        <v>790</v>
      </c>
      <c r="V621" s="29" t="s">
        <v>2639</v>
      </c>
      <c r="W621" s="35" t="s">
        <v>2549</v>
      </c>
      <c r="X621" s="35" t="s">
        <v>2573</v>
      </c>
      <c r="Y621" s="35" t="s">
        <v>1785</v>
      </c>
      <c r="Z621" s="35" t="s">
        <v>3862</v>
      </c>
      <c r="AA621" s="35" t="s">
        <v>2641</v>
      </c>
      <c r="AB621" s="29" t="s">
        <v>1667</v>
      </c>
      <c r="AC621" s="35" t="s">
        <v>1633</v>
      </c>
      <c r="AD621" s="35" t="s">
        <v>1634</v>
      </c>
      <c r="AE621" s="35" t="s">
        <v>1634</v>
      </c>
      <c r="AF621" s="35" t="s">
        <v>1635</v>
      </c>
      <c r="AG621" s="35" t="s">
        <v>1636</v>
      </c>
      <c r="AI621" s="35"/>
      <c r="AJ621" s="35" t="s">
        <v>1637</v>
      </c>
      <c r="AK621" s="35" t="s">
        <v>1672</v>
      </c>
      <c r="AL621" s="29" t="s">
        <v>1803</v>
      </c>
      <c r="AM621" s="35"/>
      <c r="AN621" s="35"/>
      <c r="AO621" s="35"/>
      <c r="AP621" s="35"/>
      <c r="AQ621" s="35"/>
      <c r="AS621" s="35"/>
      <c r="AU621" s="35"/>
      <c r="AW621" s="35"/>
      <c r="AY621" s="35"/>
      <c r="AZ621" s="35"/>
      <c r="BA621" s="35"/>
      <c r="BH621" s="29" t="s">
        <v>2574</v>
      </c>
      <c r="BI621" s="35"/>
      <c r="BJ621" s="35"/>
      <c r="BK621" s="29" t="str" cm="1">
        <f t="array" ref="BK621">_xlfn.UNIQUE(MID(BB621,16,14))</f>
        <v/>
      </c>
    </row>
    <row r="622" spans="1:63" x14ac:dyDescent="0.3">
      <c r="A622" s="29" t="s">
        <v>2566</v>
      </c>
      <c r="B622" s="36" t="str">
        <f t="shared" si="45"/>
        <v>V01NHC30WP001-QM02</v>
      </c>
      <c r="C622" s="33" t="s">
        <v>3863</v>
      </c>
      <c r="D622" s="34" t="str">
        <f t="shared" si="46"/>
        <v>GAS TRT H2 COMPR PIPING SV2 CB OFF/CLD</v>
      </c>
      <c r="E622" s="31">
        <f t="shared" si="47"/>
        <v>38</v>
      </c>
      <c r="F622" s="32" t="str">
        <f t="shared" si="48"/>
        <v>GAS TREATMENT SYSTEM GAS TREATMENT SYSTEM 1 H2 TREATMENT H2 COMPRESSOR SYSTEM 30BAR COMPRESSOR PIPE SYSTEMS COMPRESSOR PIPE SYSTEM INLET LINE 2-WAY SHUT-OFF VALVE (GENERAL) CHECK BACK OFF/CLOSED</v>
      </c>
      <c r="G622" s="29" t="s">
        <v>2544</v>
      </c>
      <c r="H622" s="29" t="s">
        <v>2545</v>
      </c>
      <c r="I622" s="29" t="str">
        <f t="shared" si="49"/>
        <v>01</v>
      </c>
      <c r="J622" s="29" t="s">
        <v>2546</v>
      </c>
      <c r="K622" s="29" t="s">
        <v>1617</v>
      </c>
      <c r="L622" s="29" t="s">
        <v>1618</v>
      </c>
      <c r="M622" s="29" t="s">
        <v>2568</v>
      </c>
      <c r="N622" s="29" t="s">
        <v>2569</v>
      </c>
      <c r="O622" s="29" t="s">
        <v>1781</v>
      </c>
      <c r="P622" s="29" t="s">
        <v>2570</v>
      </c>
      <c r="Q622" s="29" t="s">
        <v>1623</v>
      </c>
      <c r="R622" s="29" t="s">
        <v>2571</v>
      </c>
      <c r="S622" s="29" t="s">
        <v>3860</v>
      </c>
      <c r="T622" s="29" t="s">
        <v>3861</v>
      </c>
      <c r="U622" s="29" t="s">
        <v>363</v>
      </c>
      <c r="V622" s="29" t="s">
        <v>2645</v>
      </c>
      <c r="W622" s="35" t="s">
        <v>2549</v>
      </c>
      <c r="X622" s="35" t="s">
        <v>2573</v>
      </c>
      <c r="Y622" s="35" t="s">
        <v>1785</v>
      </c>
      <c r="Z622" s="35" t="s">
        <v>3862</v>
      </c>
      <c r="AA622" s="35" t="s">
        <v>2646</v>
      </c>
      <c r="AB622" s="29" t="s">
        <v>1667</v>
      </c>
      <c r="AC622" s="35" t="s">
        <v>1633</v>
      </c>
      <c r="AD622" s="35" t="s">
        <v>1634</v>
      </c>
      <c r="AE622" s="35" t="s">
        <v>1634</v>
      </c>
      <c r="AF622" s="35" t="s">
        <v>1635</v>
      </c>
      <c r="AG622" s="35" t="s">
        <v>1636</v>
      </c>
      <c r="AI622" s="35"/>
      <c r="AJ622" s="35" t="s">
        <v>1637</v>
      </c>
      <c r="AK622" s="35" t="s">
        <v>1672</v>
      </c>
      <c r="AL622" s="29" t="s">
        <v>1803</v>
      </c>
      <c r="AM622" s="35"/>
      <c r="AN622" s="35"/>
      <c r="AO622" s="35"/>
      <c r="AP622" s="35"/>
      <c r="AQ622" s="35"/>
      <c r="AS622" s="35"/>
      <c r="AU622" s="35"/>
      <c r="AW622" s="35"/>
      <c r="AY622" s="35"/>
      <c r="AZ622" s="35"/>
      <c r="BA622" s="35"/>
      <c r="BH622" s="29" t="s">
        <v>2574</v>
      </c>
      <c r="BI622" s="35"/>
      <c r="BJ622" s="35"/>
      <c r="BK622" s="29" t="str" cm="1">
        <f t="array" ref="BK622">_xlfn.UNIQUE(MID(BB622,16,14))</f>
        <v/>
      </c>
    </row>
    <row r="623" spans="1:63" x14ac:dyDescent="0.3">
      <c r="A623" s="29" t="s">
        <v>2566</v>
      </c>
      <c r="B623" s="36" t="str">
        <f t="shared" si="45"/>
        <v>V01NHC30WP001-QM03</v>
      </c>
      <c r="C623" s="33" t="s">
        <v>3864</v>
      </c>
      <c r="D623" s="34" t="str">
        <f t="shared" si="46"/>
        <v>GAS TRT H2 COMPR PIPING SV3 CB ON/OPN</v>
      </c>
      <c r="E623" s="31">
        <f t="shared" si="47"/>
        <v>37</v>
      </c>
      <c r="F623" s="32" t="str">
        <f t="shared" si="48"/>
        <v>GAS TREATMENT SYSTEM GAS TREATMENT SYSTEM 1 H2 TREATMENT H2 COMPRESSOR SYSTEM 30BAR COMPRESSOR PIPE SYSTEMS COMPRESSOR PIPE SYSTEM INLET LINE BALL VALVE (GENERAL) CHECK BACK ON/OPEN</v>
      </c>
      <c r="G623" s="29" t="s">
        <v>2544</v>
      </c>
      <c r="H623" s="29" t="s">
        <v>2545</v>
      </c>
      <c r="I623" s="29" t="str">
        <f t="shared" si="49"/>
        <v>01</v>
      </c>
      <c r="J623" s="29" t="s">
        <v>2546</v>
      </c>
      <c r="K623" s="29" t="s">
        <v>1617</v>
      </c>
      <c r="L623" s="29" t="s">
        <v>1618</v>
      </c>
      <c r="M623" s="29" t="s">
        <v>2568</v>
      </c>
      <c r="N623" s="29" t="s">
        <v>2569</v>
      </c>
      <c r="O623" s="29" t="s">
        <v>1781</v>
      </c>
      <c r="P623" s="29" t="s">
        <v>2570</v>
      </c>
      <c r="Q623" s="29" t="s">
        <v>1623</v>
      </c>
      <c r="R623" s="29" t="s">
        <v>2571</v>
      </c>
      <c r="S623" s="29" t="s">
        <v>3865</v>
      </c>
      <c r="T623" s="29" t="s">
        <v>2638</v>
      </c>
      <c r="U623" s="29" t="s">
        <v>790</v>
      </c>
      <c r="V623" s="29" t="s">
        <v>2639</v>
      </c>
      <c r="W623" s="35" t="s">
        <v>2549</v>
      </c>
      <c r="X623" s="35" t="s">
        <v>2573</v>
      </c>
      <c r="Y623" s="35" t="s">
        <v>1785</v>
      </c>
      <c r="Z623" s="35" t="s">
        <v>3866</v>
      </c>
      <c r="AA623" s="35" t="s">
        <v>2641</v>
      </c>
      <c r="AB623" s="29" t="s">
        <v>1667</v>
      </c>
      <c r="AC623" s="35" t="s">
        <v>1633</v>
      </c>
      <c r="AD623" s="35" t="s">
        <v>1634</v>
      </c>
      <c r="AE623" s="35" t="s">
        <v>1634</v>
      </c>
      <c r="AF623" s="35" t="s">
        <v>1635</v>
      </c>
      <c r="AG623" s="35" t="s">
        <v>1636</v>
      </c>
      <c r="AI623" s="35"/>
      <c r="AJ623" s="35" t="s">
        <v>1637</v>
      </c>
      <c r="AK623" s="35" t="s">
        <v>1672</v>
      </c>
      <c r="AL623" s="29" t="s">
        <v>1803</v>
      </c>
      <c r="AM623" s="35"/>
      <c r="AN623" s="35"/>
      <c r="AO623" s="35"/>
      <c r="AP623" s="35"/>
      <c r="AQ623" s="35"/>
      <c r="AS623" s="35"/>
      <c r="AU623" s="35"/>
      <c r="AW623" s="35"/>
      <c r="AY623" s="35"/>
      <c r="AZ623" s="35"/>
      <c r="BA623" s="35"/>
      <c r="BH623" s="29" t="s">
        <v>2574</v>
      </c>
      <c r="BI623" s="35"/>
      <c r="BJ623" s="35"/>
      <c r="BK623" s="29" t="str" cm="1">
        <f t="array" ref="BK623">_xlfn.UNIQUE(MID(BB623,16,14))</f>
        <v/>
      </c>
    </row>
    <row r="624" spans="1:63" x14ac:dyDescent="0.3">
      <c r="A624" s="29" t="s">
        <v>2566</v>
      </c>
      <c r="B624" s="36" t="str">
        <f t="shared" si="45"/>
        <v>V01NHC30WP001-QM03</v>
      </c>
      <c r="C624" s="33" t="s">
        <v>3867</v>
      </c>
      <c r="D624" s="34" t="str">
        <f t="shared" si="46"/>
        <v>GAS TRT H2 COMPR PIPING SV3 CB OFF/CLD</v>
      </c>
      <c r="E624" s="31">
        <f t="shared" si="47"/>
        <v>38</v>
      </c>
      <c r="F624" s="32" t="str">
        <f t="shared" si="48"/>
        <v>GAS TREATMENT SYSTEM GAS TREATMENT SYSTEM 1 H2 TREATMENT H2 COMPRESSOR SYSTEM 30BAR COMPRESSOR PIPE SYSTEMS COMPRESSOR PIPE SYSTEM INLET LINE BALL VALVE (GENERAL) CHECK BACK OFF/CLOSED</v>
      </c>
      <c r="G624" s="29" t="s">
        <v>2544</v>
      </c>
      <c r="H624" s="29" t="s">
        <v>2545</v>
      </c>
      <c r="I624" s="29" t="str">
        <f t="shared" si="49"/>
        <v>01</v>
      </c>
      <c r="J624" s="29" t="s">
        <v>2546</v>
      </c>
      <c r="K624" s="29" t="s">
        <v>1617</v>
      </c>
      <c r="L624" s="29" t="s">
        <v>1618</v>
      </c>
      <c r="M624" s="29" t="s">
        <v>2568</v>
      </c>
      <c r="N624" s="29" t="s">
        <v>2569</v>
      </c>
      <c r="O624" s="29" t="s">
        <v>1781</v>
      </c>
      <c r="P624" s="29" t="s">
        <v>2570</v>
      </c>
      <c r="Q624" s="29" t="s">
        <v>1623</v>
      </c>
      <c r="R624" s="29" t="s">
        <v>2571</v>
      </c>
      <c r="S624" s="29" t="s">
        <v>3865</v>
      </c>
      <c r="T624" s="29" t="s">
        <v>2638</v>
      </c>
      <c r="U624" s="29" t="s">
        <v>363</v>
      </c>
      <c r="V624" s="29" t="s">
        <v>2645</v>
      </c>
      <c r="W624" s="35" t="s">
        <v>2549</v>
      </c>
      <c r="X624" s="35" t="s">
        <v>2573</v>
      </c>
      <c r="Y624" s="35" t="s">
        <v>1785</v>
      </c>
      <c r="Z624" s="35" t="s">
        <v>3866</v>
      </c>
      <c r="AA624" s="35" t="s">
        <v>2646</v>
      </c>
      <c r="AB624" s="29" t="s">
        <v>1667</v>
      </c>
      <c r="AC624" s="35" t="s">
        <v>1633</v>
      </c>
      <c r="AD624" s="35" t="s">
        <v>1634</v>
      </c>
      <c r="AE624" s="35" t="s">
        <v>1634</v>
      </c>
      <c r="AF624" s="35" t="s">
        <v>1635</v>
      </c>
      <c r="AG624" s="35" t="s">
        <v>1636</v>
      </c>
      <c r="AI624" s="35"/>
      <c r="AJ624" s="35" t="s">
        <v>1637</v>
      </c>
      <c r="AK624" s="35" t="s">
        <v>1672</v>
      </c>
      <c r="AL624" s="29" t="s">
        <v>1803</v>
      </c>
      <c r="AM624" s="35"/>
      <c r="AN624" s="35"/>
      <c r="AO624" s="35"/>
      <c r="AP624" s="35"/>
      <c r="AQ624" s="35"/>
      <c r="AS624" s="35"/>
      <c r="AU624" s="35"/>
      <c r="AW624" s="35"/>
      <c r="AY624" s="35"/>
      <c r="AZ624" s="35"/>
      <c r="BA624" s="35"/>
      <c r="BH624" s="29" t="s">
        <v>2574</v>
      </c>
      <c r="BI624" s="35"/>
      <c r="BJ624" s="35"/>
      <c r="BK624" s="29" t="str" cm="1">
        <f t="array" ref="BK624">_xlfn.UNIQUE(MID(BB624,16,14))</f>
        <v/>
      </c>
    </row>
    <row r="625" spans="1:63" x14ac:dyDescent="0.3">
      <c r="A625" s="29" t="s">
        <v>2566</v>
      </c>
      <c r="B625" s="36" t="str">
        <f t="shared" si="45"/>
        <v>V01NHC30WP001-QM06</v>
      </c>
      <c r="C625" s="33" t="s">
        <v>3868</v>
      </c>
      <c r="D625" s="34" t="str">
        <f t="shared" si="46"/>
        <v>GAS TRT H2 COMPR PIPING SV6 CB ON/OPN</v>
      </c>
      <c r="E625" s="31">
        <f t="shared" si="47"/>
        <v>37</v>
      </c>
      <c r="F625" s="32" t="str">
        <f t="shared" si="48"/>
        <v>GAS TREATMENT SYSTEM GAS TREATMENT SYSTEM 1 H2 TREATMENT H2 COMPRESSOR SYSTEM 30BAR COMPRESSOR PIPE SYSTEMS COMPRESSOR PIPE SYSTEM INLET LINE BUTTERFLY VALVE (GEN.) CHECK BACK ON/OPEN</v>
      </c>
      <c r="G625" s="29" t="s">
        <v>2544</v>
      </c>
      <c r="H625" s="29" t="s">
        <v>2545</v>
      </c>
      <c r="I625" s="29" t="str">
        <f t="shared" si="49"/>
        <v>01</v>
      </c>
      <c r="J625" s="29" t="s">
        <v>2546</v>
      </c>
      <c r="K625" s="29" t="s">
        <v>1617</v>
      </c>
      <c r="L625" s="29" t="s">
        <v>1618</v>
      </c>
      <c r="M625" s="29" t="s">
        <v>2568</v>
      </c>
      <c r="N625" s="29" t="s">
        <v>2569</v>
      </c>
      <c r="O625" s="29" t="s">
        <v>1781</v>
      </c>
      <c r="P625" s="29" t="s">
        <v>2570</v>
      </c>
      <c r="Q625" s="29" t="s">
        <v>1623</v>
      </c>
      <c r="R625" s="29" t="s">
        <v>2571</v>
      </c>
      <c r="S625" s="29" t="s">
        <v>3869</v>
      </c>
      <c r="T625" s="29" t="s">
        <v>3870</v>
      </c>
      <c r="U625" s="29" t="s">
        <v>790</v>
      </c>
      <c r="V625" s="29" t="s">
        <v>2639</v>
      </c>
      <c r="W625" s="35" t="s">
        <v>2549</v>
      </c>
      <c r="X625" s="35" t="s">
        <v>2573</v>
      </c>
      <c r="Y625" s="35" t="s">
        <v>1785</v>
      </c>
      <c r="Z625" s="35" t="s">
        <v>3871</v>
      </c>
      <c r="AA625" s="35" t="s">
        <v>2641</v>
      </c>
      <c r="AB625" s="29" t="s">
        <v>1667</v>
      </c>
      <c r="AC625" s="35" t="s">
        <v>1633</v>
      </c>
      <c r="AD625" s="35" t="s">
        <v>1634</v>
      </c>
      <c r="AE625" s="35" t="s">
        <v>1634</v>
      </c>
      <c r="AF625" s="35" t="s">
        <v>1635</v>
      </c>
      <c r="AG625" s="35" t="s">
        <v>1636</v>
      </c>
      <c r="AI625" s="35"/>
      <c r="AJ625" s="35" t="s">
        <v>1637</v>
      </c>
      <c r="AK625" s="35" t="s">
        <v>1672</v>
      </c>
      <c r="AL625" s="29" t="s">
        <v>1803</v>
      </c>
      <c r="AM625" s="35"/>
      <c r="AN625" s="35"/>
      <c r="AO625" s="35"/>
      <c r="AP625" s="35"/>
      <c r="AQ625" s="35"/>
      <c r="AS625" s="35"/>
      <c r="AU625" s="35"/>
      <c r="AW625" s="35"/>
      <c r="AY625" s="35"/>
      <c r="AZ625" s="35"/>
      <c r="BA625" s="35"/>
      <c r="BH625" s="29" t="s">
        <v>2574</v>
      </c>
      <c r="BI625" s="35"/>
      <c r="BJ625" s="35"/>
      <c r="BK625" s="29" t="str" cm="1">
        <f t="array" ref="BK625">_xlfn.UNIQUE(MID(BB625,16,14))</f>
        <v/>
      </c>
    </row>
    <row r="626" spans="1:63" x14ac:dyDescent="0.3">
      <c r="A626" s="29" t="s">
        <v>2566</v>
      </c>
      <c r="B626" s="36" t="str">
        <f t="shared" si="45"/>
        <v>V01NHC30WP001-QM06</v>
      </c>
      <c r="C626" s="33" t="s">
        <v>3872</v>
      </c>
      <c r="D626" s="34" t="str">
        <f t="shared" si="46"/>
        <v>GAS TRT H2 COMPR PIPING SV6 CB OFF/CLD</v>
      </c>
      <c r="E626" s="31">
        <f t="shared" si="47"/>
        <v>38</v>
      </c>
      <c r="F626" s="32" t="str">
        <f t="shared" si="48"/>
        <v>GAS TREATMENT SYSTEM GAS TREATMENT SYSTEM 1 H2 TREATMENT H2 COMPRESSOR SYSTEM 30BAR COMPRESSOR PIPE SYSTEMS COMPRESSOR PIPE SYSTEM INLET LINE BUTTERFLY VALVE (GEN.) CHECK BACK OFF/CLOSED</v>
      </c>
      <c r="G626" s="29" t="s">
        <v>2544</v>
      </c>
      <c r="H626" s="29" t="s">
        <v>2545</v>
      </c>
      <c r="I626" s="29" t="str">
        <f t="shared" si="49"/>
        <v>01</v>
      </c>
      <c r="J626" s="29" t="s">
        <v>2546</v>
      </c>
      <c r="K626" s="29" t="s">
        <v>1617</v>
      </c>
      <c r="L626" s="29" t="s">
        <v>1618</v>
      </c>
      <c r="M626" s="29" t="s">
        <v>2568</v>
      </c>
      <c r="N626" s="29" t="s">
        <v>2569</v>
      </c>
      <c r="O626" s="29" t="s">
        <v>1781</v>
      </c>
      <c r="P626" s="29" t="s">
        <v>2570</v>
      </c>
      <c r="Q626" s="29" t="s">
        <v>1623</v>
      </c>
      <c r="R626" s="29" t="s">
        <v>2571</v>
      </c>
      <c r="S626" s="29" t="s">
        <v>3869</v>
      </c>
      <c r="T626" s="29" t="s">
        <v>3870</v>
      </c>
      <c r="U626" s="29" t="s">
        <v>363</v>
      </c>
      <c r="V626" s="29" t="s">
        <v>2645</v>
      </c>
      <c r="W626" s="35" t="s">
        <v>2549</v>
      </c>
      <c r="X626" s="35" t="s">
        <v>2573</v>
      </c>
      <c r="Y626" s="35" t="s">
        <v>1785</v>
      </c>
      <c r="Z626" s="35" t="s">
        <v>3871</v>
      </c>
      <c r="AA626" s="35" t="s">
        <v>2646</v>
      </c>
      <c r="AB626" s="29" t="s">
        <v>1667</v>
      </c>
      <c r="AC626" s="35" t="s">
        <v>1633</v>
      </c>
      <c r="AD626" s="35" t="s">
        <v>1634</v>
      </c>
      <c r="AE626" s="35" t="s">
        <v>1634</v>
      </c>
      <c r="AF626" s="35" t="s">
        <v>1635</v>
      </c>
      <c r="AG626" s="35" t="s">
        <v>1636</v>
      </c>
      <c r="AI626" s="35"/>
      <c r="AJ626" s="35" t="s">
        <v>1637</v>
      </c>
      <c r="AK626" s="35" t="s">
        <v>1672</v>
      </c>
      <c r="AL626" s="29" t="s">
        <v>1803</v>
      </c>
      <c r="AM626" s="35"/>
      <c r="AN626" s="35"/>
      <c r="AO626" s="35"/>
      <c r="AP626" s="35"/>
      <c r="AQ626" s="35"/>
      <c r="AS626" s="35"/>
      <c r="AU626" s="35"/>
      <c r="AW626" s="35"/>
      <c r="AY626" s="35"/>
      <c r="AZ626" s="35"/>
      <c r="BA626" s="35"/>
      <c r="BH626" s="29" t="s">
        <v>2574</v>
      </c>
      <c r="BI626" s="35"/>
      <c r="BJ626" s="35"/>
      <c r="BK626" s="29" t="str" cm="1">
        <f t="array" ref="BK626">_xlfn.UNIQUE(MID(BB626,16,14))</f>
        <v/>
      </c>
    </row>
    <row r="627" spans="1:63" x14ac:dyDescent="0.3">
      <c r="A627" s="29" t="s">
        <v>3873</v>
      </c>
      <c r="B627" s="36" t="str">
        <f t="shared" si="45"/>
        <v>V01NHC30WP002-QM01</v>
      </c>
      <c r="C627" s="33" t="s">
        <v>3874</v>
      </c>
      <c r="D627" s="34" t="str">
        <f t="shared" si="46"/>
        <v>GAS TRT H2 COMPR PIPING SV1 CB ON/OPN</v>
      </c>
      <c r="E627" s="31">
        <f t="shared" si="47"/>
        <v>37</v>
      </c>
      <c r="F627" s="32" t="str">
        <f t="shared" si="48"/>
        <v>GAS TREATMENT SYSTEM GAS TREATMENT SYSTEM 1 H2 TREATMENT H2 COMPRESSOR SYSTEM 30BAR COMPRESSOR PIPE SYSTEMS COMPRESSOR PIPE SYSTEM OUTLET LINE BALL VALVE (GENERAL) CHECK BACK ON/OPEN</v>
      </c>
      <c r="G627" s="29" t="s">
        <v>2544</v>
      </c>
      <c r="H627" s="29" t="s">
        <v>2545</v>
      </c>
      <c r="I627" s="29" t="str">
        <f t="shared" si="49"/>
        <v>01</v>
      </c>
      <c r="J627" s="29" t="s">
        <v>2546</v>
      </c>
      <c r="K627" s="29" t="s">
        <v>1617</v>
      </c>
      <c r="L627" s="29" t="s">
        <v>1618</v>
      </c>
      <c r="M627" s="29" t="s">
        <v>2568</v>
      </c>
      <c r="N627" s="29" t="s">
        <v>2569</v>
      </c>
      <c r="O627" s="29" t="s">
        <v>1781</v>
      </c>
      <c r="P627" s="29" t="s">
        <v>2570</v>
      </c>
      <c r="Q627" s="29" t="s">
        <v>1872</v>
      </c>
      <c r="R627" s="29" t="s">
        <v>3875</v>
      </c>
      <c r="S627" s="29" t="s">
        <v>3471</v>
      </c>
      <c r="T627" s="29" t="s">
        <v>2638</v>
      </c>
      <c r="U627" s="29" t="s">
        <v>790</v>
      </c>
      <c r="V627" s="29" t="s">
        <v>2639</v>
      </c>
      <c r="W627" s="35" t="s">
        <v>2549</v>
      </c>
      <c r="X627" s="35" t="s">
        <v>2573</v>
      </c>
      <c r="Y627" s="35" t="s">
        <v>1785</v>
      </c>
      <c r="Z627" s="35" t="s">
        <v>3473</v>
      </c>
      <c r="AA627" s="35" t="s">
        <v>2641</v>
      </c>
      <c r="AB627" s="29" t="s">
        <v>1667</v>
      </c>
      <c r="AC627" s="35" t="s">
        <v>1633</v>
      </c>
      <c r="AD627" s="35" t="s">
        <v>1634</v>
      </c>
      <c r="AE627" s="35" t="s">
        <v>1634</v>
      </c>
      <c r="AF627" s="35" t="s">
        <v>1635</v>
      </c>
      <c r="AG627" s="35" t="s">
        <v>1636</v>
      </c>
      <c r="AI627" s="35"/>
      <c r="AJ627" s="35" t="s">
        <v>1637</v>
      </c>
      <c r="AK627" s="35" t="s">
        <v>1672</v>
      </c>
      <c r="AL627" s="29" t="s">
        <v>1803</v>
      </c>
      <c r="AM627" s="35"/>
      <c r="AN627" s="35"/>
      <c r="AO627" s="35"/>
      <c r="AP627" s="35"/>
      <c r="AQ627" s="35"/>
      <c r="AS627" s="35"/>
      <c r="AU627" s="35"/>
      <c r="AW627" s="35"/>
      <c r="AY627" s="35"/>
      <c r="AZ627" s="35"/>
      <c r="BA627" s="35"/>
      <c r="BH627" s="29" t="s">
        <v>2574</v>
      </c>
      <c r="BI627" s="35"/>
      <c r="BJ627" s="35"/>
      <c r="BK627" s="29" t="str" cm="1">
        <f t="array" ref="BK627">_xlfn.UNIQUE(MID(BB627,16,14))</f>
        <v/>
      </c>
    </row>
    <row r="628" spans="1:63" x14ac:dyDescent="0.3">
      <c r="A628" s="29" t="s">
        <v>3873</v>
      </c>
      <c r="B628" s="36" t="str">
        <f t="shared" si="45"/>
        <v>V01NHC30WP002-QM01</v>
      </c>
      <c r="C628" s="33" t="s">
        <v>3876</v>
      </c>
      <c r="D628" s="34" t="str">
        <f t="shared" si="46"/>
        <v>GAS TRT H2 COMPR PIPING SV1 CB OFF/CLD</v>
      </c>
      <c r="E628" s="31">
        <f t="shared" si="47"/>
        <v>38</v>
      </c>
      <c r="F628" s="32" t="str">
        <f t="shared" si="48"/>
        <v>GAS TREATMENT SYSTEM GAS TREATMENT SYSTEM 1 H2 TREATMENT H2 COMPRESSOR SYSTEM 30BAR COMPRESSOR PIPE SYSTEMS COMPRESSOR PIPE SYSTEM OUTLET LINE BALL VALVE (GENERAL) CHECK BACK OFF/CLOSED</v>
      </c>
      <c r="G628" s="29" t="s">
        <v>2544</v>
      </c>
      <c r="H628" s="29" t="s">
        <v>2545</v>
      </c>
      <c r="I628" s="29" t="str">
        <f t="shared" si="49"/>
        <v>01</v>
      </c>
      <c r="J628" s="29" t="s">
        <v>2546</v>
      </c>
      <c r="K628" s="29" t="s">
        <v>1617</v>
      </c>
      <c r="L628" s="29" t="s">
        <v>1618</v>
      </c>
      <c r="M628" s="29" t="s">
        <v>2568</v>
      </c>
      <c r="N628" s="29" t="s">
        <v>2569</v>
      </c>
      <c r="O628" s="29" t="s">
        <v>1781</v>
      </c>
      <c r="P628" s="29" t="s">
        <v>2570</v>
      </c>
      <c r="Q628" s="29" t="s">
        <v>1872</v>
      </c>
      <c r="R628" s="29" t="s">
        <v>3875</v>
      </c>
      <c r="S628" s="29" t="s">
        <v>3471</v>
      </c>
      <c r="T628" s="29" t="s">
        <v>2638</v>
      </c>
      <c r="U628" s="29" t="s">
        <v>363</v>
      </c>
      <c r="V628" s="29" t="s">
        <v>2645</v>
      </c>
      <c r="W628" s="35" t="s">
        <v>2549</v>
      </c>
      <c r="X628" s="35" t="s">
        <v>2573</v>
      </c>
      <c r="Y628" s="35" t="s">
        <v>1785</v>
      </c>
      <c r="Z628" s="35" t="s">
        <v>3473</v>
      </c>
      <c r="AA628" s="35" t="s">
        <v>2646</v>
      </c>
      <c r="AB628" s="29" t="s">
        <v>1667</v>
      </c>
      <c r="AC628" s="35" t="s">
        <v>1633</v>
      </c>
      <c r="AD628" s="35" t="s">
        <v>1634</v>
      </c>
      <c r="AE628" s="35" t="s">
        <v>1634</v>
      </c>
      <c r="AF628" s="35" t="s">
        <v>1635</v>
      </c>
      <c r="AG628" s="35" t="s">
        <v>1636</v>
      </c>
      <c r="AI628" s="35"/>
      <c r="AJ628" s="35" t="s">
        <v>1637</v>
      </c>
      <c r="AK628" s="35" t="s">
        <v>1672</v>
      </c>
      <c r="AL628" s="29" t="s">
        <v>1803</v>
      </c>
      <c r="AM628" s="35"/>
      <c r="AN628" s="35"/>
      <c r="AO628" s="35"/>
      <c r="AP628" s="35"/>
      <c r="AQ628" s="35"/>
      <c r="AS628" s="35"/>
      <c r="AU628" s="35"/>
      <c r="AW628" s="35"/>
      <c r="AY628" s="35"/>
      <c r="AZ628" s="35"/>
      <c r="BA628" s="35"/>
      <c r="BH628" s="29" t="s">
        <v>2574</v>
      </c>
      <c r="BI628" s="35"/>
      <c r="BJ628" s="35"/>
      <c r="BK628" s="29" t="str" cm="1">
        <f t="array" ref="BK628">_xlfn.UNIQUE(MID(BB628,16,14))</f>
        <v/>
      </c>
    </row>
    <row r="629" spans="1:63" x14ac:dyDescent="0.3">
      <c r="A629" s="29" t="s">
        <v>2575</v>
      </c>
      <c r="B629" s="36" t="str">
        <f t="shared" si="45"/>
        <v>V01NHC31WP001-QM01</v>
      </c>
      <c r="C629" s="33" t="s">
        <v>3877</v>
      </c>
      <c r="D629" s="34" t="str">
        <f t="shared" si="46"/>
        <v>GAS TRT H2 COMPR PIPING SV1 CB ON/OPN</v>
      </c>
      <c r="E629" s="31">
        <f t="shared" si="47"/>
        <v>37</v>
      </c>
      <c r="F629" s="32" t="str">
        <f t="shared" si="48"/>
        <v>GAS TREATMENT SYSTEM GAS TREATMENT SYSTEM 1 H2 TREATMENT H2 COMPRESSOR SYSTEM 100BAR COMPRESSOR PIPE SYSTEMS COMPRESSOR PIPE SYSTEM INLET LINE BUTTERFLY VALVE (GEN.) CHECK BACK ON/OPEN</v>
      </c>
      <c r="G629" s="29" t="s">
        <v>2544</v>
      </c>
      <c r="H629" s="29" t="s">
        <v>2545</v>
      </c>
      <c r="I629" s="29" t="str">
        <f t="shared" si="49"/>
        <v>01</v>
      </c>
      <c r="J629" s="29" t="s">
        <v>2546</v>
      </c>
      <c r="K629" s="29" t="s">
        <v>1617</v>
      </c>
      <c r="L629" s="29" t="s">
        <v>1618</v>
      </c>
      <c r="M629" s="29" t="s">
        <v>2577</v>
      </c>
      <c r="N629" s="29" t="s">
        <v>2578</v>
      </c>
      <c r="O629" s="29" t="s">
        <v>1781</v>
      </c>
      <c r="P629" s="29" t="s">
        <v>2570</v>
      </c>
      <c r="Q629" s="29" t="s">
        <v>1623</v>
      </c>
      <c r="R629" s="29" t="s">
        <v>2571</v>
      </c>
      <c r="S629" s="29" t="s">
        <v>3471</v>
      </c>
      <c r="T629" s="29" t="s">
        <v>3870</v>
      </c>
      <c r="U629" s="29" t="s">
        <v>790</v>
      </c>
      <c r="V629" s="29" t="s">
        <v>2639</v>
      </c>
      <c r="W629" s="35" t="s">
        <v>2549</v>
      </c>
      <c r="X629" s="35" t="s">
        <v>2573</v>
      </c>
      <c r="Y629" s="35" t="s">
        <v>1785</v>
      </c>
      <c r="Z629" s="35" t="s">
        <v>3473</v>
      </c>
      <c r="AA629" s="35" t="s">
        <v>2641</v>
      </c>
      <c r="AB629" s="29" t="s">
        <v>1667</v>
      </c>
      <c r="AC629" s="35" t="s">
        <v>1633</v>
      </c>
      <c r="AD629" s="35" t="s">
        <v>1634</v>
      </c>
      <c r="AE629" s="35" t="s">
        <v>1634</v>
      </c>
      <c r="AF629" s="35" t="s">
        <v>1635</v>
      </c>
      <c r="AG629" s="35" t="s">
        <v>1636</v>
      </c>
      <c r="AI629" s="35"/>
      <c r="AJ629" s="35" t="s">
        <v>1637</v>
      </c>
      <c r="AK629" s="35" t="s">
        <v>1672</v>
      </c>
      <c r="AL629" s="29" t="s">
        <v>1803</v>
      </c>
      <c r="AM629" s="35"/>
      <c r="AN629" s="35"/>
      <c r="AO629" s="35"/>
      <c r="AP629" s="35"/>
      <c r="AQ629" s="35"/>
      <c r="AS629" s="35"/>
      <c r="AU629" s="35"/>
      <c r="AW629" s="35"/>
      <c r="AY629" s="35"/>
      <c r="AZ629" s="35"/>
      <c r="BA629" s="35"/>
      <c r="BH629" s="29" t="s">
        <v>2579</v>
      </c>
      <c r="BI629" s="35"/>
      <c r="BJ629" s="35"/>
      <c r="BK629" s="29" t="str" cm="1">
        <f t="array" ref="BK629">_xlfn.UNIQUE(MID(BB629,16,14))</f>
        <v/>
      </c>
    </row>
    <row r="630" spans="1:63" x14ac:dyDescent="0.3">
      <c r="A630" s="29" t="s">
        <v>2575</v>
      </c>
      <c r="B630" s="36" t="str">
        <f t="shared" si="45"/>
        <v>V01NHC31WP001-QM01</v>
      </c>
      <c r="C630" s="33" t="s">
        <v>3878</v>
      </c>
      <c r="D630" s="34" t="str">
        <f t="shared" si="46"/>
        <v>GAS TRT H2 COMPR PIPING SV1 CB OFF/CLD</v>
      </c>
      <c r="E630" s="31">
        <f t="shared" si="47"/>
        <v>38</v>
      </c>
      <c r="F630" s="32" t="str">
        <f t="shared" si="48"/>
        <v>GAS TREATMENT SYSTEM GAS TREATMENT SYSTEM 1 H2 TREATMENT H2 COMPRESSOR SYSTEM 100BAR COMPRESSOR PIPE SYSTEMS COMPRESSOR PIPE SYSTEM INLET LINE BUTTERFLY VALVE (GEN.) CHECK BACK OFF/CLOSED</v>
      </c>
      <c r="G630" s="29" t="s">
        <v>2544</v>
      </c>
      <c r="H630" s="29" t="s">
        <v>2545</v>
      </c>
      <c r="I630" s="29" t="str">
        <f t="shared" si="49"/>
        <v>01</v>
      </c>
      <c r="J630" s="29" t="s">
        <v>2546</v>
      </c>
      <c r="K630" s="29" t="s">
        <v>1617</v>
      </c>
      <c r="L630" s="29" t="s">
        <v>1618</v>
      </c>
      <c r="M630" s="29" t="s">
        <v>2577</v>
      </c>
      <c r="N630" s="29" t="s">
        <v>2578</v>
      </c>
      <c r="O630" s="29" t="s">
        <v>1781</v>
      </c>
      <c r="P630" s="29" t="s">
        <v>2570</v>
      </c>
      <c r="Q630" s="29" t="s">
        <v>1623</v>
      </c>
      <c r="R630" s="29" t="s">
        <v>2571</v>
      </c>
      <c r="S630" s="29" t="s">
        <v>3471</v>
      </c>
      <c r="T630" s="29" t="s">
        <v>3870</v>
      </c>
      <c r="U630" s="29" t="s">
        <v>363</v>
      </c>
      <c r="V630" s="29" t="s">
        <v>2645</v>
      </c>
      <c r="W630" s="35" t="s">
        <v>2549</v>
      </c>
      <c r="X630" s="35" t="s">
        <v>2573</v>
      </c>
      <c r="Y630" s="35" t="s">
        <v>1785</v>
      </c>
      <c r="Z630" s="35" t="s">
        <v>3473</v>
      </c>
      <c r="AA630" s="35" t="s">
        <v>2646</v>
      </c>
      <c r="AB630" s="29" t="s">
        <v>1667</v>
      </c>
      <c r="AC630" s="35" t="s">
        <v>1633</v>
      </c>
      <c r="AD630" s="35" t="s">
        <v>1634</v>
      </c>
      <c r="AE630" s="35" t="s">
        <v>1634</v>
      </c>
      <c r="AF630" s="35" t="s">
        <v>1635</v>
      </c>
      <c r="AG630" s="35" t="s">
        <v>1636</v>
      </c>
      <c r="AI630" s="35"/>
      <c r="AJ630" s="35" t="s">
        <v>1637</v>
      </c>
      <c r="AK630" s="35" t="s">
        <v>1672</v>
      </c>
      <c r="AL630" s="29" t="s">
        <v>1803</v>
      </c>
      <c r="AM630" s="35"/>
      <c r="AN630" s="35"/>
      <c r="AO630" s="35"/>
      <c r="AP630" s="35"/>
      <c r="AQ630" s="35"/>
      <c r="AS630" s="35"/>
      <c r="AU630" s="35"/>
      <c r="AW630" s="35"/>
      <c r="AY630" s="35"/>
      <c r="AZ630" s="35"/>
      <c r="BA630" s="35"/>
      <c r="BH630" s="29" t="s">
        <v>2579</v>
      </c>
      <c r="BI630" s="35"/>
      <c r="BJ630" s="35"/>
      <c r="BK630" s="29" t="str" cm="1">
        <f t="array" ref="BK630">_xlfn.UNIQUE(MID(BB630,16,14))</f>
        <v/>
      </c>
    </row>
    <row r="631" spans="1:63" x14ac:dyDescent="0.3">
      <c r="A631" s="29" t="s">
        <v>2575</v>
      </c>
      <c r="B631" s="36" t="str">
        <f t="shared" si="45"/>
        <v>V01NHC31WP001-QM02</v>
      </c>
      <c r="C631" s="33" t="s">
        <v>3879</v>
      </c>
      <c r="D631" s="34" t="str">
        <f t="shared" si="46"/>
        <v>GAS TRT H2 COMPR PIPING SV2 CB ON/OPN</v>
      </c>
      <c r="E631" s="31">
        <f t="shared" si="47"/>
        <v>37</v>
      </c>
      <c r="F631" s="32" t="str">
        <f t="shared" si="48"/>
        <v>GAS TREATMENT SYSTEM GAS TREATMENT SYSTEM 1 H2 TREATMENT H2 COMPRESSOR SYSTEM 100BAR COMPRESSOR PIPE SYSTEMS COMPRESSOR PIPE SYSTEM INLET LINE 2-WAY SHUT-OFF VALVE (GENERAL) CHECK BACK ON/OPEN</v>
      </c>
      <c r="G631" s="29" t="s">
        <v>2544</v>
      </c>
      <c r="H631" s="29" t="s">
        <v>2545</v>
      </c>
      <c r="I631" s="29" t="str">
        <f t="shared" si="49"/>
        <v>01</v>
      </c>
      <c r="J631" s="29" t="s">
        <v>2546</v>
      </c>
      <c r="K631" s="29" t="s">
        <v>1617</v>
      </c>
      <c r="L631" s="29" t="s">
        <v>1618</v>
      </c>
      <c r="M631" s="29" t="s">
        <v>2577</v>
      </c>
      <c r="N631" s="29" t="s">
        <v>2578</v>
      </c>
      <c r="O631" s="29" t="s">
        <v>1781</v>
      </c>
      <c r="P631" s="29" t="s">
        <v>2570</v>
      </c>
      <c r="Q631" s="29" t="s">
        <v>1623</v>
      </c>
      <c r="R631" s="29" t="s">
        <v>2571</v>
      </c>
      <c r="S631" s="29" t="s">
        <v>3860</v>
      </c>
      <c r="T631" s="29" t="s">
        <v>3861</v>
      </c>
      <c r="U631" s="29" t="s">
        <v>790</v>
      </c>
      <c r="V631" s="29" t="s">
        <v>2639</v>
      </c>
      <c r="W631" s="35" t="s">
        <v>2549</v>
      </c>
      <c r="X631" s="35" t="s">
        <v>2573</v>
      </c>
      <c r="Y631" s="35" t="s">
        <v>1785</v>
      </c>
      <c r="Z631" s="35" t="s">
        <v>3862</v>
      </c>
      <c r="AA631" s="35" t="s">
        <v>2641</v>
      </c>
      <c r="AB631" s="29" t="s">
        <v>1667</v>
      </c>
      <c r="AC631" s="35" t="s">
        <v>1633</v>
      </c>
      <c r="AD631" s="35" t="s">
        <v>1634</v>
      </c>
      <c r="AE631" s="35" t="s">
        <v>1634</v>
      </c>
      <c r="AF631" s="35" t="s">
        <v>1635</v>
      </c>
      <c r="AG631" s="35" t="s">
        <v>1636</v>
      </c>
      <c r="AI631" s="35"/>
      <c r="AJ631" s="35" t="s">
        <v>1637</v>
      </c>
      <c r="AK631" s="35" t="s">
        <v>1672</v>
      </c>
      <c r="AL631" s="29" t="s">
        <v>1803</v>
      </c>
      <c r="AM631" s="35"/>
      <c r="AN631" s="35"/>
      <c r="AO631" s="35"/>
      <c r="AP631" s="35"/>
      <c r="AQ631" s="35"/>
      <c r="AS631" s="35"/>
      <c r="AU631" s="35"/>
      <c r="AW631" s="35"/>
      <c r="AY631" s="35"/>
      <c r="AZ631" s="35"/>
      <c r="BA631" s="35"/>
      <c r="BH631" s="29" t="s">
        <v>2579</v>
      </c>
      <c r="BI631" s="35"/>
      <c r="BJ631" s="35"/>
      <c r="BK631" s="29" t="str" cm="1">
        <f t="array" ref="BK631">_xlfn.UNIQUE(MID(BB631,16,14))</f>
        <v/>
      </c>
    </row>
    <row r="632" spans="1:63" x14ac:dyDescent="0.3">
      <c r="A632" s="29" t="s">
        <v>2575</v>
      </c>
      <c r="B632" s="36" t="str">
        <f t="shared" si="45"/>
        <v>V01NHC31WP001-QM02</v>
      </c>
      <c r="C632" s="33" t="s">
        <v>3880</v>
      </c>
      <c r="D632" s="34" t="str">
        <f t="shared" si="46"/>
        <v>GAS TRT H2 COMPR PIPING SV2 CB OFF/CLD</v>
      </c>
      <c r="E632" s="31">
        <f t="shared" si="47"/>
        <v>38</v>
      </c>
      <c r="F632" s="32" t="str">
        <f t="shared" si="48"/>
        <v>GAS TREATMENT SYSTEM GAS TREATMENT SYSTEM 1 H2 TREATMENT H2 COMPRESSOR SYSTEM 100BAR COMPRESSOR PIPE SYSTEMS COMPRESSOR PIPE SYSTEM INLET LINE 2-WAY SHUT-OFF VALVE (GENERAL) CHECK BACK OFF/CLOSED</v>
      </c>
      <c r="G632" s="29" t="s">
        <v>2544</v>
      </c>
      <c r="H632" s="29" t="s">
        <v>2545</v>
      </c>
      <c r="I632" s="29" t="str">
        <f t="shared" si="49"/>
        <v>01</v>
      </c>
      <c r="J632" s="29" t="s">
        <v>2546</v>
      </c>
      <c r="K632" s="29" t="s">
        <v>1617</v>
      </c>
      <c r="L632" s="29" t="s">
        <v>1618</v>
      </c>
      <c r="M632" s="29" t="s">
        <v>2577</v>
      </c>
      <c r="N632" s="29" t="s">
        <v>2578</v>
      </c>
      <c r="O632" s="29" t="s">
        <v>1781</v>
      </c>
      <c r="P632" s="29" t="s">
        <v>2570</v>
      </c>
      <c r="Q632" s="29" t="s">
        <v>1623</v>
      </c>
      <c r="R632" s="29" t="s">
        <v>2571</v>
      </c>
      <c r="S632" s="29" t="s">
        <v>3860</v>
      </c>
      <c r="T632" s="29" t="s">
        <v>3861</v>
      </c>
      <c r="U632" s="29" t="s">
        <v>363</v>
      </c>
      <c r="V632" s="29" t="s">
        <v>2645</v>
      </c>
      <c r="W632" s="35" t="s">
        <v>2549</v>
      </c>
      <c r="X632" s="35" t="s">
        <v>2573</v>
      </c>
      <c r="Y632" s="35" t="s">
        <v>1785</v>
      </c>
      <c r="Z632" s="35" t="s">
        <v>3862</v>
      </c>
      <c r="AA632" s="35" t="s">
        <v>2646</v>
      </c>
      <c r="AB632" s="29" t="s">
        <v>1667</v>
      </c>
      <c r="AC632" s="35" t="s">
        <v>1633</v>
      </c>
      <c r="AD632" s="35" t="s">
        <v>1634</v>
      </c>
      <c r="AE632" s="35" t="s">
        <v>1634</v>
      </c>
      <c r="AF632" s="35" t="s">
        <v>1635</v>
      </c>
      <c r="AG632" s="35" t="s">
        <v>1636</v>
      </c>
      <c r="AI632" s="35"/>
      <c r="AJ632" s="35" t="s">
        <v>1637</v>
      </c>
      <c r="AK632" s="35" t="s">
        <v>1672</v>
      </c>
      <c r="AL632" s="29" t="s">
        <v>1803</v>
      </c>
      <c r="AM632" s="35"/>
      <c r="AN632" s="35"/>
      <c r="AO632" s="35"/>
      <c r="AP632" s="35"/>
      <c r="AQ632" s="35"/>
      <c r="AS632" s="35"/>
      <c r="AU632" s="35"/>
      <c r="AW632" s="35"/>
      <c r="AY632" s="35"/>
      <c r="AZ632" s="35"/>
      <c r="BA632" s="35"/>
      <c r="BH632" s="29" t="s">
        <v>2579</v>
      </c>
      <c r="BI632" s="35"/>
      <c r="BJ632" s="35"/>
      <c r="BK632" s="29" t="str" cm="1">
        <f t="array" ref="BK632">_xlfn.UNIQUE(MID(BB632,16,14))</f>
        <v/>
      </c>
    </row>
    <row r="633" spans="1:63" x14ac:dyDescent="0.3">
      <c r="A633" s="29" t="s">
        <v>2575</v>
      </c>
      <c r="B633" s="36" t="str">
        <f t="shared" si="45"/>
        <v>V01NHC31WP001-QM03</v>
      </c>
      <c r="C633" s="33" t="s">
        <v>3881</v>
      </c>
      <c r="D633" s="34" t="str">
        <f t="shared" si="46"/>
        <v>GAS TRT H2 COMPR PIPING SV3 CB ON/OPN</v>
      </c>
      <c r="E633" s="31">
        <f t="shared" si="47"/>
        <v>37</v>
      </c>
      <c r="F633" s="32" t="str">
        <f t="shared" si="48"/>
        <v>GAS TREATMENT SYSTEM GAS TREATMENT SYSTEM 1 H2 TREATMENT H2 COMPRESSOR SYSTEM 100BAR COMPRESSOR PIPE SYSTEMS COMPRESSOR PIPE SYSTEM INLET LINE BALL VALVE (GENERAL) CHECK BACK ON/OPEN</v>
      </c>
      <c r="G633" s="29" t="s">
        <v>2544</v>
      </c>
      <c r="H633" s="29" t="s">
        <v>2545</v>
      </c>
      <c r="I633" s="29" t="str">
        <f t="shared" si="49"/>
        <v>01</v>
      </c>
      <c r="J633" s="29" t="s">
        <v>2546</v>
      </c>
      <c r="K633" s="29" t="s">
        <v>1617</v>
      </c>
      <c r="L633" s="29" t="s">
        <v>1618</v>
      </c>
      <c r="M633" s="29" t="s">
        <v>2577</v>
      </c>
      <c r="N633" s="29" t="s">
        <v>2578</v>
      </c>
      <c r="O633" s="29" t="s">
        <v>1781</v>
      </c>
      <c r="P633" s="29" t="s">
        <v>2570</v>
      </c>
      <c r="Q633" s="29" t="s">
        <v>1623</v>
      </c>
      <c r="R633" s="29" t="s">
        <v>2571</v>
      </c>
      <c r="S633" s="29" t="s">
        <v>3865</v>
      </c>
      <c r="T633" s="29" t="s">
        <v>2638</v>
      </c>
      <c r="U633" s="29" t="s">
        <v>790</v>
      </c>
      <c r="V633" s="29" t="s">
        <v>2639</v>
      </c>
      <c r="W633" s="35" t="s">
        <v>2549</v>
      </c>
      <c r="X633" s="35" t="s">
        <v>2573</v>
      </c>
      <c r="Y633" s="35" t="s">
        <v>1785</v>
      </c>
      <c r="Z633" s="35" t="s">
        <v>3866</v>
      </c>
      <c r="AA633" s="35" t="s">
        <v>2641</v>
      </c>
      <c r="AB633" s="29" t="s">
        <v>1667</v>
      </c>
      <c r="AC633" s="35" t="s">
        <v>1633</v>
      </c>
      <c r="AD633" s="35" t="s">
        <v>1634</v>
      </c>
      <c r="AE633" s="35" t="s">
        <v>1634</v>
      </c>
      <c r="AF633" s="35" t="s">
        <v>1635</v>
      </c>
      <c r="AG633" s="35" t="s">
        <v>1636</v>
      </c>
      <c r="AI633" s="35"/>
      <c r="AJ633" s="35" t="s">
        <v>1637</v>
      </c>
      <c r="AK633" s="35" t="s">
        <v>1672</v>
      </c>
      <c r="AL633" s="29" t="s">
        <v>1803</v>
      </c>
      <c r="AM633" s="35"/>
      <c r="AN633" s="35"/>
      <c r="AO633" s="35"/>
      <c r="AP633" s="35"/>
      <c r="AQ633" s="35"/>
      <c r="AS633" s="35"/>
      <c r="AU633" s="35"/>
      <c r="AW633" s="35"/>
      <c r="AY633" s="35"/>
      <c r="AZ633" s="35"/>
      <c r="BA633" s="35"/>
      <c r="BH633" s="29" t="s">
        <v>2579</v>
      </c>
      <c r="BI633" s="35"/>
      <c r="BJ633" s="35"/>
      <c r="BK633" s="29" t="str" cm="1">
        <f t="array" ref="BK633">_xlfn.UNIQUE(MID(BB633,16,14))</f>
        <v/>
      </c>
    </row>
    <row r="634" spans="1:63" x14ac:dyDescent="0.3">
      <c r="A634" s="29" t="s">
        <v>2575</v>
      </c>
      <c r="B634" s="36" t="str">
        <f t="shared" si="45"/>
        <v>V01NHC31WP001-QM03</v>
      </c>
      <c r="C634" s="33" t="s">
        <v>3882</v>
      </c>
      <c r="D634" s="34" t="str">
        <f t="shared" si="46"/>
        <v>GAS TRT H2 COMPR PIPING SV3 CB OFF/CLD</v>
      </c>
      <c r="E634" s="31">
        <f t="shared" si="47"/>
        <v>38</v>
      </c>
      <c r="F634" s="32" t="str">
        <f t="shared" si="48"/>
        <v>GAS TREATMENT SYSTEM GAS TREATMENT SYSTEM 1 H2 TREATMENT H2 COMPRESSOR SYSTEM 100BAR COMPRESSOR PIPE SYSTEMS COMPRESSOR PIPE SYSTEM INLET LINE BALL VALVE (GENERAL) CHECK BACK OFF/CLOSED</v>
      </c>
      <c r="G634" s="29" t="s">
        <v>2544</v>
      </c>
      <c r="H634" s="29" t="s">
        <v>2545</v>
      </c>
      <c r="I634" s="29" t="str">
        <f t="shared" si="49"/>
        <v>01</v>
      </c>
      <c r="J634" s="29" t="s">
        <v>2546</v>
      </c>
      <c r="K634" s="29" t="s">
        <v>1617</v>
      </c>
      <c r="L634" s="29" t="s">
        <v>1618</v>
      </c>
      <c r="M634" s="29" t="s">
        <v>2577</v>
      </c>
      <c r="N634" s="29" t="s">
        <v>2578</v>
      </c>
      <c r="O634" s="29" t="s">
        <v>1781</v>
      </c>
      <c r="P634" s="29" t="s">
        <v>2570</v>
      </c>
      <c r="Q634" s="29" t="s">
        <v>1623</v>
      </c>
      <c r="R634" s="29" t="s">
        <v>2571</v>
      </c>
      <c r="S634" s="29" t="s">
        <v>3865</v>
      </c>
      <c r="T634" s="29" t="s">
        <v>2638</v>
      </c>
      <c r="U634" s="29" t="s">
        <v>363</v>
      </c>
      <c r="V634" s="29" t="s">
        <v>2645</v>
      </c>
      <c r="W634" s="35" t="s">
        <v>2549</v>
      </c>
      <c r="X634" s="35" t="s">
        <v>2573</v>
      </c>
      <c r="Y634" s="35" t="s">
        <v>1785</v>
      </c>
      <c r="Z634" s="35" t="s">
        <v>3866</v>
      </c>
      <c r="AA634" s="35" t="s">
        <v>2646</v>
      </c>
      <c r="AB634" s="29" t="s">
        <v>1667</v>
      </c>
      <c r="AC634" s="35" t="s">
        <v>1633</v>
      </c>
      <c r="AD634" s="35" t="s">
        <v>1634</v>
      </c>
      <c r="AE634" s="35" t="s">
        <v>1634</v>
      </c>
      <c r="AF634" s="35" t="s">
        <v>1635</v>
      </c>
      <c r="AG634" s="35" t="s">
        <v>1636</v>
      </c>
      <c r="AI634" s="35"/>
      <c r="AJ634" s="35" t="s">
        <v>1637</v>
      </c>
      <c r="AK634" s="35" t="s">
        <v>1672</v>
      </c>
      <c r="AL634" s="29" t="s">
        <v>1803</v>
      </c>
      <c r="AM634" s="35"/>
      <c r="AN634" s="35"/>
      <c r="AO634" s="35"/>
      <c r="AP634" s="35"/>
      <c r="AQ634" s="35"/>
      <c r="AS634" s="35"/>
      <c r="AU634" s="35"/>
      <c r="AW634" s="35"/>
      <c r="AY634" s="35"/>
      <c r="AZ634" s="35"/>
      <c r="BA634" s="35"/>
      <c r="BH634" s="29" t="s">
        <v>2579</v>
      </c>
      <c r="BI634" s="35"/>
      <c r="BJ634" s="35"/>
      <c r="BK634" s="29" t="str" cm="1">
        <f t="array" ref="BK634">_xlfn.UNIQUE(MID(BB634,16,14))</f>
        <v/>
      </c>
    </row>
    <row r="635" spans="1:63" x14ac:dyDescent="0.3">
      <c r="A635" s="29" t="s">
        <v>2580</v>
      </c>
      <c r="B635" s="36" t="str">
        <f t="shared" si="45"/>
        <v>V01NHC60BZ001-QM01</v>
      </c>
      <c r="C635" s="33" t="s">
        <v>3883</v>
      </c>
      <c r="D635" s="34" t="str">
        <f t="shared" si="46"/>
        <v>GAS TRT H2 HANDOVR MEAS1 SV1 CB ON/OPN</v>
      </c>
      <c r="E635" s="31">
        <f t="shared" si="47"/>
        <v>38</v>
      </c>
      <c r="F635" s="32" t="str">
        <f t="shared" si="48"/>
        <v>GAS TREATMENT SYSTEM GAS TREATMENT SYSTEM 1 H2 TREATMENT PRODUCT GAS ANALYTIC SYSTEM MEASUREMENT SYSTEMS MEASUREMENT SYSTEM 1 BALL VALVE (GENERAL) CHECK BACK ON/OPEN</v>
      </c>
      <c r="G635" s="29" t="s">
        <v>2544</v>
      </c>
      <c r="H635" s="29" t="s">
        <v>2545</v>
      </c>
      <c r="I635" s="29" t="str">
        <f t="shared" si="49"/>
        <v>01</v>
      </c>
      <c r="J635" s="29" t="s">
        <v>2546</v>
      </c>
      <c r="K635" s="29" t="s">
        <v>1617</v>
      </c>
      <c r="L635" s="29" t="s">
        <v>1618</v>
      </c>
      <c r="M635" s="29" t="s">
        <v>2582</v>
      </c>
      <c r="N635" s="29" t="s">
        <v>2583</v>
      </c>
      <c r="O635" s="29" t="s">
        <v>1845</v>
      </c>
      <c r="P635" s="29" t="s">
        <v>2584</v>
      </c>
      <c r="Q635" s="29" t="s">
        <v>1623</v>
      </c>
      <c r="R635" s="29" t="s">
        <v>2585</v>
      </c>
      <c r="S635" s="29" t="s">
        <v>3471</v>
      </c>
      <c r="T635" s="29" t="s">
        <v>2638</v>
      </c>
      <c r="U635" s="29" t="s">
        <v>790</v>
      </c>
      <c r="V635" s="29" t="s">
        <v>2639</v>
      </c>
      <c r="W635" s="35" t="s">
        <v>2549</v>
      </c>
      <c r="X635" s="35" t="s">
        <v>2586</v>
      </c>
      <c r="Y635" s="35" t="s">
        <v>1851</v>
      </c>
      <c r="Z635" s="35" t="s">
        <v>3473</v>
      </c>
      <c r="AA635" s="35" t="s">
        <v>2641</v>
      </c>
      <c r="AB635" s="29" t="s">
        <v>1667</v>
      </c>
      <c r="AC635" s="35" t="s">
        <v>1633</v>
      </c>
      <c r="AD635" s="35" t="s">
        <v>1634</v>
      </c>
      <c r="AE635" s="35" t="s">
        <v>1634</v>
      </c>
      <c r="AF635" s="35" t="s">
        <v>1635</v>
      </c>
      <c r="AG635" s="35" t="s">
        <v>1636</v>
      </c>
      <c r="AI635" s="35"/>
      <c r="AJ635" s="35" t="s">
        <v>1637</v>
      </c>
      <c r="AK635" s="35" t="s">
        <v>1672</v>
      </c>
      <c r="AL635" s="29" t="s">
        <v>1803</v>
      </c>
      <c r="AM635" s="35"/>
      <c r="AN635" s="35"/>
      <c r="AO635" s="35"/>
      <c r="AP635" s="35"/>
      <c r="AQ635" s="35"/>
      <c r="AS635" s="35"/>
      <c r="AU635" s="35"/>
      <c r="AW635" s="35"/>
      <c r="AY635" s="35"/>
      <c r="AZ635" s="35"/>
      <c r="BA635" s="35"/>
      <c r="BH635" s="29" t="s">
        <v>2587</v>
      </c>
      <c r="BI635" s="35"/>
      <c r="BJ635" s="35"/>
      <c r="BK635" s="29" t="str" cm="1">
        <f t="array" ref="BK635">_xlfn.UNIQUE(MID(BB635,16,14))</f>
        <v/>
      </c>
    </row>
    <row r="636" spans="1:63" x14ac:dyDescent="0.3">
      <c r="A636" s="29" t="s">
        <v>2580</v>
      </c>
      <c r="B636" s="36" t="str">
        <f t="shared" si="45"/>
        <v>V01NHC60BZ001-QM01</v>
      </c>
      <c r="C636" s="33" t="s">
        <v>3884</v>
      </c>
      <c r="D636" s="34" t="str">
        <f t="shared" si="46"/>
        <v>GAS TRT H2 HANDOVR MEAS1 SV1 CB OFF/CLD</v>
      </c>
      <c r="E636" s="31">
        <f t="shared" si="47"/>
        <v>39</v>
      </c>
      <c r="F636" s="32" t="str">
        <f t="shared" si="48"/>
        <v>GAS TREATMENT SYSTEM GAS TREATMENT SYSTEM 1 H2 TREATMENT PRODUCT GAS ANALYTIC SYSTEM MEASUREMENT SYSTEMS MEASUREMENT SYSTEM 1 BALL VALVE (GENERAL) CHECK BACK OFF/CLOSED</v>
      </c>
      <c r="G636" s="29" t="s">
        <v>2544</v>
      </c>
      <c r="H636" s="29" t="s">
        <v>2545</v>
      </c>
      <c r="I636" s="29" t="str">
        <f t="shared" si="49"/>
        <v>01</v>
      </c>
      <c r="J636" s="29" t="s">
        <v>2546</v>
      </c>
      <c r="K636" s="29" t="s">
        <v>1617</v>
      </c>
      <c r="L636" s="29" t="s">
        <v>1618</v>
      </c>
      <c r="M636" s="29" t="s">
        <v>2582</v>
      </c>
      <c r="N636" s="29" t="s">
        <v>2583</v>
      </c>
      <c r="O636" s="29" t="s">
        <v>1845</v>
      </c>
      <c r="P636" s="29" t="s">
        <v>2584</v>
      </c>
      <c r="Q636" s="29" t="s">
        <v>1623</v>
      </c>
      <c r="R636" s="29" t="s">
        <v>2585</v>
      </c>
      <c r="S636" s="29" t="s">
        <v>3471</v>
      </c>
      <c r="T636" s="29" t="s">
        <v>2638</v>
      </c>
      <c r="U636" s="29" t="s">
        <v>363</v>
      </c>
      <c r="V636" s="29" t="s">
        <v>2645</v>
      </c>
      <c r="W636" s="35" t="s">
        <v>2549</v>
      </c>
      <c r="X636" s="35" t="s">
        <v>2586</v>
      </c>
      <c r="Y636" s="35" t="s">
        <v>1851</v>
      </c>
      <c r="Z636" s="35" t="s">
        <v>3473</v>
      </c>
      <c r="AA636" s="35" t="s">
        <v>2646</v>
      </c>
      <c r="AB636" s="29" t="s">
        <v>1667</v>
      </c>
      <c r="AC636" s="35" t="s">
        <v>1633</v>
      </c>
      <c r="AD636" s="35" t="s">
        <v>1634</v>
      </c>
      <c r="AE636" s="35" t="s">
        <v>1634</v>
      </c>
      <c r="AF636" s="35" t="s">
        <v>1635</v>
      </c>
      <c r="AG636" s="35" t="s">
        <v>1636</v>
      </c>
      <c r="AI636" s="35"/>
      <c r="AJ636" s="35" t="s">
        <v>1637</v>
      </c>
      <c r="AK636" s="35" t="s">
        <v>1672</v>
      </c>
      <c r="AL636" s="29" t="s">
        <v>1803</v>
      </c>
      <c r="AM636" s="35"/>
      <c r="AN636" s="35"/>
      <c r="AO636" s="35"/>
      <c r="AP636" s="35"/>
      <c r="AQ636" s="35"/>
      <c r="AS636" s="35"/>
      <c r="AU636" s="35"/>
      <c r="AW636" s="35"/>
      <c r="AY636" s="35"/>
      <c r="AZ636" s="35"/>
      <c r="BA636" s="35"/>
      <c r="BH636" s="29" t="s">
        <v>2587</v>
      </c>
      <c r="BI636" s="35"/>
      <c r="BJ636" s="35"/>
      <c r="BK636" s="29" t="str" cm="1">
        <f t="array" ref="BK636">_xlfn.UNIQUE(MID(BB636,16,14))</f>
        <v/>
      </c>
    </row>
    <row r="637" spans="1:63" x14ac:dyDescent="0.3">
      <c r="A637" s="29" t="s">
        <v>2580</v>
      </c>
      <c r="B637" s="36" t="str">
        <f t="shared" si="45"/>
        <v>V01NHC60BZ001-QM02</v>
      </c>
      <c r="C637" s="33" t="s">
        <v>3885</v>
      </c>
      <c r="D637" s="34" t="str">
        <f t="shared" si="46"/>
        <v>GAS TRT H2 HANDOVR MEAS1 SV2 CB ON/OPN</v>
      </c>
      <c r="E637" s="31">
        <f t="shared" si="47"/>
        <v>38</v>
      </c>
      <c r="F637" s="32" t="str">
        <f t="shared" si="48"/>
        <v>GAS TREATMENT SYSTEM GAS TREATMENT SYSTEM 1 H2 TREATMENT PRODUCT GAS ANALYTIC SYSTEM MEASUREMENT SYSTEMS MEASUREMENT SYSTEM 1 BALL VALVE (GENERAL) CHECK BACK ON/OPEN</v>
      </c>
      <c r="G637" s="29" t="s">
        <v>2544</v>
      </c>
      <c r="H637" s="29" t="s">
        <v>2545</v>
      </c>
      <c r="I637" s="29" t="str">
        <f t="shared" si="49"/>
        <v>01</v>
      </c>
      <c r="J637" s="29" t="s">
        <v>2546</v>
      </c>
      <c r="K637" s="29" t="s">
        <v>1617</v>
      </c>
      <c r="L637" s="29" t="s">
        <v>1618</v>
      </c>
      <c r="M637" s="29" t="s">
        <v>2582</v>
      </c>
      <c r="N637" s="29" t="s">
        <v>2583</v>
      </c>
      <c r="O637" s="29" t="s">
        <v>1845</v>
      </c>
      <c r="P637" s="29" t="s">
        <v>2584</v>
      </c>
      <c r="Q637" s="29" t="s">
        <v>1623</v>
      </c>
      <c r="R637" s="29" t="s">
        <v>2585</v>
      </c>
      <c r="S637" s="29" t="s">
        <v>3860</v>
      </c>
      <c r="T637" s="29" t="s">
        <v>2638</v>
      </c>
      <c r="U637" s="29" t="s">
        <v>790</v>
      </c>
      <c r="V637" s="29" t="s">
        <v>2639</v>
      </c>
      <c r="W637" s="35" t="s">
        <v>2549</v>
      </c>
      <c r="X637" s="35" t="s">
        <v>2586</v>
      </c>
      <c r="Y637" s="35" t="s">
        <v>1851</v>
      </c>
      <c r="Z637" s="35" t="s">
        <v>3862</v>
      </c>
      <c r="AA637" s="35" t="s">
        <v>2641</v>
      </c>
      <c r="AB637" s="29" t="s">
        <v>1667</v>
      </c>
      <c r="AC637" s="35" t="s">
        <v>1633</v>
      </c>
      <c r="AD637" s="35" t="s">
        <v>1634</v>
      </c>
      <c r="AE637" s="35" t="s">
        <v>1634</v>
      </c>
      <c r="AF637" s="35" t="s">
        <v>1635</v>
      </c>
      <c r="AG637" s="35" t="s">
        <v>1636</v>
      </c>
      <c r="AI637" s="35"/>
      <c r="AJ637" s="35" t="s">
        <v>1637</v>
      </c>
      <c r="AK637" s="35" t="s">
        <v>1672</v>
      </c>
      <c r="AL637" s="29" t="s">
        <v>1803</v>
      </c>
      <c r="AM637" s="35"/>
      <c r="AN637" s="35"/>
      <c r="AO637" s="35"/>
      <c r="AP637" s="35"/>
      <c r="AQ637" s="35"/>
      <c r="AS637" s="35"/>
      <c r="AU637" s="35"/>
      <c r="AW637" s="35"/>
      <c r="AY637" s="35"/>
      <c r="AZ637" s="35"/>
      <c r="BA637" s="35"/>
      <c r="BH637" s="29" t="s">
        <v>2587</v>
      </c>
      <c r="BI637" s="35"/>
      <c r="BJ637" s="35"/>
      <c r="BK637" s="29" t="str" cm="1">
        <f t="array" ref="BK637">_xlfn.UNIQUE(MID(BB637,16,14))</f>
        <v/>
      </c>
    </row>
    <row r="638" spans="1:63" x14ac:dyDescent="0.3">
      <c r="A638" s="29" t="s">
        <v>2580</v>
      </c>
      <c r="B638" s="36" t="str">
        <f t="shared" si="45"/>
        <v>V01NHC60BZ001-QM02</v>
      </c>
      <c r="C638" s="33" t="s">
        <v>3886</v>
      </c>
      <c r="D638" s="34" t="str">
        <f t="shared" si="46"/>
        <v>GAS TRT H2 HANDOVR MEAS1 SV2 CB OFF/CLD</v>
      </c>
      <c r="E638" s="31">
        <f t="shared" si="47"/>
        <v>39</v>
      </c>
      <c r="F638" s="32" t="str">
        <f t="shared" si="48"/>
        <v>GAS TREATMENT SYSTEM GAS TREATMENT SYSTEM 1 H2 TREATMENT PRODUCT GAS ANALYTIC SYSTEM MEASUREMENT SYSTEMS MEASUREMENT SYSTEM 1 BALL VALVE (GENERAL) CHECK BACK OFF/CLOSED</v>
      </c>
      <c r="G638" s="29" t="s">
        <v>2544</v>
      </c>
      <c r="H638" s="29" t="s">
        <v>2545</v>
      </c>
      <c r="I638" s="29" t="str">
        <f t="shared" si="49"/>
        <v>01</v>
      </c>
      <c r="J638" s="29" t="s">
        <v>2546</v>
      </c>
      <c r="K638" s="29" t="s">
        <v>1617</v>
      </c>
      <c r="L638" s="29" t="s">
        <v>1618</v>
      </c>
      <c r="M638" s="29" t="s">
        <v>2582</v>
      </c>
      <c r="N638" s="29" t="s">
        <v>2583</v>
      </c>
      <c r="O638" s="29" t="s">
        <v>1845</v>
      </c>
      <c r="P638" s="29" t="s">
        <v>2584</v>
      </c>
      <c r="Q638" s="29" t="s">
        <v>1623</v>
      </c>
      <c r="R638" s="29" t="s">
        <v>2585</v>
      </c>
      <c r="S638" s="29" t="s">
        <v>3860</v>
      </c>
      <c r="T638" s="29" t="s">
        <v>2638</v>
      </c>
      <c r="U638" s="29" t="s">
        <v>363</v>
      </c>
      <c r="V638" s="29" t="s">
        <v>2645</v>
      </c>
      <c r="W638" s="35" t="s">
        <v>2549</v>
      </c>
      <c r="X638" s="35" t="s">
        <v>2586</v>
      </c>
      <c r="Y638" s="35" t="s">
        <v>1851</v>
      </c>
      <c r="Z638" s="35" t="s">
        <v>3862</v>
      </c>
      <c r="AA638" s="35" t="s">
        <v>2646</v>
      </c>
      <c r="AB638" s="29" t="s">
        <v>1667</v>
      </c>
      <c r="AC638" s="35" t="s">
        <v>1633</v>
      </c>
      <c r="AD638" s="35" t="s">
        <v>1634</v>
      </c>
      <c r="AE638" s="35" t="s">
        <v>1634</v>
      </c>
      <c r="AF638" s="35" t="s">
        <v>1635</v>
      </c>
      <c r="AG638" s="35" t="s">
        <v>1636</v>
      </c>
      <c r="AI638" s="35"/>
      <c r="AJ638" s="35" t="s">
        <v>1637</v>
      </c>
      <c r="AK638" s="35" t="s">
        <v>1672</v>
      </c>
      <c r="AL638" s="29" t="s">
        <v>1803</v>
      </c>
      <c r="AM638" s="35"/>
      <c r="AN638" s="35"/>
      <c r="AO638" s="35"/>
      <c r="AP638" s="35"/>
      <c r="AQ638" s="35"/>
      <c r="AS638" s="35"/>
      <c r="AU638" s="35"/>
      <c r="AW638" s="35"/>
      <c r="AY638" s="35"/>
      <c r="AZ638" s="35"/>
      <c r="BA638" s="35"/>
      <c r="BH638" s="29" t="s">
        <v>2587</v>
      </c>
      <c r="BI638" s="35"/>
      <c r="BJ638" s="35"/>
      <c r="BK638" s="29" t="str" cm="1">
        <f t="array" ref="BK638">_xlfn.UNIQUE(MID(BB638,16,14))</f>
        <v/>
      </c>
    </row>
    <row r="639" spans="1:63" x14ac:dyDescent="0.3">
      <c r="A639" s="29" t="s">
        <v>2580</v>
      </c>
      <c r="B639" s="36" t="str">
        <f t="shared" si="45"/>
        <v>V01NHC60BZ001-QM03</v>
      </c>
      <c r="C639" s="33" t="s">
        <v>3887</v>
      </c>
      <c r="D639" s="34" t="str">
        <f t="shared" si="46"/>
        <v>GAS TRT H2 HANDOVR MEAS1 SV3 CB ON/OPN</v>
      </c>
      <c r="E639" s="31">
        <f t="shared" si="47"/>
        <v>38</v>
      </c>
      <c r="F639" s="32" t="str">
        <f t="shared" si="48"/>
        <v>GAS TREATMENT SYSTEM GAS TREATMENT SYSTEM 1 H2 TREATMENT PRODUCT GAS ANALYTIC SYSTEM MEASUREMENT SYSTEMS MEASUREMENT SYSTEM 1 BALL VALVE (GENERAL) CHECK BACK ON/OPEN</v>
      </c>
      <c r="G639" s="29" t="s">
        <v>2544</v>
      </c>
      <c r="H639" s="29" t="s">
        <v>2545</v>
      </c>
      <c r="I639" s="29" t="str">
        <f t="shared" si="49"/>
        <v>01</v>
      </c>
      <c r="J639" s="29" t="s">
        <v>2546</v>
      </c>
      <c r="K639" s="29" t="s">
        <v>1617</v>
      </c>
      <c r="L639" s="29" t="s">
        <v>1618</v>
      </c>
      <c r="M639" s="29" t="s">
        <v>2582</v>
      </c>
      <c r="N639" s="29" t="s">
        <v>2583</v>
      </c>
      <c r="O639" s="29" t="s">
        <v>1845</v>
      </c>
      <c r="P639" s="29" t="s">
        <v>2584</v>
      </c>
      <c r="Q639" s="29" t="s">
        <v>1623</v>
      </c>
      <c r="R639" s="29" t="s">
        <v>2585</v>
      </c>
      <c r="S639" s="29" t="s">
        <v>3865</v>
      </c>
      <c r="T639" s="29" t="s">
        <v>2638</v>
      </c>
      <c r="U639" s="29" t="s">
        <v>790</v>
      </c>
      <c r="V639" s="29" t="s">
        <v>2639</v>
      </c>
      <c r="W639" s="35" t="s">
        <v>2549</v>
      </c>
      <c r="X639" s="35" t="s">
        <v>2586</v>
      </c>
      <c r="Y639" s="35" t="s">
        <v>1851</v>
      </c>
      <c r="Z639" s="35" t="s">
        <v>3866</v>
      </c>
      <c r="AA639" s="35" t="s">
        <v>2641</v>
      </c>
      <c r="AB639" s="29" t="s">
        <v>1667</v>
      </c>
      <c r="AC639" s="35" t="s">
        <v>1633</v>
      </c>
      <c r="AD639" s="35" t="s">
        <v>1634</v>
      </c>
      <c r="AE639" s="35" t="s">
        <v>1634</v>
      </c>
      <c r="AF639" s="35" t="s">
        <v>1635</v>
      </c>
      <c r="AG639" s="35" t="s">
        <v>1636</v>
      </c>
      <c r="AI639" s="35"/>
      <c r="AJ639" s="35" t="s">
        <v>1637</v>
      </c>
      <c r="AK639" s="35" t="s">
        <v>1672</v>
      </c>
      <c r="AL639" s="29" t="s">
        <v>1803</v>
      </c>
      <c r="AM639" s="35"/>
      <c r="AN639" s="35"/>
      <c r="AO639" s="35"/>
      <c r="AP639" s="35"/>
      <c r="AQ639" s="35"/>
      <c r="AS639" s="35"/>
      <c r="AU639" s="35"/>
      <c r="AW639" s="35"/>
      <c r="AY639" s="35"/>
      <c r="AZ639" s="35"/>
      <c r="BA639" s="35"/>
      <c r="BH639" s="29" t="s">
        <v>2587</v>
      </c>
      <c r="BI639" s="35"/>
      <c r="BJ639" s="35"/>
      <c r="BK639" s="29" t="str" cm="1">
        <f t="array" ref="BK639">_xlfn.UNIQUE(MID(BB639,16,14))</f>
        <v/>
      </c>
    </row>
    <row r="640" spans="1:63" x14ac:dyDescent="0.3">
      <c r="A640" s="29" t="s">
        <v>2580</v>
      </c>
      <c r="B640" s="36" t="str">
        <f t="shared" si="45"/>
        <v>V01NHC60BZ001-QM03</v>
      </c>
      <c r="C640" s="33" t="s">
        <v>3888</v>
      </c>
      <c r="D640" s="34" t="str">
        <f t="shared" si="46"/>
        <v>GAS TRT H2 HANDOVR MEAS1 SV3 CB OFF/CLD</v>
      </c>
      <c r="E640" s="31">
        <f t="shared" si="47"/>
        <v>39</v>
      </c>
      <c r="F640" s="32" t="str">
        <f t="shared" si="48"/>
        <v>GAS TREATMENT SYSTEM GAS TREATMENT SYSTEM 1 H2 TREATMENT PRODUCT GAS ANALYTIC SYSTEM MEASUREMENT SYSTEMS MEASUREMENT SYSTEM 1 BALL VALVE (GENERAL) CHECK BACK OFF/CLOSED</v>
      </c>
      <c r="G640" s="29" t="s">
        <v>2544</v>
      </c>
      <c r="H640" s="29" t="s">
        <v>2545</v>
      </c>
      <c r="I640" s="29" t="str">
        <f t="shared" si="49"/>
        <v>01</v>
      </c>
      <c r="J640" s="29" t="s">
        <v>2546</v>
      </c>
      <c r="K640" s="29" t="s">
        <v>1617</v>
      </c>
      <c r="L640" s="29" t="s">
        <v>1618</v>
      </c>
      <c r="M640" s="29" t="s">
        <v>2582</v>
      </c>
      <c r="N640" s="29" t="s">
        <v>2583</v>
      </c>
      <c r="O640" s="29" t="s">
        <v>1845</v>
      </c>
      <c r="P640" s="29" t="s">
        <v>2584</v>
      </c>
      <c r="Q640" s="29" t="s">
        <v>1623</v>
      </c>
      <c r="R640" s="29" t="s">
        <v>2585</v>
      </c>
      <c r="S640" s="29" t="s">
        <v>3865</v>
      </c>
      <c r="T640" s="29" t="s">
        <v>2638</v>
      </c>
      <c r="U640" s="29" t="s">
        <v>363</v>
      </c>
      <c r="V640" s="29" t="s">
        <v>2645</v>
      </c>
      <c r="W640" s="35" t="s">
        <v>2549</v>
      </c>
      <c r="X640" s="35" t="s">
        <v>2586</v>
      </c>
      <c r="Y640" s="35" t="s">
        <v>1851</v>
      </c>
      <c r="Z640" s="35" t="s">
        <v>3866</v>
      </c>
      <c r="AA640" s="35" t="s">
        <v>2646</v>
      </c>
      <c r="AB640" s="29" t="s">
        <v>1667</v>
      </c>
      <c r="AC640" s="35" t="s">
        <v>1633</v>
      </c>
      <c r="AD640" s="35" t="s">
        <v>1634</v>
      </c>
      <c r="AE640" s="35" t="s">
        <v>1634</v>
      </c>
      <c r="AF640" s="35" t="s">
        <v>1635</v>
      </c>
      <c r="AG640" s="35" t="s">
        <v>1636</v>
      </c>
      <c r="AI640" s="35"/>
      <c r="AJ640" s="35" t="s">
        <v>1637</v>
      </c>
      <c r="AK640" s="35" t="s">
        <v>1672</v>
      </c>
      <c r="AL640" s="29" t="s">
        <v>1803</v>
      </c>
      <c r="AM640" s="35"/>
      <c r="AN640" s="35"/>
      <c r="AO640" s="35"/>
      <c r="AP640" s="35"/>
      <c r="AQ640" s="35"/>
      <c r="AS640" s="35"/>
      <c r="AU640" s="35"/>
      <c r="AW640" s="35"/>
      <c r="AY640" s="35"/>
      <c r="AZ640" s="35"/>
      <c r="BA640" s="35"/>
      <c r="BH640" s="29" t="s">
        <v>2587</v>
      </c>
      <c r="BI640" s="35"/>
      <c r="BJ640" s="35"/>
      <c r="BK640" s="29" t="str" cm="1">
        <f t="array" ref="BK640">_xlfn.UNIQUE(MID(BB640,16,14))</f>
        <v/>
      </c>
    </row>
    <row r="641" spans="1:63" x14ac:dyDescent="0.3">
      <c r="A641" s="29" t="s">
        <v>2590</v>
      </c>
      <c r="B641" s="36" t="str">
        <f t="shared" si="45"/>
        <v>V01NHC61BZ001-QM01</v>
      </c>
      <c r="C641" s="33" t="s">
        <v>3889</v>
      </c>
      <c r="D641" s="34" t="str">
        <f t="shared" si="46"/>
        <v>GAS TRT H2 HANDOVR MEAS1 SV1 CB ON/OPN</v>
      </c>
      <c r="E641" s="31">
        <f t="shared" si="47"/>
        <v>38</v>
      </c>
      <c r="F641" s="32" t="str">
        <f t="shared" si="48"/>
        <v>GAS TREATMENT SYSTEM GAS TREATMENT SYSTEM 1 H2 TREATMENT PRODUCT GAS ANALYTIK SYSTEM MEASUREMENT SYSTEMS MEASUREMENT SYSTEM 1 BALL VALVE (GENERAL) CHECK BACK ON/OPEN</v>
      </c>
      <c r="G641" s="29" t="s">
        <v>2544</v>
      </c>
      <c r="H641" s="29" t="s">
        <v>2545</v>
      </c>
      <c r="I641" s="29" t="str">
        <f t="shared" si="49"/>
        <v>01</v>
      </c>
      <c r="J641" s="29" t="s">
        <v>2546</v>
      </c>
      <c r="K641" s="29" t="s">
        <v>1617</v>
      </c>
      <c r="L641" s="29" t="s">
        <v>1618</v>
      </c>
      <c r="M641" s="29" t="s">
        <v>2592</v>
      </c>
      <c r="N641" s="29" t="s">
        <v>2593</v>
      </c>
      <c r="O641" s="29" t="s">
        <v>1845</v>
      </c>
      <c r="P641" s="29" t="s">
        <v>2584</v>
      </c>
      <c r="Q641" s="29" t="s">
        <v>1623</v>
      </c>
      <c r="R641" s="29" t="s">
        <v>2585</v>
      </c>
      <c r="S641" s="29" t="s">
        <v>3471</v>
      </c>
      <c r="T641" s="29" t="s">
        <v>2638</v>
      </c>
      <c r="U641" s="29" t="s">
        <v>790</v>
      </c>
      <c r="V641" s="29" t="s">
        <v>2639</v>
      </c>
      <c r="W641" s="35" t="s">
        <v>2549</v>
      </c>
      <c r="X641" s="35" t="s">
        <v>2586</v>
      </c>
      <c r="Y641" s="35" t="s">
        <v>1851</v>
      </c>
      <c r="Z641" s="35" t="s">
        <v>3473</v>
      </c>
      <c r="AA641" s="35" t="s">
        <v>2641</v>
      </c>
      <c r="AB641" s="29" t="s">
        <v>1667</v>
      </c>
      <c r="AC641" s="35" t="s">
        <v>1633</v>
      </c>
      <c r="AD641" s="35" t="s">
        <v>1634</v>
      </c>
      <c r="AE641" s="35" t="s">
        <v>1634</v>
      </c>
      <c r="AF641" s="35" t="s">
        <v>1635</v>
      </c>
      <c r="AG641" s="35" t="s">
        <v>1636</v>
      </c>
      <c r="AI641" s="35"/>
      <c r="AJ641" s="35" t="s">
        <v>1637</v>
      </c>
      <c r="AK641" s="35" t="s">
        <v>1672</v>
      </c>
      <c r="AL641" s="29" t="s">
        <v>1803</v>
      </c>
      <c r="AM641" s="35"/>
      <c r="AN641" s="35"/>
      <c r="AO641" s="35"/>
      <c r="AP641" s="35"/>
      <c r="AQ641" s="35"/>
      <c r="AS641" s="35"/>
      <c r="AU641" s="35"/>
      <c r="AW641" s="35"/>
      <c r="AY641" s="35"/>
      <c r="AZ641" s="35"/>
      <c r="BA641" s="35"/>
      <c r="BH641" s="29" t="s">
        <v>2594</v>
      </c>
      <c r="BI641" s="35"/>
      <c r="BJ641" s="35"/>
      <c r="BK641" s="29" t="str" cm="1">
        <f t="array" ref="BK641">_xlfn.UNIQUE(MID(BB641,16,14))</f>
        <v/>
      </c>
    </row>
    <row r="642" spans="1:63" x14ac:dyDescent="0.3">
      <c r="A642" s="29" t="s">
        <v>2590</v>
      </c>
      <c r="B642" s="36" t="str">
        <f t="shared" ref="B642:B705" si="50">RIGHT(A642,LEN(A642)-1)&amp;S642</f>
        <v>V01NHC61BZ001-QM01</v>
      </c>
      <c r="C642" s="33" t="s">
        <v>3890</v>
      </c>
      <c r="D642" s="34" t="str">
        <f t="shared" ref="D642:D705" si="51">UPPER(W642&amp;" "&amp;X642&amp;" "&amp;Y642&amp;" "&amp;Z642&amp;" "&amp;AA642)</f>
        <v>GAS TRT H2 HANDOVR MEAS1 SV1 CB OFF/CLD</v>
      </c>
      <c r="E642" s="31">
        <f t="shared" ref="E642:E705" si="52">LEN(D642)</f>
        <v>39</v>
      </c>
      <c r="F642" s="32" t="str">
        <f t="shared" ref="F642:F705" si="53">UPPER(H642&amp;" "&amp;J642&amp;" "&amp;L642&amp;" "&amp;N642&amp;" "&amp;P642&amp;" "&amp;R642&amp;" "&amp;T642&amp;" "&amp;V642)</f>
        <v>GAS TREATMENT SYSTEM GAS TREATMENT SYSTEM 1 H2 TREATMENT PRODUCT GAS ANALYTIK SYSTEM MEASUREMENT SYSTEMS MEASUREMENT SYSTEM 1 BALL VALVE (GENERAL) CHECK BACK OFF/CLOSED</v>
      </c>
      <c r="G642" s="29" t="s">
        <v>2544</v>
      </c>
      <c r="H642" s="29" t="s">
        <v>2545</v>
      </c>
      <c r="I642" s="29" t="str">
        <f t="shared" ref="I642:I705" si="54">RIGHT(LEFT(A642,4),2)</f>
        <v>01</v>
      </c>
      <c r="J642" s="29" t="s">
        <v>2546</v>
      </c>
      <c r="K642" s="29" t="s">
        <v>1617</v>
      </c>
      <c r="L642" s="29" t="s">
        <v>1618</v>
      </c>
      <c r="M642" s="29" t="s">
        <v>2592</v>
      </c>
      <c r="N642" s="29" t="s">
        <v>2593</v>
      </c>
      <c r="O642" s="29" t="s">
        <v>1845</v>
      </c>
      <c r="P642" s="29" t="s">
        <v>2584</v>
      </c>
      <c r="Q642" s="29" t="s">
        <v>1623</v>
      </c>
      <c r="R642" s="29" t="s">
        <v>2585</v>
      </c>
      <c r="S642" s="29" t="s">
        <v>3471</v>
      </c>
      <c r="T642" s="29" t="s">
        <v>2638</v>
      </c>
      <c r="U642" s="29" t="s">
        <v>363</v>
      </c>
      <c r="V642" s="29" t="s">
        <v>2645</v>
      </c>
      <c r="W642" s="35" t="s">
        <v>2549</v>
      </c>
      <c r="X642" s="35" t="s">
        <v>2586</v>
      </c>
      <c r="Y642" s="35" t="s">
        <v>1851</v>
      </c>
      <c r="Z642" s="35" t="s">
        <v>3473</v>
      </c>
      <c r="AA642" s="35" t="s">
        <v>2646</v>
      </c>
      <c r="AB642" s="29" t="s">
        <v>1667</v>
      </c>
      <c r="AC642" s="35" t="s">
        <v>1633</v>
      </c>
      <c r="AD642" s="35" t="s">
        <v>1634</v>
      </c>
      <c r="AE642" s="35" t="s">
        <v>1634</v>
      </c>
      <c r="AF642" s="35" t="s">
        <v>1635</v>
      </c>
      <c r="AG642" s="35" t="s">
        <v>1636</v>
      </c>
      <c r="AI642" s="35"/>
      <c r="AJ642" s="35" t="s">
        <v>1637</v>
      </c>
      <c r="AK642" s="35" t="s">
        <v>1672</v>
      </c>
      <c r="AL642" s="29" t="s">
        <v>1803</v>
      </c>
      <c r="AM642" s="35"/>
      <c r="AN642" s="35"/>
      <c r="AO642" s="35"/>
      <c r="AP642" s="35"/>
      <c r="AQ642" s="35"/>
      <c r="AS642" s="35"/>
      <c r="AU642" s="35"/>
      <c r="AW642" s="35"/>
      <c r="AY642" s="35"/>
      <c r="AZ642" s="35"/>
      <c r="BA642" s="35"/>
      <c r="BH642" s="29" t="s">
        <v>2594</v>
      </c>
      <c r="BI642" s="35"/>
      <c r="BJ642" s="35"/>
      <c r="BK642" s="29" t="str" cm="1">
        <f t="array" ref="BK642">_xlfn.UNIQUE(MID(BB642,16,14))</f>
        <v/>
      </c>
    </row>
    <row r="643" spans="1:63" x14ac:dyDescent="0.3">
      <c r="A643" s="29" t="s">
        <v>2590</v>
      </c>
      <c r="B643" s="36" t="str">
        <f t="shared" si="50"/>
        <v>V01NHC61BZ001-QM02</v>
      </c>
      <c r="C643" s="33" t="s">
        <v>3891</v>
      </c>
      <c r="D643" s="34" t="str">
        <f t="shared" si="51"/>
        <v>GAS TRT H2 HANDOVR MEAS1 SV2 CB ON/OPN</v>
      </c>
      <c r="E643" s="31">
        <f t="shared" si="52"/>
        <v>38</v>
      </c>
      <c r="F643" s="32" t="str">
        <f t="shared" si="53"/>
        <v>GAS TREATMENT SYSTEM GAS TREATMENT SYSTEM 1 H2 TREATMENT PRODUCT GAS ANALYTIK SYSTEM MEASUREMENT SYSTEMS MEASUREMENT SYSTEM 1 BALL VALVE (GENERAL) CHECK BACK ON/OPEN</v>
      </c>
      <c r="G643" s="29" t="s">
        <v>2544</v>
      </c>
      <c r="H643" s="29" t="s">
        <v>2545</v>
      </c>
      <c r="I643" s="29" t="str">
        <f t="shared" si="54"/>
        <v>01</v>
      </c>
      <c r="J643" s="29" t="s">
        <v>2546</v>
      </c>
      <c r="K643" s="29" t="s">
        <v>1617</v>
      </c>
      <c r="L643" s="29" t="s">
        <v>1618</v>
      </c>
      <c r="M643" s="29" t="s">
        <v>2592</v>
      </c>
      <c r="N643" s="29" t="s">
        <v>2593</v>
      </c>
      <c r="O643" s="29" t="s">
        <v>1845</v>
      </c>
      <c r="P643" s="29" t="s">
        <v>2584</v>
      </c>
      <c r="Q643" s="29" t="s">
        <v>1623</v>
      </c>
      <c r="R643" s="29" t="s">
        <v>2585</v>
      </c>
      <c r="S643" s="29" t="s">
        <v>3860</v>
      </c>
      <c r="T643" s="29" t="s">
        <v>2638</v>
      </c>
      <c r="U643" s="29" t="s">
        <v>790</v>
      </c>
      <c r="V643" s="29" t="s">
        <v>2639</v>
      </c>
      <c r="W643" s="35" t="s">
        <v>2549</v>
      </c>
      <c r="X643" s="35" t="s">
        <v>2586</v>
      </c>
      <c r="Y643" s="35" t="s">
        <v>1851</v>
      </c>
      <c r="Z643" s="35" t="s">
        <v>3862</v>
      </c>
      <c r="AA643" s="35" t="s">
        <v>2641</v>
      </c>
      <c r="AB643" s="29" t="s">
        <v>1667</v>
      </c>
      <c r="AC643" s="35" t="s">
        <v>1633</v>
      </c>
      <c r="AD643" s="35" t="s">
        <v>1634</v>
      </c>
      <c r="AE643" s="35" t="s">
        <v>1634</v>
      </c>
      <c r="AF643" s="35" t="s">
        <v>1635</v>
      </c>
      <c r="AG643" s="35" t="s">
        <v>1636</v>
      </c>
      <c r="AI643" s="35"/>
      <c r="AJ643" s="35" t="s">
        <v>1637</v>
      </c>
      <c r="AK643" s="35" t="s">
        <v>1672</v>
      </c>
      <c r="AL643" s="29" t="s">
        <v>1803</v>
      </c>
      <c r="AM643" s="35"/>
      <c r="AN643" s="35"/>
      <c r="AO643" s="35"/>
      <c r="AP643" s="35"/>
      <c r="AQ643" s="35"/>
      <c r="AS643" s="35"/>
      <c r="AU643" s="35"/>
      <c r="AW643" s="35"/>
      <c r="AY643" s="35"/>
      <c r="AZ643" s="35"/>
      <c r="BA643" s="35"/>
      <c r="BH643" s="29" t="s">
        <v>2594</v>
      </c>
      <c r="BI643" s="35"/>
      <c r="BJ643" s="35"/>
      <c r="BK643" s="29" t="str" cm="1">
        <f t="array" ref="BK643">_xlfn.UNIQUE(MID(BB643,16,14))</f>
        <v/>
      </c>
    </row>
    <row r="644" spans="1:63" x14ac:dyDescent="0.3">
      <c r="A644" s="29" t="s">
        <v>2590</v>
      </c>
      <c r="B644" s="36" t="str">
        <f t="shared" si="50"/>
        <v>V01NHC61BZ001-QM02</v>
      </c>
      <c r="C644" s="33" t="s">
        <v>3892</v>
      </c>
      <c r="D644" s="34" t="str">
        <f t="shared" si="51"/>
        <v>GAS TRT H2 HANDOVR MEAS1 SV2 CB OFF/CLD</v>
      </c>
      <c r="E644" s="31">
        <f t="shared" si="52"/>
        <v>39</v>
      </c>
      <c r="F644" s="32" t="str">
        <f t="shared" si="53"/>
        <v>GAS TREATMENT SYSTEM GAS TREATMENT SYSTEM 1 H2 TREATMENT PRODUCT GAS ANALYTIK SYSTEM MEASUREMENT SYSTEMS MEASUREMENT SYSTEM 1 BALL VALVE (GENERAL) CHECK BACK OFF/CLOSED</v>
      </c>
      <c r="G644" s="29" t="s">
        <v>2544</v>
      </c>
      <c r="H644" s="29" t="s">
        <v>2545</v>
      </c>
      <c r="I644" s="29" t="str">
        <f t="shared" si="54"/>
        <v>01</v>
      </c>
      <c r="J644" s="29" t="s">
        <v>2546</v>
      </c>
      <c r="K644" s="29" t="s">
        <v>1617</v>
      </c>
      <c r="L644" s="29" t="s">
        <v>1618</v>
      </c>
      <c r="M644" s="29" t="s">
        <v>2592</v>
      </c>
      <c r="N644" s="29" t="s">
        <v>2593</v>
      </c>
      <c r="O644" s="29" t="s">
        <v>1845</v>
      </c>
      <c r="P644" s="29" t="s">
        <v>2584</v>
      </c>
      <c r="Q644" s="29" t="s">
        <v>1623</v>
      </c>
      <c r="R644" s="29" t="s">
        <v>2585</v>
      </c>
      <c r="S644" s="29" t="s">
        <v>3860</v>
      </c>
      <c r="T644" s="29" t="s">
        <v>2638</v>
      </c>
      <c r="U644" s="29" t="s">
        <v>363</v>
      </c>
      <c r="V644" s="29" t="s">
        <v>2645</v>
      </c>
      <c r="W644" s="35" t="s">
        <v>2549</v>
      </c>
      <c r="X644" s="35" t="s">
        <v>2586</v>
      </c>
      <c r="Y644" s="35" t="s">
        <v>1851</v>
      </c>
      <c r="Z644" s="35" t="s">
        <v>3862</v>
      </c>
      <c r="AA644" s="35" t="s">
        <v>2646</v>
      </c>
      <c r="AB644" s="29" t="s">
        <v>1667</v>
      </c>
      <c r="AC644" s="35" t="s">
        <v>1633</v>
      </c>
      <c r="AD644" s="35" t="s">
        <v>1634</v>
      </c>
      <c r="AE644" s="35" t="s">
        <v>1634</v>
      </c>
      <c r="AF644" s="35" t="s">
        <v>1635</v>
      </c>
      <c r="AG644" s="35" t="s">
        <v>1636</v>
      </c>
      <c r="AI644" s="35"/>
      <c r="AJ644" s="35" t="s">
        <v>1637</v>
      </c>
      <c r="AK644" s="35" t="s">
        <v>1672</v>
      </c>
      <c r="AL644" s="29" t="s">
        <v>1803</v>
      </c>
      <c r="AM644" s="35"/>
      <c r="AN644" s="35"/>
      <c r="AO644" s="35"/>
      <c r="AP644" s="35"/>
      <c r="AQ644" s="35"/>
      <c r="AS644" s="35"/>
      <c r="AU644" s="35"/>
      <c r="AW644" s="35"/>
      <c r="AY644" s="35"/>
      <c r="AZ644" s="35"/>
      <c r="BA644" s="35"/>
      <c r="BH644" s="29" t="s">
        <v>2594</v>
      </c>
      <c r="BI644" s="35"/>
      <c r="BJ644" s="35"/>
      <c r="BK644" s="29" t="str" cm="1">
        <f t="array" ref="BK644">_xlfn.UNIQUE(MID(BB644,16,14))</f>
        <v/>
      </c>
    </row>
    <row r="645" spans="1:63" x14ac:dyDescent="0.3">
      <c r="A645" s="29" t="s">
        <v>2590</v>
      </c>
      <c r="B645" s="36" t="str">
        <f t="shared" si="50"/>
        <v>V01NHC61BZ001-QM03</v>
      </c>
      <c r="C645" s="33" t="s">
        <v>3893</v>
      </c>
      <c r="D645" s="34" t="str">
        <f t="shared" si="51"/>
        <v>GAS TRT H2 HANDOVR MEAS1 SV3 CB ON/OPN</v>
      </c>
      <c r="E645" s="31">
        <f t="shared" si="52"/>
        <v>38</v>
      </c>
      <c r="F645" s="32" t="str">
        <f t="shared" si="53"/>
        <v>GAS TREATMENT SYSTEM GAS TREATMENT SYSTEM 1 H2 TREATMENT PRODUCT GAS ANALYTIK SYSTEM MEASUREMENT SYSTEMS MEASUREMENT SYSTEM 1 BALL VALVE (GENERAL) CHECK BACK ON/OPEN</v>
      </c>
      <c r="G645" s="29" t="s">
        <v>2544</v>
      </c>
      <c r="H645" s="29" t="s">
        <v>2545</v>
      </c>
      <c r="I645" s="29" t="str">
        <f t="shared" si="54"/>
        <v>01</v>
      </c>
      <c r="J645" s="29" t="s">
        <v>2546</v>
      </c>
      <c r="K645" s="29" t="s">
        <v>1617</v>
      </c>
      <c r="L645" s="29" t="s">
        <v>1618</v>
      </c>
      <c r="M645" s="29" t="s">
        <v>2592</v>
      </c>
      <c r="N645" s="29" t="s">
        <v>2593</v>
      </c>
      <c r="O645" s="29" t="s">
        <v>1845</v>
      </c>
      <c r="P645" s="29" t="s">
        <v>2584</v>
      </c>
      <c r="Q645" s="29" t="s">
        <v>1623</v>
      </c>
      <c r="R645" s="29" t="s">
        <v>2585</v>
      </c>
      <c r="S645" s="29" t="s">
        <v>3865</v>
      </c>
      <c r="T645" s="29" t="s">
        <v>2638</v>
      </c>
      <c r="U645" s="29" t="s">
        <v>790</v>
      </c>
      <c r="V645" s="29" t="s">
        <v>2639</v>
      </c>
      <c r="W645" s="35" t="s">
        <v>2549</v>
      </c>
      <c r="X645" s="35" t="s">
        <v>2586</v>
      </c>
      <c r="Y645" s="35" t="s">
        <v>1851</v>
      </c>
      <c r="Z645" s="35" t="s">
        <v>3866</v>
      </c>
      <c r="AA645" s="35" t="s">
        <v>2641</v>
      </c>
      <c r="AB645" s="29" t="s">
        <v>1667</v>
      </c>
      <c r="AC645" s="35" t="s">
        <v>1633</v>
      </c>
      <c r="AD645" s="35" t="s">
        <v>1634</v>
      </c>
      <c r="AE645" s="35" t="s">
        <v>1634</v>
      </c>
      <c r="AF645" s="35" t="s">
        <v>1635</v>
      </c>
      <c r="AG645" s="35" t="s">
        <v>1636</v>
      </c>
      <c r="AI645" s="35"/>
      <c r="AJ645" s="35" t="s">
        <v>1637</v>
      </c>
      <c r="AK645" s="35" t="s">
        <v>1672</v>
      </c>
      <c r="AL645" s="29" t="s">
        <v>1803</v>
      </c>
      <c r="AM645" s="35"/>
      <c r="AN645" s="35"/>
      <c r="AO645" s="35"/>
      <c r="AP645" s="35"/>
      <c r="AQ645" s="35"/>
      <c r="AS645" s="35"/>
      <c r="AU645" s="35"/>
      <c r="AW645" s="35"/>
      <c r="AY645" s="35"/>
      <c r="AZ645" s="35"/>
      <c r="BA645" s="35"/>
      <c r="BH645" s="29" t="s">
        <v>2594</v>
      </c>
      <c r="BI645" s="35"/>
      <c r="BJ645" s="35"/>
      <c r="BK645" s="29" t="str" cm="1">
        <f t="array" ref="BK645">_xlfn.UNIQUE(MID(BB645,16,14))</f>
        <v/>
      </c>
    </row>
    <row r="646" spans="1:63" x14ac:dyDescent="0.3">
      <c r="A646" s="29" t="s">
        <v>2590</v>
      </c>
      <c r="B646" s="36" t="str">
        <f t="shared" si="50"/>
        <v>V01NHC61BZ001-QM03</v>
      </c>
      <c r="C646" s="33" t="s">
        <v>3894</v>
      </c>
      <c r="D646" s="34" t="str">
        <f t="shared" si="51"/>
        <v>GAS TRT H2 HANDOVR MEAS1 SV3 CB OFF/CLD</v>
      </c>
      <c r="E646" s="31">
        <f t="shared" si="52"/>
        <v>39</v>
      </c>
      <c r="F646" s="32" t="str">
        <f t="shared" si="53"/>
        <v>GAS TREATMENT SYSTEM GAS TREATMENT SYSTEM 1 H2 TREATMENT PRODUCT GAS ANALYTIK SYSTEM MEASUREMENT SYSTEMS MEASUREMENT SYSTEM 1 BALL VALVE (GENERAL) CHECK BACK OFF/CLOSED</v>
      </c>
      <c r="G646" s="29" t="s">
        <v>2544</v>
      </c>
      <c r="H646" s="29" t="s">
        <v>2545</v>
      </c>
      <c r="I646" s="29" t="str">
        <f t="shared" si="54"/>
        <v>01</v>
      </c>
      <c r="J646" s="29" t="s">
        <v>2546</v>
      </c>
      <c r="K646" s="29" t="s">
        <v>1617</v>
      </c>
      <c r="L646" s="29" t="s">
        <v>1618</v>
      </c>
      <c r="M646" s="29" t="s">
        <v>2592</v>
      </c>
      <c r="N646" s="29" t="s">
        <v>2593</v>
      </c>
      <c r="O646" s="29" t="s">
        <v>1845</v>
      </c>
      <c r="P646" s="29" t="s">
        <v>2584</v>
      </c>
      <c r="Q646" s="29" t="s">
        <v>1623</v>
      </c>
      <c r="R646" s="29" t="s">
        <v>2585</v>
      </c>
      <c r="S646" s="29" t="s">
        <v>3865</v>
      </c>
      <c r="T646" s="29" t="s">
        <v>2638</v>
      </c>
      <c r="U646" s="29" t="s">
        <v>363</v>
      </c>
      <c r="V646" s="29" t="s">
        <v>2645</v>
      </c>
      <c r="W646" s="35" t="s">
        <v>2549</v>
      </c>
      <c r="X646" s="35" t="s">
        <v>2586</v>
      </c>
      <c r="Y646" s="35" t="s">
        <v>1851</v>
      </c>
      <c r="Z646" s="35" t="s">
        <v>3866</v>
      </c>
      <c r="AA646" s="35" t="s">
        <v>2646</v>
      </c>
      <c r="AB646" s="29" t="s">
        <v>1667</v>
      </c>
      <c r="AC646" s="35" t="s">
        <v>1633</v>
      </c>
      <c r="AD646" s="35" t="s">
        <v>1634</v>
      </c>
      <c r="AE646" s="35" t="s">
        <v>1634</v>
      </c>
      <c r="AF646" s="35" t="s">
        <v>1635</v>
      </c>
      <c r="AG646" s="35" t="s">
        <v>1636</v>
      </c>
      <c r="AI646" s="35"/>
      <c r="AJ646" s="35" t="s">
        <v>1637</v>
      </c>
      <c r="AK646" s="35" t="s">
        <v>1672</v>
      </c>
      <c r="AL646" s="29" t="s">
        <v>1803</v>
      </c>
      <c r="AM646" s="35"/>
      <c r="AN646" s="35"/>
      <c r="AO646" s="35"/>
      <c r="AP646" s="35"/>
      <c r="AQ646" s="35"/>
      <c r="AS646" s="35"/>
      <c r="AU646" s="35"/>
      <c r="AW646" s="35"/>
      <c r="AY646" s="35"/>
      <c r="AZ646" s="35"/>
      <c r="BA646" s="35"/>
      <c r="BH646" s="29" t="s">
        <v>2594</v>
      </c>
      <c r="BI646" s="35"/>
      <c r="BJ646" s="35"/>
      <c r="BK646" s="29" t="str" cm="1">
        <f t="array" ref="BK646">_xlfn.UNIQUE(MID(BB646,16,14))</f>
        <v/>
      </c>
    </row>
    <row r="647" spans="1:63" hidden="1" x14ac:dyDescent="0.3">
      <c r="A647" s="29" t="s">
        <v>1676</v>
      </c>
      <c r="B647" s="36" t="str">
        <f t="shared" si="50"/>
        <v>A01GCF01GP001-GP01</v>
      </c>
      <c r="C647" s="33" t="s">
        <v>3895</v>
      </c>
      <c r="D647" s="34" t="str">
        <f t="shared" si="51"/>
        <v>AUX DEMIN SUP PMP1 PMP1 AUT CMD ON/OPN</v>
      </c>
      <c r="E647" s="31">
        <f t="shared" si="52"/>
        <v>38</v>
      </c>
      <c r="F647" s="32" t="str">
        <f t="shared" si="53"/>
        <v>ANCILLARY/AUXILIARY SYSTEMS AUXILLIARY SYSTEMS DEMIN WATER SUPPLY SYSTEM DEMIN WATER SUPPLY SYSTEM 1 PUMP SYSTEM PUMP SYSTEM 1 DEMIN WATER SUPPLY PUMP 1 AUTOMATIC COMMAND ON/OPEN</v>
      </c>
      <c r="G647" s="29" t="s">
        <v>1651</v>
      </c>
      <c r="H647" s="29" t="s">
        <v>1652</v>
      </c>
      <c r="I647" s="29" t="str">
        <f t="shared" si="54"/>
        <v>01</v>
      </c>
      <c r="J647" s="29" t="s">
        <v>1653</v>
      </c>
      <c r="K647" s="29" t="s">
        <v>1654</v>
      </c>
      <c r="L647" s="29" t="s">
        <v>1655</v>
      </c>
      <c r="M647" s="29" t="s">
        <v>1619</v>
      </c>
      <c r="N647" s="29" t="s">
        <v>1656</v>
      </c>
      <c r="O647" s="29" t="s">
        <v>1678</v>
      </c>
      <c r="P647" s="29" t="s">
        <v>1679</v>
      </c>
      <c r="Q647" s="29" t="s">
        <v>1623</v>
      </c>
      <c r="R647" s="29" t="s">
        <v>1680</v>
      </c>
      <c r="S647" s="29" t="s">
        <v>2695</v>
      </c>
      <c r="T647" s="29" t="s">
        <v>3896</v>
      </c>
      <c r="U647" s="29" t="s">
        <v>3897</v>
      </c>
      <c r="V647" s="29" t="s">
        <v>3898</v>
      </c>
      <c r="W647" s="35" t="s">
        <v>1662</v>
      </c>
      <c r="X647" s="35" t="s">
        <v>1663</v>
      </c>
      <c r="Y647" s="35" t="s">
        <v>1683</v>
      </c>
      <c r="Z647" s="35" t="s">
        <v>1683</v>
      </c>
      <c r="AA647" s="35" t="s">
        <v>3899</v>
      </c>
      <c r="AB647" s="29" t="s">
        <v>1667</v>
      </c>
      <c r="AC647" s="35" t="s">
        <v>1633</v>
      </c>
      <c r="AD647" s="35" t="s">
        <v>1634</v>
      </c>
      <c r="AE647" s="35" t="s">
        <v>1634</v>
      </c>
      <c r="AF647" s="35" t="s">
        <v>1669</v>
      </c>
      <c r="AG647" s="35" t="s">
        <v>1670</v>
      </c>
      <c r="AI647" s="35"/>
      <c r="AJ647" s="35" t="s">
        <v>3340</v>
      </c>
      <c r="AK647" s="35" t="s">
        <v>1672</v>
      </c>
      <c r="AL647" s="29" t="s">
        <v>3900</v>
      </c>
      <c r="AM647" s="35"/>
      <c r="AN647" s="35"/>
      <c r="AO647" s="35"/>
      <c r="AP647" s="35"/>
      <c r="AQ647" s="35"/>
      <c r="AS647" s="35"/>
      <c r="AU647" s="35"/>
      <c r="AW647" s="35"/>
      <c r="AY647" s="35"/>
      <c r="AZ647" s="35"/>
      <c r="BA647" s="35"/>
      <c r="BH647" s="29" t="s">
        <v>1675</v>
      </c>
      <c r="BI647" s="35"/>
      <c r="BJ647" s="35"/>
    </row>
    <row r="648" spans="1:63" hidden="1" x14ac:dyDescent="0.3">
      <c r="A648" s="29" t="s">
        <v>1676</v>
      </c>
      <c r="B648" s="36" t="str">
        <f t="shared" si="50"/>
        <v>A01GCF01GP001-GP02</v>
      </c>
      <c r="C648" s="33" t="s">
        <v>3901</v>
      </c>
      <c r="D648" s="34" t="str">
        <f t="shared" si="51"/>
        <v>AUX DEMIN SUP PMP1 PMP2 AUT CMD ON/OPN</v>
      </c>
      <c r="E648" s="31">
        <f t="shared" si="52"/>
        <v>38</v>
      </c>
      <c r="F648" s="32" t="str">
        <f t="shared" si="53"/>
        <v>ANCILLARY/AUXILIARY SYSTEMS AUXILLIARY SYSTEMS DEMIN WATER SUPPLY SYSTEM DEMIN WATER SUPPLY SYSTEM 1 PUMP SYSTEM PUMP SYSTEM 1 DEMIN WATER SUPPLY PUMP 2 AUTOMATIC COMMAND ON/OPEN</v>
      </c>
      <c r="G648" s="29" t="s">
        <v>1651</v>
      </c>
      <c r="H648" s="29" t="s">
        <v>1652</v>
      </c>
      <c r="I648" s="29" t="str">
        <f t="shared" si="54"/>
        <v>01</v>
      </c>
      <c r="J648" s="29" t="s">
        <v>1653</v>
      </c>
      <c r="K648" s="29" t="s">
        <v>1654</v>
      </c>
      <c r="L648" s="29" t="s">
        <v>1655</v>
      </c>
      <c r="M648" s="29" t="s">
        <v>1619</v>
      </c>
      <c r="N648" s="29" t="s">
        <v>1656</v>
      </c>
      <c r="O648" s="29" t="s">
        <v>1678</v>
      </c>
      <c r="P648" s="29" t="s">
        <v>1679</v>
      </c>
      <c r="Q648" s="29" t="s">
        <v>1623</v>
      </c>
      <c r="R648" s="29" t="s">
        <v>1680</v>
      </c>
      <c r="S648" s="29" t="s">
        <v>2701</v>
      </c>
      <c r="T648" s="29" t="s">
        <v>3902</v>
      </c>
      <c r="U648" s="29" t="s">
        <v>3897</v>
      </c>
      <c r="V648" s="29" t="s">
        <v>3898</v>
      </c>
      <c r="W648" s="35" t="s">
        <v>1662</v>
      </c>
      <c r="X648" s="35" t="s">
        <v>1663</v>
      </c>
      <c r="Y648" s="35" t="s">
        <v>1683</v>
      </c>
      <c r="Z648" s="35" t="s">
        <v>2702</v>
      </c>
      <c r="AA648" s="35" t="s">
        <v>3899</v>
      </c>
      <c r="AB648" s="29" t="s">
        <v>1667</v>
      </c>
      <c r="AC648" s="35" t="s">
        <v>1633</v>
      </c>
      <c r="AD648" s="35" t="s">
        <v>1634</v>
      </c>
      <c r="AE648" s="35" t="s">
        <v>1634</v>
      </c>
      <c r="AF648" s="35" t="s">
        <v>1669</v>
      </c>
      <c r="AG648" s="35" t="s">
        <v>1670</v>
      </c>
      <c r="AI648" s="35"/>
      <c r="AJ648" s="35" t="s">
        <v>3340</v>
      </c>
      <c r="AK648" s="35" t="s">
        <v>1672</v>
      </c>
      <c r="AL648" s="29" t="s">
        <v>3900</v>
      </c>
      <c r="AM648" s="35"/>
      <c r="AN648" s="35"/>
      <c r="AO648" s="35"/>
      <c r="AP648" s="35"/>
      <c r="AQ648" s="35"/>
      <c r="AS648" s="35"/>
      <c r="AU648" s="35"/>
      <c r="AW648" s="35"/>
      <c r="AY648" s="35"/>
      <c r="AZ648" s="35"/>
      <c r="BA648" s="35"/>
      <c r="BH648" s="29" t="s">
        <v>1675</v>
      </c>
      <c r="BI648" s="35"/>
      <c r="BJ648" s="35"/>
    </row>
    <row r="649" spans="1:63" hidden="1" x14ac:dyDescent="0.3">
      <c r="A649" s="29" t="s">
        <v>1750</v>
      </c>
      <c r="B649" s="36" t="str">
        <f t="shared" si="50"/>
        <v>A01PAD01GP001-GP01</v>
      </c>
      <c r="C649" s="33" t="s">
        <v>3903</v>
      </c>
      <c r="D649" s="34" t="str">
        <f t="shared" si="51"/>
        <v>AUX COOL WTR PMP1 PMP1 CMD ON/OP</v>
      </c>
      <c r="E649" s="31">
        <f t="shared" si="52"/>
        <v>32</v>
      </c>
      <c r="F649" s="32" t="str">
        <f t="shared" si="53"/>
        <v>ANCILLARY/AUXILIARY SYSTEMS AUXILLIARY SYSTEMS COOLING WATER SYSTEMS COOLING WATER SYSTEM RECOOLING PUMP SYSTEM RECOOLING PUMP UNIT COOLING WATER RETURN PUMP 1 MANUAL COMMAND ON/OPEN</v>
      </c>
      <c r="G649" s="29" t="s">
        <v>1651</v>
      </c>
      <c r="H649" s="29" t="s">
        <v>1652</v>
      </c>
      <c r="I649" s="29" t="str">
        <f t="shared" si="54"/>
        <v>01</v>
      </c>
      <c r="J649" s="29" t="s">
        <v>1653</v>
      </c>
      <c r="K649" s="29" t="s">
        <v>1709</v>
      </c>
      <c r="L649" s="29" t="s">
        <v>1710</v>
      </c>
      <c r="M649" s="29" t="s">
        <v>1619</v>
      </c>
      <c r="N649" s="29" t="s">
        <v>1711</v>
      </c>
      <c r="O649" s="29" t="s">
        <v>1678</v>
      </c>
      <c r="P649" s="29" t="s">
        <v>1752</v>
      </c>
      <c r="Q649" s="29" t="s">
        <v>1623</v>
      </c>
      <c r="R649" s="29" t="s">
        <v>1753</v>
      </c>
      <c r="S649" s="29" t="s">
        <v>2695</v>
      </c>
      <c r="T649" s="29" t="s">
        <v>3904</v>
      </c>
      <c r="U649" s="29" t="s">
        <v>3337</v>
      </c>
      <c r="V649" s="29" t="s">
        <v>3338</v>
      </c>
      <c r="W649" s="35" t="s">
        <v>1662</v>
      </c>
      <c r="X649" s="35" t="s">
        <v>1717</v>
      </c>
      <c r="Y649" s="35" t="s">
        <v>1683</v>
      </c>
      <c r="Z649" s="35" t="s">
        <v>1683</v>
      </c>
      <c r="AA649" s="35" t="s">
        <v>3339</v>
      </c>
      <c r="AC649" s="35" t="s">
        <v>1633</v>
      </c>
      <c r="AD649" s="35" t="s">
        <v>1634</v>
      </c>
      <c r="AE649" s="35" t="s">
        <v>1634</v>
      </c>
      <c r="AF649" s="35" t="s">
        <v>1635</v>
      </c>
      <c r="AG649" s="35" t="s">
        <v>1670</v>
      </c>
      <c r="AI649" s="35"/>
      <c r="AJ649" s="35" t="s">
        <v>3340</v>
      </c>
      <c r="AK649" s="35" t="s">
        <v>1672</v>
      </c>
      <c r="AL649" s="29" t="s">
        <v>3900</v>
      </c>
      <c r="AM649" s="35"/>
      <c r="AN649" s="35"/>
      <c r="AO649" s="35"/>
      <c r="AP649" s="35"/>
      <c r="AQ649" s="35"/>
      <c r="AS649" s="35"/>
      <c r="AU649" s="35"/>
      <c r="AW649" s="35"/>
      <c r="AY649" s="35"/>
      <c r="AZ649" s="35"/>
      <c r="BA649" s="35"/>
      <c r="BH649" s="29" t="s">
        <v>1723</v>
      </c>
      <c r="BI649" s="35"/>
      <c r="BJ649" s="35"/>
    </row>
    <row r="650" spans="1:63" hidden="1" x14ac:dyDescent="0.3">
      <c r="A650" s="29" t="s">
        <v>1750</v>
      </c>
      <c r="B650" s="36" t="str">
        <f t="shared" si="50"/>
        <v>A01PAD01GP001-GP02</v>
      </c>
      <c r="C650" s="33" t="s">
        <v>3905</v>
      </c>
      <c r="D650" s="34" t="str">
        <f t="shared" si="51"/>
        <v>AUX COOL WTR PMP1 PMP2 CMD ON/OP</v>
      </c>
      <c r="E650" s="31">
        <f t="shared" si="52"/>
        <v>32</v>
      </c>
      <c r="F650" s="32" t="str">
        <f t="shared" si="53"/>
        <v>ANCILLARY/AUXILIARY SYSTEMS AUXILLIARY SYSTEMS COOLING WATER SYSTEMS COOLING WATER SYSTEM RECOOLING PUMP SYSTEM RECOOLING PUMP UNIT COOLING WATER RETURN PUMP 2 MANUAL COMMAND ON/OPEN</v>
      </c>
      <c r="G650" s="29" t="s">
        <v>1651</v>
      </c>
      <c r="H650" s="29" t="s">
        <v>1652</v>
      </c>
      <c r="I650" s="29" t="str">
        <f t="shared" si="54"/>
        <v>01</v>
      </c>
      <c r="J650" s="29" t="s">
        <v>1653</v>
      </c>
      <c r="K650" s="29" t="s">
        <v>1709</v>
      </c>
      <c r="L650" s="29" t="s">
        <v>1710</v>
      </c>
      <c r="M650" s="29" t="s">
        <v>1619</v>
      </c>
      <c r="N650" s="29" t="s">
        <v>1711</v>
      </c>
      <c r="O650" s="29" t="s">
        <v>1678</v>
      </c>
      <c r="P650" s="29" t="s">
        <v>1752</v>
      </c>
      <c r="Q650" s="29" t="s">
        <v>1623</v>
      </c>
      <c r="R650" s="29" t="s">
        <v>1753</v>
      </c>
      <c r="S650" s="29" t="s">
        <v>2701</v>
      </c>
      <c r="T650" s="29" t="s">
        <v>3906</v>
      </c>
      <c r="U650" s="29" t="s">
        <v>3337</v>
      </c>
      <c r="V650" s="29" t="s">
        <v>3338</v>
      </c>
      <c r="W650" s="35" t="s">
        <v>1662</v>
      </c>
      <c r="X650" s="35" t="s">
        <v>1717</v>
      </c>
      <c r="Y650" s="35" t="s">
        <v>1683</v>
      </c>
      <c r="Z650" s="35" t="s">
        <v>2702</v>
      </c>
      <c r="AA650" s="35" t="s">
        <v>3339</v>
      </c>
      <c r="AC650" s="35" t="s">
        <v>1633</v>
      </c>
      <c r="AD650" s="35" t="s">
        <v>1634</v>
      </c>
      <c r="AE650" s="35" t="s">
        <v>1634</v>
      </c>
      <c r="AF650" s="35" t="s">
        <v>1635</v>
      </c>
      <c r="AG650" s="35" t="s">
        <v>1670</v>
      </c>
      <c r="AI650" s="35"/>
      <c r="AJ650" s="35" t="s">
        <v>3340</v>
      </c>
      <c r="AK650" s="35" t="s">
        <v>1672</v>
      </c>
      <c r="AL650" s="29" t="s">
        <v>3900</v>
      </c>
      <c r="AM650" s="35"/>
      <c r="AN650" s="35"/>
      <c r="AO650" s="35"/>
      <c r="AP650" s="35"/>
      <c r="AQ650" s="35"/>
      <c r="AS650" s="35"/>
      <c r="AU650" s="35"/>
      <c r="AW650" s="35"/>
      <c r="AY650" s="35"/>
      <c r="AZ650" s="35"/>
      <c r="BA650" s="35"/>
      <c r="BH650" s="29" t="s">
        <v>1723</v>
      </c>
      <c r="BI650" s="35"/>
      <c r="BJ650" s="35"/>
      <c r="BK650" s="29" t="str" cm="1">
        <f t="array" ref="BK650">_xlfn.UNIQUE(MID(BB650,16,14))</f>
        <v/>
      </c>
    </row>
    <row r="651" spans="1:63" hidden="1" x14ac:dyDescent="0.3">
      <c r="A651" s="29" t="s">
        <v>1828</v>
      </c>
      <c r="B651" s="36" t="str">
        <f t="shared" si="50"/>
        <v>A01QJB01WP003-QM11</v>
      </c>
      <c r="C651" s="33" t="s">
        <v>3907</v>
      </c>
      <c r="D651" s="34" t="str">
        <f t="shared" si="51"/>
        <v>AUX N2 SUP PIPING SV11 CMD ON/OP</v>
      </c>
      <c r="E651" s="31">
        <f t="shared" si="52"/>
        <v>32</v>
      </c>
      <c r="F651" s="32" t="str">
        <f t="shared" si="53"/>
        <v>ANCILLARY/AUXILIARY SYSTEMS AUXILLIARY SYSTEMS NITROGEN SUPPLY SYSTEMS NITROGEN SUPPLY SYSTEM 1 PIPE SYSTEM NITROGEN SUPPLY AUX1 BALL VALVE (GENERAL) MANUAL COMMAND ON/OPEN</v>
      </c>
      <c r="G651" s="29" t="s">
        <v>1651</v>
      </c>
      <c r="H651" s="29" t="s">
        <v>1652</v>
      </c>
      <c r="I651" s="29" t="str">
        <f t="shared" si="54"/>
        <v>01</v>
      </c>
      <c r="J651" s="29" t="s">
        <v>1653</v>
      </c>
      <c r="K651" s="29" t="s">
        <v>1820</v>
      </c>
      <c r="L651" s="29" t="s">
        <v>1821</v>
      </c>
      <c r="M651" s="29" t="s">
        <v>1619</v>
      </c>
      <c r="N651" s="29" t="s">
        <v>1822</v>
      </c>
      <c r="O651" s="29" t="s">
        <v>1781</v>
      </c>
      <c r="P651" s="29" t="s">
        <v>1823</v>
      </c>
      <c r="Q651" s="29" t="s">
        <v>1830</v>
      </c>
      <c r="R651" s="29" t="s">
        <v>1831</v>
      </c>
      <c r="S651" s="29" t="s">
        <v>2637</v>
      </c>
      <c r="T651" s="29" t="s">
        <v>2638</v>
      </c>
      <c r="U651" s="29" t="s">
        <v>3337</v>
      </c>
      <c r="V651" s="29" t="s">
        <v>3338</v>
      </c>
      <c r="W651" s="35" t="s">
        <v>1662</v>
      </c>
      <c r="X651" s="35" t="s">
        <v>1826</v>
      </c>
      <c r="Y651" s="35" t="s">
        <v>1785</v>
      </c>
      <c r="Z651" s="35" t="s">
        <v>2640</v>
      </c>
      <c r="AA651" s="35" t="s">
        <v>3339</v>
      </c>
      <c r="AB651" s="29" t="s">
        <v>1667</v>
      </c>
      <c r="AC651" s="35" t="s">
        <v>1633</v>
      </c>
      <c r="AD651" s="35" t="s">
        <v>1634</v>
      </c>
      <c r="AE651" s="35" t="s">
        <v>1634</v>
      </c>
      <c r="AF651" s="35" t="s">
        <v>1635</v>
      </c>
      <c r="AG651" s="35" t="s">
        <v>1670</v>
      </c>
      <c r="AI651" s="35"/>
      <c r="AJ651" s="35" t="s">
        <v>3340</v>
      </c>
      <c r="AK651" s="35" t="s">
        <v>1672</v>
      </c>
      <c r="AL651" s="29" t="s">
        <v>3362</v>
      </c>
      <c r="AM651" s="35"/>
      <c r="AN651" s="35"/>
      <c r="AO651" s="35"/>
      <c r="AP651" s="35"/>
      <c r="AQ651" s="35"/>
      <c r="AS651" s="35"/>
      <c r="AU651" s="35"/>
      <c r="AW651" s="35"/>
      <c r="AY651" s="35"/>
      <c r="AZ651" s="35"/>
      <c r="BA651" s="35"/>
      <c r="BH651" s="29" t="s">
        <v>2643</v>
      </c>
      <c r="BI651" s="35"/>
      <c r="BJ651" s="35"/>
      <c r="BK651" s="29" t="str" cm="1">
        <f t="array" ref="BK651">_xlfn.UNIQUE(MID(BB651,16,14))</f>
        <v/>
      </c>
    </row>
    <row r="652" spans="1:63" hidden="1" x14ac:dyDescent="0.3">
      <c r="A652" s="29" t="s">
        <v>1828</v>
      </c>
      <c r="B652" s="36" t="str">
        <f t="shared" si="50"/>
        <v>A01QJB01WP003-QM60</v>
      </c>
      <c r="C652" s="33" t="s">
        <v>3908</v>
      </c>
      <c r="D652" s="34" t="str">
        <f t="shared" si="51"/>
        <v>AUX N2 SUP PIPING SV60 CMD ON/OP</v>
      </c>
      <c r="E652" s="31">
        <f t="shared" si="52"/>
        <v>32</v>
      </c>
      <c r="F652" s="32" t="str">
        <f t="shared" si="53"/>
        <v>ANCILLARY/AUXILIARY SYSTEMS AUXILLIARY SYSTEMS NITROGEN SUPPLY SYSTEMS NITROGEN SUPPLY SYSTEM 1 PIPE SYSTEM NITROGEN SUPPLY AUX1 BALL VALVE (GENERAL) MANUAL COMMAND ON/OPEN</v>
      </c>
      <c r="G652" s="29" t="s">
        <v>1651</v>
      </c>
      <c r="H652" s="29" t="s">
        <v>1652</v>
      </c>
      <c r="I652" s="29" t="str">
        <f t="shared" si="54"/>
        <v>01</v>
      </c>
      <c r="J652" s="29" t="s">
        <v>1653</v>
      </c>
      <c r="K652" s="29" t="s">
        <v>1820</v>
      </c>
      <c r="L652" s="29" t="s">
        <v>1821</v>
      </c>
      <c r="M652" s="29" t="s">
        <v>1619</v>
      </c>
      <c r="N652" s="29" t="s">
        <v>1822</v>
      </c>
      <c r="O652" s="29" t="s">
        <v>1781</v>
      </c>
      <c r="P652" s="29" t="s">
        <v>1823</v>
      </c>
      <c r="Q652" s="29" t="s">
        <v>1830</v>
      </c>
      <c r="R652" s="29" t="s">
        <v>1831</v>
      </c>
      <c r="S652" s="29" t="s">
        <v>2648</v>
      </c>
      <c r="T652" s="29" t="s">
        <v>2638</v>
      </c>
      <c r="U652" s="29" t="s">
        <v>3337</v>
      </c>
      <c r="V652" s="29" t="s">
        <v>3338</v>
      </c>
      <c r="W652" s="35" t="s">
        <v>1662</v>
      </c>
      <c r="X652" s="35" t="s">
        <v>1826</v>
      </c>
      <c r="Y652" s="35" t="s">
        <v>1785</v>
      </c>
      <c r="Z652" s="35" t="s">
        <v>2649</v>
      </c>
      <c r="AA652" s="35" t="s">
        <v>3339</v>
      </c>
      <c r="AB652" s="29" t="s">
        <v>1667</v>
      </c>
      <c r="AC652" s="35" t="s">
        <v>1633</v>
      </c>
      <c r="AD652" s="35" t="s">
        <v>1634</v>
      </c>
      <c r="AE652" s="35" t="s">
        <v>1634</v>
      </c>
      <c r="AF652" s="35" t="s">
        <v>1635</v>
      </c>
      <c r="AG652" s="35" t="s">
        <v>1670</v>
      </c>
      <c r="AI652" s="35"/>
      <c r="AJ652" s="35" t="s">
        <v>3340</v>
      </c>
      <c r="AK652" s="35" t="s">
        <v>1672</v>
      </c>
      <c r="AL652" s="29" t="s">
        <v>3362</v>
      </c>
      <c r="AM652" s="35"/>
      <c r="AN652" s="35"/>
      <c r="AO652" s="35"/>
      <c r="AP652" s="35"/>
      <c r="AQ652" s="35"/>
      <c r="AS652" s="35"/>
      <c r="AU652" s="35"/>
      <c r="AW652" s="35"/>
      <c r="AY652" s="35"/>
      <c r="AZ652" s="35"/>
      <c r="BA652" s="35"/>
      <c r="BH652" s="29" t="s">
        <v>1827</v>
      </c>
      <c r="BI652" s="35"/>
      <c r="BJ652" s="35"/>
      <c r="BK652" s="29" t="str" cm="1">
        <f t="array" ref="BK652">_xlfn.UNIQUE(MID(BB652,16,14))</f>
        <v/>
      </c>
    </row>
    <row r="653" spans="1:63" hidden="1" x14ac:dyDescent="0.3">
      <c r="A653" s="29" t="s">
        <v>1892</v>
      </c>
      <c r="B653" s="36" t="str">
        <f t="shared" si="50"/>
        <v>G01NHA01EQ001-GP01</v>
      </c>
      <c r="C653" s="33" t="s">
        <v>3909</v>
      </c>
      <c r="D653" s="34" t="str">
        <f t="shared" si="51"/>
        <v>ELY1 RECT1 COOL PMP1 CMD ON/OP</v>
      </c>
      <c r="E653" s="31">
        <f t="shared" si="52"/>
        <v>30</v>
      </c>
      <c r="F653" s="32" t="str">
        <f t="shared" si="53"/>
        <v>ELECTROLYSIS SYSTEM ELECTROLYSIS ARRAY 1 RECTIFIER SYSTEMS RECTIFIER SYSTEM 1 COOLING SYSTEMS RECTIFIER COOLING SYSTEM PUMP, GENERAL MANUAL COMMAND ON/OPEN</v>
      </c>
      <c r="G653" s="29" t="s">
        <v>1614</v>
      </c>
      <c r="H653" s="29" t="s">
        <v>1615</v>
      </c>
      <c r="I653" s="29" t="str">
        <f t="shared" si="54"/>
        <v>01</v>
      </c>
      <c r="J653" s="29" t="s">
        <v>1616</v>
      </c>
      <c r="K653" s="29" t="s">
        <v>1842</v>
      </c>
      <c r="L653" s="29" t="s">
        <v>1843</v>
      </c>
      <c r="M653" s="29" t="s">
        <v>1619</v>
      </c>
      <c r="N653" s="29" t="s">
        <v>1844</v>
      </c>
      <c r="O653" s="29" t="s">
        <v>1894</v>
      </c>
      <c r="P653" s="29" t="s">
        <v>1895</v>
      </c>
      <c r="Q653" s="29" t="s">
        <v>1623</v>
      </c>
      <c r="R653" s="29" t="s">
        <v>1896</v>
      </c>
      <c r="S653" s="29" t="s">
        <v>2695</v>
      </c>
      <c r="T653" s="29" t="s">
        <v>2696</v>
      </c>
      <c r="U653" s="29" t="s">
        <v>3337</v>
      </c>
      <c r="V653" s="29" t="s">
        <v>3338</v>
      </c>
      <c r="W653" s="35" t="s">
        <v>1628</v>
      </c>
      <c r="X653" s="35" t="s">
        <v>1850</v>
      </c>
      <c r="Y653" s="35" t="s">
        <v>1898</v>
      </c>
      <c r="Z653" s="35" t="s">
        <v>1683</v>
      </c>
      <c r="AA653" s="35" t="s">
        <v>3339</v>
      </c>
      <c r="AB653" s="29" t="s">
        <v>2709</v>
      </c>
      <c r="AC653" s="35" t="s">
        <v>1633</v>
      </c>
      <c r="AD653" s="35" t="s">
        <v>1634</v>
      </c>
      <c r="AE653" s="35" t="s">
        <v>1634</v>
      </c>
      <c r="AF653" s="35" t="s">
        <v>1635</v>
      </c>
      <c r="AG653" s="35" t="s">
        <v>1728</v>
      </c>
      <c r="AI653" s="35"/>
      <c r="AJ653" s="35" t="s">
        <v>3340</v>
      </c>
      <c r="AK653" s="35" t="s">
        <v>1672</v>
      </c>
      <c r="AL653" s="29" t="s">
        <v>1729</v>
      </c>
      <c r="AM653" s="35"/>
      <c r="AN653" s="35"/>
      <c r="AO653" s="35"/>
      <c r="AP653" s="35"/>
      <c r="AQ653" s="35"/>
      <c r="AS653" s="35"/>
      <c r="AU653" s="35"/>
      <c r="AW653" s="35"/>
      <c r="AY653" s="35"/>
      <c r="AZ653" s="35"/>
      <c r="BA653" s="35"/>
      <c r="BB653" s="29" t="s">
        <v>3910</v>
      </c>
      <c r="BC653" s="29" t="s">
        <v>3342</v>
      </c>
      <c r="BD653" s="29" t="s">
        <v>3363</v>
      </c>
      <c r="BE653" s="29" t="s">
        <v>1805</v>
      </c>
      <c r="BF653" s="29" t="s">
        <v>1619</v>
      </c>
      <c r="BG653" s="29" t="s">
        <v>2699</v>
      </c>
      <c r="BH653" s="29" t="s">
        <v>1902</v>
      </c>
      <c r="BI653" s="35"/>
      <c r="BJ653" s="35"/>
      <c r="BK653" s="29" t="str" cm="1">
        <f t="array" ref="BK653">_xlfn.UNIQUE(MID(BB653,16,14))</f>
        <v>U012UBB01UC001</v>
      </c>
    </row>
    <row r="654" spans="1:63" hidden="1" x14ac:dyDescent="0.3">
      <c r="A654" s="29" t="s">
        <v>1892</v>
      </c>
      <c r="B654" s="36" t="str">
        <f t="shared" si="50"/>
        <v>G01NHA01EQ001-GP02</v>
      </c>
      <c r="C654" s="33" t="s">
        <v>3911</v>
      </c>
      <c r="D654" s="34" t="str">
        <f t="shared" si="51"/>
        <v>ELY1 RECT1 COOL PMP2 CMD ON/OP</v>
      </c>
      <c r="E654" s="31">
        <f t="shared" si="52"/>
        <v>30</v>
      </c>
      <c r="F654" s="32" t="str">
        <f t="shared" si="53"/>
        <v>ELECTROLYSIS SYSTEM ELECTROLYSIS ARRAY 1 RECTIFIER SYSTEMS RECTIFIER SYSTEM 1 COOLING SYSTEMS RECTIFIER COOLING SYSTEM PUMP, GENERAL MANUAL COMMAND ON/OPEN</v>
      </c>
      <c r="G654" s="29" t="s">
        <v>1614</v>
      </c>
      <c r="H654" s="29" t="s">
        <v>1615</v>
      </c>
      <c r="I654" s="29" t="str">
        <f t="shared" si="54"/>
        <v>01</v>
      </c>
      <c r="J654" s="29" t="s">
        <v>1616</v>
      </c>
      <c r="K654" s="29" t="s">
        <v>1842</v>
      </c>
      <c r="L654" s="29" t="s">
        <v>1843</v>
      </c>
      <c r="M654" s="29" t="s">
        <v>1619</v>
      </c>
      <c r="N654" s="29" t="s">
        <v>1844</v>
      </c>
      <c r="O654" s="29" t="s">
        <v>1894</v>
      </c>
      <c r="P654" s="29" t="s">
        <v>1895</v>
      </c>
      <c r="Q654" s="29" t="s">
        <v>1623</v>
      </c>
      <c r="R654" s="29" t="s">
        <v>1896</v>
      </c>
      <c r="S654" s="29" t="s">
        <v>2701</v>
      </c>
      <c r="T654" s="29" t="s">
        <v>2696</v>
      </c>
      <c r="U654" s="29" t="s">
        <v>3337</v>
      </c>
      <c r="V654" s="29" t="s">
        <v>3338</v>
      </c>
      <c r="W654" s="35" t="s">
        <v>1628</v>
      </c>
      <c r="X654" s="35" t="s">
        <v>1850</v>
      </c>
      <c r="Y654" s="35" t="s">
        <v>1898</v>
      </c>
      <c r="Z654" s="35" t="s">
        <v>2702</v>
      </c>
      <c r="AA654" s="35" t="s">
        <v>3339</v>
      </c>
      <c r="AB654" s="29" t="s">
        <v>3912</v>
      </c>
      <c r="AC654" s="35" t="s">
        <v>1633</v>
      </c>
      <c r="AD654" s="35" t="s">
        <v>1634</v>
      </c>
      <c r="AE654" s="35" t="s">
        <v>1634</v>
      </c>
      <c r="AF654" s="35" t="s">
        <v>1635</v>
      </c>
      <c r="AG654" s="35" t="s">
        <v>1728</v>
      </c>
      <c r="AI654" s="35"/>
      <c r="AJ654" s="35" t="s">
        <v>3340</v>
      </c>
      <c r="AK654" s="35" t="s">
        <v>1672</v>
      </c>
      <c r="AL654" s="29" t="s">
        <v>1729</v>
      </c>
      <c r="AM654" s="35"/>
      <c r="AN654" s="35"/>
      <c r="AO654" s="35"/>
      <c r="AP654" s="35"/>
      <c r="AQ654" s="35"/>
      <c r="AS654" s="35"/>
      <c r="AU654" s="35"/>
      <c r="AW654" s="35"/>
      <c r="AY654" s="35"/>
      <c r="AZ654" s="35"/>
      <c r="BA654" s="35"/>
      <c r="BB654" s="29" t="s">
        <v>3910</v>
      </c>
      <c r="BC654" s="29" t="s">
        <v>3342</v>
      </c>
      <c r="BD654" s="29" t="s">
        <v>3363</v>
      </c>
      <c r="BE654" s="29" t="s">
        <v>1805</v>
      </c>
      <c r="BF654" s="29" t="s">
        <v>1905</v>
      </c>
      <c r="BG654" s="29" t="s">
        <v>2703</v>
      </c>
      <c r="BH654" s="29" t="s">
        <v>1902</v>
      </c>
      <c r="BI654" s="35"/>
      <c r="BJ654" s="35"/>
      <c r="BK654" s="29" t="str" cm="1">
        <f t="array" ref="BK654">_xlfn.UNIQUE(MID(BB654,16,14))</f>
        <v>U012UBB01UC001</v>
      </c>
    </row>
    <row r="655" spans="1:63" hidden="1" x14ac:dyDescent="0.3">
      <c r="A655" s="29" t="s">
        <v>2945</v>
      </c>
      <c r="B655" s="36" t="str">
        <f t="shared" si="50"/>
        <v>G01NHA01QZ001-QB01</v>
      </c>
      <c r="C655" s="33" t="s">
        <v>3913</v>
      </c>
      <c r="D655" s="34" t="str">
        <f t="shared" si="51"/>
        <v>ELY1 RECT1 DC SWG1 DISC DC+ CMD ON/OP</v>
      </c>
      <c r="E655" s="31">
        <f t="shared" si="52"/>
        <v>37</v>
      </c>
      <c r="F655" s="32" t="str">
        <f t="shared" si="53"/>
        <v>ELECTROLYSIS SYSTEM ELECTROLYSIS ARRAY 1 RECTIFIER SYSTEMS RECTIFIER SYSTEM 1 DC-SWITCHGEAR DC-SWITCHGEAR 1 DISCONNECTOR - DC+ MANUAL COMMAND ON/OPEN</v>
      </c>
      <c r="G655" s="29" t="s">
        <v>1614</v>
      </c>
      <c r="H655" s="29" t="s">
        <v>1615</v>
      </c>
      <c r="I655" s="29" t="str">
        <f t="shared" si="54"/>
        <v>01</v>
      </c>
      <c r="J655" s="29" t="s">
        <v>1616</v>
      </c>
      <c r="K655" s="29" t="s">
        <v>1842</v>
      </c>
      <c r="L655" s="29" t="s">
        <v>1843</v>
      </c>
      <c r="M655" s="29" t="s">
        <v>1619</v>
      </c>
      <c r="N655" s="29" t="s">
        <v>1844</v>
      </c>
      <c r="O655" s="29" t="s">
        <v>2947</v>
      </c>
      <c r="P655" s="29" t="s">
        <v>2948</v>
      </c>
      <c r="Q655" s="29" t="s">
        <v>1623</v>
      </c>
      <c r="R655" s="29" t="s">
        <v>2949</v>
      </c>
      <c r="S655" s="29" t="s">
        <v>2950</v>
      </c>
      <c r="T655" s="29" t="s">
        <v>2951</v>
      </c>
      <c r="U655" s="29" t="s">
        <v>3337</v>
      </c>
      <c r="V655" s="29" t="s">
        <v>3338</v>
      </c>
      <c r="W655" s="35" t="s">
        <v>1628</v>
      </c>
      <c r="X655" s="35" t="s">
        <v>1850</v>
      </c>
      <c r="Y655" s="35" t="s">
        <v>2952</v>
      </c>
      <c r="Z655" s="35" t="s">
        <v>2953</v>
      </c>
      <c r="AA655" s="35" t="s">
        <v>3339</v>
      </c>
      <c r="AB655" s="29" t="s">
        <v>1865</v>
      </c>
      <c r="AC655" s="35" t="s">
        <v>1633</v>
      </c>
      <c r="AD655" s="35" t="s">
        <v>1634</v>
      </c>
      <c r="AE655" s="35" t="s">
        <v>1634</v>
      </c>
      <c r="AF655" s="35" t="s">
        <v>1635</v>
      </c>
      <c r="AG655" s="35" t="s">
        <v>1728</v>
      </c>
      <c r="AI655" s="35"/>
      <c r="AJ655" s="35" t="s">
        <v>3340</v>
      </c>
      <c r="AK655" s="35" t="s">
        <v>1638</v>
      </c>
      <c r="AL655" s="29" t="s">
        <v>1729</v>
      </c>
      <c r="AM655" s="35"/>
      <c r="AN655" s="35"/>
      <c r="AO655" s="35"/>
      <c r="AP655" s="35"/>
      <c r="AQ655" s="35"/>
      <c r="AS655" s="35"/>
      <c r="AU655" s="35"/>
      <c r="AW655" s="35"/>
      <c r="AY655" s="35"/>
      <c r="AZ655" s="35" t="s">
        <v>1642</v>
      </c>
      <c r="BA655" s="35"/>
      <c r="BB655" s="29" t="s">
        <v>2756</v>
      </c>
      <c r="BC655" s="29" t="s">
        <v>3914</v>
      </c>
      <c r="BD655" s="29" t="s">
        <v>3915</v>
      </c>
      <c r="BE655" s="29" t="s">
        <v>1638</v>
      </c>
      <c r="BF655" s="29" t="s">
        <v>1619</v>
      </c>
      <c r="BG655" s="29" t="s">
        <v>3916</v>
      </c>
      <c r="BI655" s="35"/>
      <c r="BJ655" s="35"/>
      <c r="BK655" s="29" t="str" cm="1">
        <f t="array" ref="BK655">_xlfn.UNIQUE(MID(BB655,16,14))</f>
        <v>U012UBB01UC001</v>
      </c>
    </row>
    <row r="656" spans="1:63" hidden="1" x14ac:dyDescent="0.3">
      <c r="A656" s="29" t="s">
        <v>2945</v>
      </c>
      <c r="B656" s="36" t="str">
        <f t="shared" si="50"/>
        <v>G01NHA01QZ001-QB01</v>
      </c>
      <c r="C656" s="33" t="s">
        <v>3917</v>
      </c>
      <c r="D656" s="34" t="str">
        <f t="shared" si="51"/>
        <v>ELY1 RECT1 DC SWG1 DISC DC+ CMD OFF/CL</v>
      </c>
      <c r="E656" s="31">
        <f t="shared" si="52"/>
        <v>38</v>
      </c>
      <c r="F656" s="32" t="str">
        <f t="shared" si="53"/>
        <v>ELECTROLYSIS SYSTEM ELECTROLYSIS ARRAY 1 RECTIFIER SYSTEMS RECTIFIER SYSTEM 1 DC-SWITCHGEAR DC-SWITCHGEAR 1 DISCONNECTOR - DC+ MANUAL COMMAND OFF/CLOSE</v>
      </c>
      <c r="G656" s="29" t="s">
        <v>1614</v>
      </c>
      <c r="H656" s="29" t="s">
        <v>1615</v>
      </c>
      <c r="I656" s="29" t="str">
        <f t="shared" si="54"/>
        <v>01</v>
      </c>
      <c r="J656" s="29" t="s">
        <v>1616</v>
      </c>
      <c r="K656" s="29" t="s">
        <v>1842</v>
      </c>
      <c r="L656" s="29" t="s">
        <v>1843</v>
      </c>
      <c r="M656" s="29" t="s">
        <v>1619</v>
      </c>
      <c r="N656" s="29" t="s">
        <v>1844</v>
      </c>
      <c r="O656" s="29" t="s">
        <v>2947</v>
      </c>
      <c r="P656" s="29" t="s">
        <v>2948</v>
      </c>
      <c r="Q656" s="29" t="s">
        <v>1623</v>
      </c>
      <c r="R656" s="29" t="s">
        <v>2949</v>
      </c>
      <c r="S656" s="29" t="s">
        <v>2950</v>
      </c>
      <c r="T656" s="29" t="s">
        <v>2951</v>
      </c>
      <c r="U656" s="29" t="s">
        <v>3918</v>
      </c>
      <c r="V656" s="29" t="s">
        <v>3588</v>
      </c>
      <c r="W656" s="35" t="s">
        <v>1628</v>
      </c>
      <c r="X656" s="35" t="s">
        <v>1850</v>
      </c>
      <c r="Y656" s="35" t="s">
        <v>2952</v>
      </c>
      <c r="Z656" s="35" t="s">
        <v>2953</v>
      </c>
      <c r="AA656" s="35" t="s">
        <v>3919</v>
      </c>
      <c r="AB656" s="29" t="s">
        <v>1865</v>
      </c>
      <c r="AC656" s="35" t="s">
        <v>1633</v>
      </c>
      <c r="AD656" s="35" t="s">
        <v>1634</v>
      </c>
      <c r="AE656" s="35" t="s">
        <v>1634</v>
      </c>
      <c r="AF656" s="35" t="s">
        <v>1635</v>
      </c>
      <c r="AG656" s="35" t="s">
        <v>1728</v>
      </c>
      <c r="AI656" s="35"/>
      <c r="AJ656" s="35" t="s">
        <v>3340</v>
      </c>
      <c r="AK656" s="35" t="s">
        <v>1638</v>
      </c>
      <c r="AL656" s="29" t="s">
        <v>1729</v>
      </c>
      <c r="AM656" s="35"/>
      <c r="AN656" s="35"/>
      <c r="AO656" s="35"/>
      <c r="AP656" s="35"/>
      <c r="AQ656" s="35"/>
      <c r="AS656" s="35"/>
      <c r="AU656" s="35"/>
      <c r="AW656" s="35"/>
      <c r="AY656" s="35"/>
      <c r="AZ656" s="35" t="s">
        <v>1642</v>
      </c>
      <c r="BA656" s="35"/>
      <c r="BB656" s="29" t="s">
        <v>2756</v>
      </c>
      <c r="BC656" s="29" t="s">
        <v>3914</v>
      </c>
      <c r="BD656" s="29" t="s">
        <v>3920</v>
      </c>
      <c r="BE656" s="29" t="s">
        <v>3921</v>
      </c>
      <c r="BF656" s="29" t="s">
        <v>1905</v>
      </c>
      <c r="BG656" s="29" t="s">
        <v>3916</v>
      </c>
      <c r="BI656" s="35"/>
      <c r="BJ656" s="35"/>
      <c r="BK656" s="29" t="str" cm="1">
        <f t="array" ref="BK656">_xlfn.UNIQUE(MID(BB656,16,14))</f>
        <v>U012UBB01UC001</v>
      </c>
    </row>
    <row r="657" spans="1:63" hidden="1" x14ac:dyDescent="0.3">
      <c r="A657" s="29" t="s">
        <v>2945</v>
      </c>
      <c r="B657" s="36" t="str">
        <f t="shared" si="50"/>
        <v>G01NHA01QZ001-QB02</v>
      </c>
      <c r="C657" s="33" t="s">
        <v>3922</v>
      </c>
      <c r="D657" s="34" t="str">
        <f t="shared" si="51"/>
        <v>ELY1 RECT1 DC SWG1 DISC DC- CMD ON/OP</v>
      </c>
      <c r="E657" s="31">
        <f t="shared" si="52"/>
        <v>37</v>
      </c>
      <c r="F657" s="32" t="str">
        <f t="shared" si="53"/>
        <v>ELECTROLYSIS SYSTEM ELECTROLYSIS ARRAY 1 RECTIFIER SYSTEMS RECTIFIER SYSTEM 1 DC-SWITCHGEAR DC-SWITCHGEAR 1 DISCONNECTOR - DC- MANUAL COMMAND ON/OPEN</v>
      </c>
      <c r="G657" s="29" t="s">
        <v>1614</v>
      </c>
      <c r="H657" s="29" t="s">
        <v>1615</v>
      </c>
      <c r="I657" s="29" t="str">
        <f t="shared" si="54"/>
        <v>01</v>
      </c>
      <c r="J657" s="29" t="s">
        <v>1616</v>
      </c>
      <c r="K657" s="29" t="s">
        <v>1842</v>
      </c>
      <c r="L657" s="29" t="s">
        <v>1843</v>
      </c>
      <c r="M657" s="29" t="s">
        <v>1619</v>
      </c>
      <c r="N657" s="29" t="s">
        <v>1844</v>
      </c>
      <c r="O657" s="29" t="s">
        <v>2947</v>
      </c>
      <c r="P657" s="29" t="s">
        <v>2948</v>
      </c>
      <c r="Q657" s="29" t="s">
        <v>1623</v>
      </c>
      <c r="R657" s="29" t="s">
        <v>2949</v>
      </c>
      <c r="S657" s="29" t="s">
        <v>2961</v>
      </c>
      <c r="T657" s="29" t="s">
        <v>2962</v>
      </c>
      <c r="U657" s="29" t="s">
        <v>3337</v>
      </c>
      <c r="V657" s="29" t="s">
        <v>3338</v>
      </c>
      <c r="W657" s="35" t="s">
        <v>1628</v>
      </c>
      <c r="X657" s="35" t="s">
        <v>1850</v>
      </c>
      <c r="Y657" s="35" t="s">
        <v>2952</v>
      </c>
      <c r="Z657" s="35" t="s">
        <v>2963</v>
      </c>
      <c r="AA657" s="35" t="s">
        <v>3339</v>
      </c>
      <c r="AB657" s="29" t="s">
        <v>1865</v>
      </c>
      <c r="AC657" s="35" t="s">
        <v>1633</v>
      </c>
      <c r="AD657" s="35" t="s">
        <v>1634</v>
      </c>
      <c r="AE657" s="35" t="s">
        <v>1634</v>
      </c>
      <c r="AF657" s="35" t="s">
        <v>1635</v>
      </c>
      <c r="AG657" s="35" t="s">
        <v>1728</v>
      </c>
      <c r="AI657" s="35"/>
      <c r="AJ657" s="35" t="s">
        <v>3340</v>
      </c>
      <c r="AK657" s="35" t="s">
        <v>1638</v>
      </c>
      <c r="AL657" s="29" t="s">
        <v>1729</v>
      </c>
      <c r="AM657" s="35"/>
      <c r="AN657" s="35"/>
      <c r="AO657" s="35"/>
      <c r="AP657" s="35"/>
      <c r="AQ657" s="35"/>
      <c r="AS657" s="35"/>
      <c r="AU657" s="35"/>
      <c r="AW657" s="35"/>
      <c r="AY657" s="35"/>
      <c r="AZ657" s="35" t="s">
        <v>1642</v>
      </c>
      <c r="BA657" s="35"/>
      <c r="BB657" s="29" t="s">
        <v>2756</v>
      </c>
      <c r="BC657" s="29" t="s">
        <v>3914</v>
      </c>
      <c r="BD657" s="29" t="s">
        <v>3363</v>
      </c>
      <c r="BE657" s="29" t="s">
        <v>3337</v>
      </c>
      <c r="BF657" s="29" t="s">
        <v>1909</v>
      </c>
      <c r="BG657" s="29" t="s">
        <v>3923</v>
      </c>
      <c r="BI657" s="35"/>
      <c r="BJ657" s="35"/>
      <c r="BK657" s="29" t="str" cm="1">
        <f t="array" ref="BK657">_xlfn.UNIQUE(MID(BB657,16,14))</f>
        <v>U012UBB01UC001</v>
      </c>
    </row>
    <row r="658" spans="1:63" hidden="1" x14ac:dyDescent="0.3">
      <c r="A658" s="29" t="s">
        <v>2945</v>
      </c>
      <c r="B658" s="36" t="str">
        <f t="shared" si="50"/>
        <v>G01NHA01QZ001-QB02</v>
      </c>
      <c r="C658" s="33" t="s">
        <v>3924</v>
      </c>
      <c r="D658" s="34" t="str">
        <f t="shared" si="51"/>
        <v>ELY1 RECT1 DC SWG1 DISC DC- CMD OFF/CL</v>
      </c>
      <c r="E658" s="31">
        <f t="shared" si="52"/>
        <v>38</v>
      </c>
      <c r="F658" s="32" t="str">
        <f t="shared" si="53"/>
        <v>ELECTROLYSIS SYSTEM ELECTROLYSIS ARRAY 1 RECTIFIER SYSTEMS RECTIFIER SYSTEM 1 DC-SWITCHGEAR DC-SWITCHGEAR 1 DISCONNECTOR - DC- MANUAL COMMAND OFF/CLOSE</v>
      </c>
      <c r="G658" s="29" t="s">
        <v>1614</v>
      </c>
      <c r="H658" s="29" t="s">
        <v>1615</v>
      </c>
      <c r="I658" s="29" t="str">
        <f t="shared" si="54"/>
        <v>01</v>
      </c>
      <c r="J658" s="29" t="s">
        <v>1616</v>
      </c>
      <c r="K658" s="29" t="s">
        <v>1842</v>
      </c>
      <c r="L658" s="29" t="s">
        <v>1843</v>
      </c>
      <c r="M658" s="29" t="s">
        <v>1619</v>
      </c>
      <c r="N658" s="29" t="s">
        <v>1844</v>
      </c>
      <c r="O658" s="29" t="s">
        <v>2947</v>
      </c>
      <c r="P658" s="29" t="s">
        <v>2948</v>
      </c>
      <c r="Q658" s="29" t="s">
        <v>1623</v>
      </c>
      <c r="R658" s="29" t="s">
        <v>2949</v>
      </c>
      <c r="S658" s="29" t="s">
        <v>2961</v>
      </c>
      <c r="T658" s="29" t="s">
        <v>2962</v>
      </c>
      <c r="U658" s="29" t="s">
        <v>3918</v>
      </c>
      <c r="V658" s="29" t="s">
        <v>3588</v>
      </c>
      <c r="W658" s="35" t="s">
        <v>1628</v>
      </c>
      <c r="X658" s="35" t="s">
        <v>1850</v>
      </c>
      <c r="Y658" s="35" t="s">
        <v>2952</v>
      </c>
      <c r="Z658" s="35" t="s">
        <v>2963</v>
      </c>
      <c r="AA658" s="35" t="s">
        <v>3919</v>
      </c>
      <c r="AB658" s="29" t="s">
        <v>1865</v>
      </c>
      <c r="AC658" s="35" t="s">
        <v>1633</v>
      </c>
      <c r="AD658" s="35" t="s">
        <v>1634</v>
      </c>
      <c r="AE658" s="35" t="s">
        <v>1634</v>
      </c>
      <c r="AF658" s="35" t="s">
        <v>1635</v>
      </c>
      <c r="AG658" s="35" t="s">
        <v>1728</v>
      </c>
      <c r="AI658" s="35"/>
      <c r="AJ658" s="35" t="s">
        <v>3340</v>
      </c>
      <c r="AK658" s="35" t="s">
        <v>1638</v>
      </c>
      <c r="AL658" s="29" t="s">
        <v>1729</v>
      </c>
      <c r="AM658" s="35"/>
      <c r="AN658" s="35"/>
      <c r="AO658" s="35"/>
      <c r="AP658" s="35"/>
      <c r="AQ658" s="35"/>
      <c r="AS658" s="35"/>
      <c r="AU658" s="35"/>
      <c r="AW658" s="35"/>
      <c r="AY658" s="35"/>
      <c r="AZ658" s="35" t="s">
        <v>1642</v>
      </c>
      <c r="BA658" s="35"/>
      <c r="BB658" s="29" t="s">
        <v>2756</v>
      </c>
      <c r="BC658" s="29" t="s">
        <v>3914</v>
      </c>
      <c r="BD658" s="29" t="s">
        <v>3925</v>
      </c>
      <c r="BE658" s="29" t="s">
        <v>3918</v>
      </c>
      <c r="BF658" s="29" t="s">
        <v>1915</v>
      </c>
      <c r="BG658" s="29" t="s">
        <v>3923</v>
      </c>
      <c r="BI658" s="35"/>
      <c r="BJ658" s="35"/>
      <c r="BK658" s="29" t="str" cm="1">
        <f t="array" ref="BK658">_xlfn.UNIQUE(MID(BB658,16,14))</f>
        <v>U012UBB01UC001</v>
      </c>
    </row>
    <row r="659" spans="1:63" hidden="1" x14ac:dyDescent="0.3">
      <c r="A659" s="29" t="s">
        <v>2968</v>
      </c>
      <c r="B659" s="36" t="str">
        <f t="shared" si="50"/>
        <v>G01NHA01QZ002-QB01</v>
      </c>
      <c r="C659" s="33" t="s">
        <v>3926</v>
      </c>
      <c r="D659" s="34" t="str">
        <f t="shared" si="51"/>
        <v>ELY1 RECT1 DC SWG2 DISC DC+ CMD ON/OP</v>
      </c>
      <c r="E659" s="31">
        <f t="shared" si="52"/>
        <v>37</v>
      </c>
      <c r="F659" s="32" t="str">
        <f t="shared" si="53"/>
        <v>ELECTROLYSIS SYSTEM ELECTROLYSIS ARRAY 1 RECTIFIER SYSTEMS RECTIFIER SYSTEM 1 DC-SWITCHGEAR DC-SWITCHGEAR 2 DISCONNECTOR - DC+ MANUAL COMMAND ON/OPEN</v>
      </c>
      <c r="G659" s="29" t="s">
        <v>1614</v>
      </c>
      <c r="H659" s="29" t="s">
        <v>1615</v>
      </c>
      <c r="I659" s="29" t="str">
        <f t="shared" si="54"/>
        <v>01</v>
      </c>
      <c r="J659" s="29" t="s">
        <v>1616</v>
      </c>
      <c r="K659" s="29" t="s">
        <v>1842</v>
      </c>
      <c r="L659" s="29" t="s">
        <v>1843</v>
      </c>
      <c r="M659" s="29" t="s">
        <v>1619</v>
      </c>
      <c r="N659" s="29" t="s">
        <v>1844</v>
      </c>
      <c r="O659" s="29" t="s">
        <v>2947</v>
      </c>
      <c r="P659" s="29" t="s">
        <v>2948</v>
      </c>
      <c r="Q659" s="29" t="s">
        <v>1872</v>
      </c>
      <c r="R659" s="29" t="s">
        <v>2970</v>
      </c>
      <c r="S659" s="29" t="s">
        <v>2950</v>
      </c>
      <c r="T659" s="29" t="s">
        <v>2951</v>
      </c>
      <c r="U659" s="29" t="s">
        <v>3337</v>
      </c>
      <c r="V659" s="29" t="s">
        <v>3338</v>
      </c>
      <c r="W659" s="35" t="s">
        <v>1628</v>
      </c>
      <c r="X659" s="35" t="s">
        <v>1850</v>
      </c>
      <c r="Y659" s="35" t="s">
        <v>2971</v>
      </c>
      <c r="Z659" s="35" t="s">
        <v>2953</v>
      </c>
      <c r="AA659" s="35" t="s">
        <v>3339</v>
      </c>
      <c r="AB659" s="29" t="s">
        <v>1865</v>
      </c>
      <c r="AC659" s="35" t="s">
        <v>1633</v>
      </c>
      <c r="AD659" s="35" t="s">
        <v>1634</v>
      </c>
      <c r="AE659" s="35" t="s">
        <v>1634</v>
      </c>
      <c r="AF659" s="35" t="s">
        <v>1635</v>
      </c>
      <c r="AG659" s="35" t="s">
        <v>1728</v>
      </c>
      <c r="AI659" s="35"/>
      <c r="AJ659" s="35" t="s">
        <v>3340</v>
      </c>
      <c r="AK659" s="35" t="s">
        <v>1638</v>
      </c>
      <c r="AL659" s="29" t="s">
        <v>1729</v>
      </c>
      <c r="AM659" s="35"/>
      <c r="AN659" s="35"/>
      <c r="AO659" s="35"/>
      <c r="AP659" s="35"/>
      <c r="AQ659" s="35"/>
      <c r="AS659" s="35"/>
      <c r="AU659" s="35"/>
      <c r="AW659" s="35"/>
      <c r="AY659" s="35"/>
      <c r="AZ659" s="35" t="s">
        <v>1642</v>
      </c>
      <c r="BA659" s="35"/>
      <c r="BB659" s="29" t="s">
        <v>2756</v>
      </c>
      <c r="BC659" s="29" t="s">
        <v>3914</v>
      </c>
      <c r="BD659" s="29" t="s">
        <v>3915</v>
      </c>
      <c r="BE659" s="29" t="s">
        <v>1638</v>
      </c>
      <c r="BF659" s="29" t="s">
        <v>1919</v>
      </c>
      <c r="BG659" s="29" t="s">
        <v>3927</v>
      </c>
      <c r="BI659" s="35"/>
      <c r="BJ659" s="35"/>
      <c r="BK659" s="29" t="str" cm="1">
        <f t="array" ref="BK659">_xlfn.UNIQUE(MID(BB659,16,14))</f>
        <v>U012UBB01UC001</v>
      </c>
    </row>
    <row r="660" spans="1:63" hidden="1" x14ac:dyDescent="0.3">
      <c r="A660" s="29" t="s">
        <v>2968</v>
      </c>
      <c r="B660" s="36" t="str">
        <f t="shared" si="50"/>
        <v>G01NHA01QZ002-QB01</v>
      </c>
      <c r="C660" s="33" t="s">
        <v>3928</v>
      </c>
      <c r="D660" s="34" t="str">
        <f t="shared" si="51"/>
        <v>ELY1 RECT1 DC SWG2 DISC DC+ CMD OFF/CL</v>
      </c>
      <c r="E660" s="31">
        <f t="shared" si="52"/>
        <v>38</v>
      </c>
      <c r="F660" s="32" t="str">
        <f t="shared" si="53"/>
        <v>ELECTROLYSIS SYSTEM ELECTROLYSIS ARRAY 1 RECTIFIER SYSTEMS RECTIFIER SYSTEM 1 DC-SWITCHGEAR DC-SWITCHGEAR 2 DISCONNECTOR - DC+ MANUAL COMMAND OFF/CLOSE</v>
      </c>
      <c r="G660" s="29" t="s">
        <v>1614</v>
      </c>
      <c r="H660" s="29" t="s">
        <v>1615</v>
      </c>
      <c r="I660" s="29" t="str">
        <f t="shared" si="54"/>
        <v>01</v>
      </c>
      <c r="J660" s="29" t="s">
        <v>1616</v>
      </c>
      <c r="K660" s="29" t="s">
        <v>1842</v>
      </c>
      <c r="L660" s="29" t="s">
        <v>1843</v>
      </c>
      <c r="M660" s="29" t="s">
        <v>1619</v>
      </c>
      <c r="N660" s="29" t="s">
        <v>1844</v>
      </c>
      <c r="O660" s="29" t="s">
        <v>2947</v>
      </c>
      <c r="P660" s="29" t="s">
        <v>2948</v>
      </c>
      <c r="Q660" s="29" t="s">
        <v>1872</v>
      </c>
      <c r="R660" s="29" t="s">
        <v>2970</v>
      </c>
      <c r="S660" s="29" t="s">
        <v>2950</v>
      </c>
      <c r="T660" s="29" t="s">
        <v>2951</v>
      </c>
      <c r="U660" s="29" t="s">
        <v>3918</v>
      </c>
      <c r="V660" s="29" t="s">
        <v>3588</v>
      </c>
      <c r="W660" s="35" t="s">
        <v>1628</v>
      </c>
      <c r="X660" s="35" t="s">
        <v>1850</v>
      </c>
      <c r="Y660" s="35" t="s">
        <v>2971</v>
      </c>
      <c r="Z660" s="35" t="s">
        <v>2953</v>
      </c>
      <c r="AA660" s="35" t="s">
        <v>3919</v>
      </c>
      <c r="AB660" s="29" t="s">
        <v>1865</v>
      </c>
      <c r="AC660" s="35" t="s">
        <v>1633</v>
      </c>
      <c r="AD660" s="35" t="s">
        <v>1634</v>
      </c>
      <c r="AE660" s="35" t="s">
        <v>1634</v>
      </c>
      <c r="AF660" s="35" t="s">
        <v>1635</v>
      </c>
      <c r="AG660" s="35" t="s">
        <v>1728</v>
      </c>
      <c r="AI660" s="35"/>
      <c r="AJ660" s="35" t="s">
        <v>3340</v>
      </c>
      <c r="AK660" s="35" t="s">
        <v>1638</v>
      </c>
      <c r="AL660" s="29" t="s">
        <v>1729</v>
      </c>
      <c r="AM660" s="35"/>
      <c r="AN660" s="35"/>
      <c r="AO660" s="35"/>
      <c r="AP660" s="35"/>
      <c r="AQ660" s="35"/>
      <c r="AS660" s="35"/>
      <c r="AU660" s="35"/>
      <c r="AW660" s="35"/>
      <c r="AY660" s="35"/>
      <c r="AZ660" s="35" t="s">
        <v>1642</v>
      </c>
      <c r="BA660" s="35"/>
      <c r="BB660" s="29" t="s">
        <v>2756</v>
      </c>
      <c r="BC660" s="29" t="s">
        <v>3914</v>
      </c>
      <c r="BD660" s="29" t="s">
        <v>3925</v>
      </c>
      <c r="BE660" s="29" t="s">
        <v>3918</v>
      </c>
      <c r="BF660" s="29" t="s">
        <v>1922</v>
      </c>
      <c r="BG660" s="29" t="s">
        <v>3927</v>
      </c>
      <c r="BI660" s="35"/>
      <c r="BJ660" s="35"/>
      <c r="BK660" s="29" t="str" cm="1">
        <f t="array" ref="BK660">_xlfn.UNIQUE(MID(BB660,16,14))</f>
        <v>U012UBB01UC001</v>
      </c>
    </row>
    <row r="661" spans="1:63" hidden="1" x14ac:dyDescent="0.3">
      <c r="A661" s="29" t="s">
        <v>2968</v>
      </c>
      <c r="B661" s="36" t="str">
        <f t="shared" si="50"/>
        <v>G01NHA01QZ002-QB02</v>
      </c>
      <c r="C661" s="33" t="s">
        <v>3929</v>
      </c>
      <c r="D661" s="34" t="str">
        <f t="shared" si="51"/>
        <v>ELY1 RECT1 DC SWG2 DISC DC- CMD ON/OP</v>
      </c>
      <c r="E661" s="31">
        <f t="shared" si="52"/>
        <v>37</v>
      </c>
      <c r="F661" s="32" t="str">
        <f t="shared" si="53"/>
        <v>ELECTROLYSIS SYSTEM ELECTROLYSIS ARRAY 1 RECTIFIER SYSTEMS RECTIFIER SYSTEM 1 DC-SWITCHGEAR DC-SWITCHGEAR 2 DISCONNECTOR - DC- MANUAL COMMAND ON/OPEN</v>
      </c>
      <c r="G661" s="29" t="s">
        <v>1614</v>
      </c>
      <c r="H661" s="29" t="s">
        <v>1615</v>
      </c>
      <c r="I661" s="29" t="str">
        <f t="shared" si="54"/>
        <v>01</v>
      </c>
      <c r="J661" s="29" t="s">
        <v>1616</v>
      </c>
      <c r="K661" s="29" t="s">
        <v>1842</v>
      </c>
      <c r="L661" s="29" t="s">
        <v>1843</v>
      </c>
      <c r="M661" s="29" t="s">
        <v>1619</v>
      </c>
      <c r="N661" s="29" t="s">
        <v>1844</v>
      </c>
      <c r="O661" s="29" t="s">
        <v>2947</v>
      </c>
      <c r="P661" s="29" t="s">
        <v>2948</v>
      </c>
      <c r="Q661" s="29" t="s">
        <v>1872</v>
      </c>
      <c r="R661" s="29" t="s">
        <v>2970</v>
      </c>
      <c r="S661" s="29" t="s">
        <v>2961</v>
      </c>
      <c r="T661" s="29" t="s">
        <v>2962</v>
      </c>
      <c r="U661" s="29" t="s">
        <v>3337</v>
      </c>
      <c r="V661" s="29" t="s">
        <v>3338</v>
      </c>
      <c r="W661" s="35" t="s">
        <v>1628</v>
      </c>
      <c r="X661" s="35" t="s">
        <v>1850</v>
      </c>
      <c r="Y661" s="35" t="s">
        <v>2971</v>
      </c>
      <c r="Z661" s="35" t="s">
        <v>2963</v>
      </c>
      <c r="AA661" s="35" t="s">
        <v>3339</v>
      </c>
      <c r="AB661" s="29" t="s">
        <v>1865</v>
      </c>
      <c r="AC661" s="35" t="s">
        <v>1633</v>
      </c>
      <c r="AD661" s="35" t="s">
        <v>1634</v>
      </c>
      <c r="AE661" s="35" t="s">
        <v>1634</v>
      </c>
      <c r="AF661" s="35" t="s">
        <v>1635</v>
      </c>
      <c r="AG661" s="35" t="s">
        <v>1728</v>
      </c>
      <c r="AI661" s="35"/>
      <c r="AJ661" s="35" t="s">
        <v>3340</v>
      </c>
      <c r="AK661" s="35" t="s">
        <v>1638</v>
      </c>
      <c r="AL661" s="29" t="s">
        <v>1729</v>
      </c>
      <c r="AM661" s="35"/>
      <c r="AN661" s="35"/>
      <c r="AO661" s="35"/>
      <c r="AP661" s="35"/>
      <c r="AQ661" s="35"/>
      <c r="AS661" s="35"/>
      <c r="AU661" s="35"/>
      <c r="AW661" s="35"/>
      <c r="AY661" s="35"/>
      <c r="AZ661" s="35" t="s">
        <v>1642</v>
      </c>
      <c r="BA661" s="35"/>
      <c r="BB661" s="29" t="s">
        <v>2756</v>
      </c>
      <c r="BC661" s="29" t="s">
        <v>3914</v>
      </c>
      <c r="BD661" s="29" t="s">
        <v>3363</v>
      </c>
      <c r="BE661" s="29" t="s">
        <v>3337</v>
      </c>
      <c r="BF661" s="29" t="s">
        <v>1931</v>
      </c>
      <c r="BG661" s="29" t="s">
        <v>3930</v>
      </c>
      <c r="BI661" s="35"/>
      <c r="BJ661" s="35"/>
      <c r="BK661" s="29" t="str" cm="1">
        <f t="array" ref="BK661">_xlfn.UNIQUE(MID(BB661,16,14))</f>
        <v>U012UBB01UC001</v>
      </c>
    </row>
    <row r="662" spans="1:63" hidden="1" x14ac:dyDescent="0.3">
      <c r="A662" s="29" t="s">
        <v>2968</v>
      </c>
      <c r="B662" s="36" t="str">
        <f t="shared" si="50"/>
        <v>G01NHA01QZ002-QB02</v>
      </c>
      <c r="C662" s="33" t="s">
        <v>3931</v>
      </c>
      <c r="D662" s="34" t="str">
        <f t="shared" si="51"/>
        <v>ELY1 RECT1 DC SWG2 DISC DC- CMD OFF/CL</v>
      </c>
      <c r="E662" s="31">
        <f t="shared" si="52"/>
        <v>38</v>
      </c>
      <c r="F662" s="32" t="str">
        <f t="shared" si="53"/>
        <v>ELECTROLYSIS SYSTEM ELECTROLYSIS ARRAY 1 RECTIFIER SYSTEMS RECTIFIER SYSTEM 1 DC-SWITCHGEAR DC-SWITCHGEAR 2 DISCONNECTOR - DC- MANUAL COMMAND OFF/CLOSE</v>
      </c>
      <c r="G662" s="29" t="s">
        <v>1614</v>
      </c>
      <c r="H662" s="29" t="s">
        <v>1615</v>
      </c>
      <c r="I662" s="29" t="str">
        <f t="shared" si="54"/>
        <v>01</v>
      </c>
      <c r="J662" s="29" t="s">
        <v>1616</v>
      </c>
      <c r="K662" s="29" t="s">
        <v>1842</v>
      </c>
      <c r="L662" s="29" t="s">
        <v>1843</v>
      </c>
      <c r="M662" s="29" t="s">
        <v>1619</v>
      </c>
      <c r="N662" s="29" t="s">
        <v>1844</v>
      </c>
      <c r="O662" s="29" t="s">
        <v>2947</v>
      </c>
      <c r="P662" s="29" t="s">
        <v>2948</v>
      </c>
      <c r="Q662" s="29" t="s">
        <v>1872</v>
      </c>
      <c r="R662" s="29" t="s">
        <v>2970</v>
      </c>
      <c r="S662" s="29" t="s">
        <v>2961</v>
      </c>
      <c r="T662" s="29" t="s">
        <v>2962</v>
      </c>
      <c r="U662" s="29" t="s">
        <v>3918</v>
      </c>
      <c r="V662" s="29" t="s">
        <v>3588</v>
      </c>
      <c r="W662" s="35" t="s">
        <v>1628</v>
      </c>
      <c r="X662" s="35" t="s">
        <v>1850</v>
      </c>
      <c r="Y662" s="35" t="s">
        <v>2971</v>
      </c>
      <c r="Z662" s="35" t="s">
        <v>2963</v>
      </c>
      <c r="AA662" s="35" t="s">
        <v>3919</v>
      </c>
      <c r="AB662" s="29" t="s">
        <v>1865</v>
      </c>
      <c r="AC662" s="35" t="s">
        <v>1633</v>
      </c>
      <c r="AD662" s="35" t="s">
        <v>1634</v>
      </c>
      <c r="AE662" s="35" t="s">
        <v>1634</v>
      </c>
      <c r="AF662" s="35" t="s">
        <v>1635</v>
      </c>
      <c r="AG662" s="35" t="s">
        <v>1728</v>
      </c>
      <c r="AI662" s="35"/>
      <c r="AJ662" s="35" t="s">
        <v>3340</v>
      </c>
      <c r="AK662" s="35" t="s">
        <v>1638</v>
      </c>
      <c r="AL662" s="29" t="s">
        <v>1729</v>
      </c>
      <c r="AM662" s="35"/>
      <c r="AN662" s="35"/>
      <c r="AO662" s="35"/>
      <c r="AP662" s="35"/>
      <c r="AQ662" s="35"/>
      <c r="AS662" s="35"/>
      <c r="AU662" s="35"/>
      <c r="AW662" s="35"/>
      <c r="AY662" s="35"/>
      <c r="AZ662" s="35" t="s">
        <v>1642</v>
      </c>
      <c r="BA662" s="35"/>
      <c r="BB662" s="29" t="s">
        <v>2756</v>
      </c>
      <c r="BC662" s="29" t="s">
        <v>3914</v>
      </c>
      <c r="BD662" s="29" t="s">
        <v>3925</v>
      </c>
      <c r="BE662" s="29" t="s">
        <v>3918</v>
      </c>
      <c r="BF662" s="29" t="s">
        <v>1936</v>
      </c>
      <c r="BG662" s="29" t="s">
        <v>3930</v>
      </c>
      <c r="BI662" s="35"/>
      <c r="BJ662" s="35"/>
      <c r="BK662" s="29" t="str" cm="1">
        <f t="array" ref="BK662">_xlfn.UNIQUE(MID(BB662,16,14))</f>
        <v>U012UBB01UC001</v>
      </c>
    </row>
    <row r="663" spans="1:63" hidden="1" x14ac:dyDescent="0.3">
      <c r="A663" s="29" t="s">
        <v>2979</v>
      </c>
      <c r="B663" s="36" t="str">
        <f t="shared" si="50"/>
        <v>G01NHA01QZ003-QB01</v>
      </c>
      <c r="C663" s="33" t="s">
        <v>3932</v>
      </c>
      <c r="D663" s="34" t="str">
        <f t="shared" si="51"/>
        <v>ELY1 RECT1 DC SWG3 DISC DC+ CMD ON/OP</v>
      </c>
      <c r="E663" s="31">
        <f t="shared" si="52"/>
        <v>37</v>
      </c>
      <c r="F663" s="32" t="str">
        <f t="shared" si="53"/>
        <v>ELECTROLYSIS SYSTEM ELECTROLYSIS ARRAY 1 RECTIFIER SYSTEMS RECTIFIER SYSTEM 1 DC-SWITCHGEAR DC-SWITCHGEAR 3 DISCONNECTOR - DC+ MANUAL COMMAND ON/OPEN</v>
      </c>
      <c r="G663" s="29" t="s">
        <v>1614</v>
      </c>
      <c r="H663" s="29" t="s">
        <v>1615</v>
      </c>
      <c r="I663" s="29" t="str">
        <f t="shared" si="54"/>
        <v>01</v>
      </c>
      <c r="J663" s="29" t="s">
        <v>1616</v>
      </c>
      <c r="K663" s="29" t="s">
        <v>1842</v>
      </c>
      <c r="L663" s="29" t="s">
        <v>1843</v>
      </c>
      <c r="M663" s="29" t="s">
        <v>1619</v>
      </c>
      <c r="N663" s="29" t="s">
        <v>1844</v>
      </c>
      <c r="O663" s="29" t="s">
        <v>2947</v>
      </c>
      <c r="P663" s="29" t="s">
        <v>2948</v>
      </c>
      <c r="Q663" s="29" t="s">
        <v>1830</v>
      </c>
      <c r="R663" s="29" t="s">
        <v>2981</v>
      </c>
      <c r="S663" s="29" t="s">
        <v>2950</v>
      </c>
      <c r="T663" s="29" t="s">
        <v>2951</v>
      </c>
      <c r="U663" s="29" t="s">
        <v>3337</v>
      </c>
      <c r="V663" s="29" t="s">
        <v>3338</v>
      </c>
      <c r="W663" s="35" t="s">
        <v>1628</v>
      </c>
      <c r="X663" s="35" t="s">
        <v>1850</v>
      </c>
      <c r="Y663" s="35" t="s">
        <v>2982</v>
      </c>
      <c r="Z663" s="35" t="s">
        <v>2953</v>
      </c>
      <c r="AA663" s="35" t="s">
        <v>3339</v>
      </c>
      <c r="AB663" s="29" t="s">
        <v>1865</v>
      </c>
      <c r="AC663" s="35" t="s">
        <v>1633</v>
      </c>
      <c r="AD663" s="35" t="s">
        <v>1634</v>
      </c>
      <c r="AE663" s="35" t="s">
        <v>1634</v>
      </c>
      <c r="AF663" s="35" t="s">
        <v>1635</v>
      </c>
      <c r="AG663" s="35" t="s">
        <v>1728</v>
      </c>
      <c r="AI663" s="35"/>
      <c r="AJ663" s="35" t="s">
        <v>3340</v>
      </c>
      <c r="AK663" s="35" t="s">
        <v>1638</v>
      </c>
      <c r="AL663" s="29" t="s">
        <v>1729</v>
      </c>
      <c r="AM663" s="35"/>
      <c r="AN663" s="35"/>
      <c r="AO663" s="35"/>
      <c r="AP663" s="35"/>
      <c r="AQ663" s="35"/>
      <c r="AS663" s="35"/>
      <c r="AU663" s="35"/>
      <c r="AW663" s="35"/>
      <c r="AY663" s="35"/>
      <c r="AZ663" s="35" t="s">
        <v>1642</v>
      </c>
      <c r="BA663" s="35"/>
      <c r="BB663" s="29" t="s">
        <v>2894</v>
      </c>
      <c r="BC663" s="29" t="s">
        <v>3914</v>
      </c>
      <c r="BD663" s="29" t="s">
        <v>3363</v>
      </c>
      <c r="BE663" s="29" t="s">
        <v>3933</v>
      </c>
      <c r="BF663" s="29" t="s">
        <v>1619</v>
      </c>
      <c r="BG663" s="29" t="s">
        <v>3934</v>
      </c>
      <c r="BI663" s="35"/>
      <c r="BJ663" s="35"/>
      <c r="BK663" s="29" t="str" cm="1">
        <f t="array" ref="BK663">_xlfn.UNIQUE(MID(BB663,16,14))</f>
        <v>U012UBB01UC002</v>
      </c>
    </row>
    <row r="664" spans="1:63" hidden="1" x14ac:dyDescent="0.3">
      <c r="A664" s="29" t="s">
        <v>2979</v>
      </c>
      <c r="B664" s="36" t="str">
        <f t="shared" si="50"/>
        <v>G01NHA01QZ003-QB01</v>
      </c>
      <c r="C664" s="33" t="s">
        <v>3935</v>
      </c>
      <c r="D664" s="34" t="str">
        <f t="shared" si="51"/>
        <v>ELY1 RECT1 DC SWG3 DISC DC+ CMD OFF/CL</v>
      </c>
      <c r="E664" s="31">
        <f t="shared" si="52"/>
        <v>38</v>
      </c>
      <c r="F664" s="32" t="str">
        <f t="shared" si="53"/>
        <v>ELECTROLYSIS SYSTEM ELECTROLYSIS ARRAY 1 RECTIFIER SYSTEMS RECTIFIER SYSTEM 1 DC-SWITCHGEAR DC-SWITCHGEAR 3 DISCONNECTOR - DC+ MANUAL COMMAND OFF/CLOSE</v>
      </c>
      <c r="G664" s="29" t="s">
        <v>1614</v>
      </c>
      <c r="H664" s="29" t="s">
        <v>1615</v>
      </c>
      <c r="I664" s="29" t="str">
        <f t="shared" si="54"/>
        <v>01</v>
      </c>
      <c r="J664" s="29" t="s">
        <v>1616</v>
      </c>
      <c r="K664" s="29" t="s">
        <v>1842</v>
      </c>
      <c r="L664" s="29" t="s">
        <v>1843</v>
      </c>
      <c r="M664" s="29" t="s">
        <v>1619</v>
      </c>
      <c r="N664" s="29" t="s">
        <v>1844</v>
      </c>
      <c r="O664" s="29" t="s">
        <v>2947</v>
      </c>
      <c r="P664" s="29" t="s">
        <v>2948</v>
      </c>
      <c r="Q664" s="29" t="s">
        <v>1830</v>
      </c>
      <c r="R664" s="29" t="s">
        <v>2981</v>
      </c>
      <c r="S664" s="29" t="s">
        <v>2950</v>
      </c>
      <c r="T664" s="29" t="s">
        <v>2951</v>
      </c>
      <c r="U664" s="29" t="s">
        <v>3918</v>
      </c>
      <c r="V664" s="29" t="s">
        <v>3588</v>
      </c>
      <c r="W664" s="35" t="s">
        <v>1628</v>
      </c>
      <c r="X664" s="35" t="s">
        <v>1850</v>
      </c>
      <c r="Y664" s="35" t="s">
        <v>2982</v>
      </c>
      <c r="Z664" s="35" t="s">
        <v>2953</v>
      </c>
      <c r="AA664" s="35" t="s">
        <v>3919</v>
      </c>
      <c r="AB664" s="29" t="s">
        <v>1865</v>
      </c>
      <c r="AC664" s="35" t="s">
        <v>1633</v>
      </c>
      <c r="AD664" s="35" t="s">
        <v>1634</v>
      </c>
      <c r="AE664" s="35" t="s">
        <v>1634</v>
      </c>
      <c r="AF664" s="35" t="s">
        <v>1635</v>
      </c>
      <c r="AG664" s="35" t="s">
        <v>1728</v>
      </c>
      <c r="AI664" s="35"/>
      <c r="AJ664" s="35" t="s">
        <v>3340</v>
      </c>
      <c r="AK664" s="35" t="s">
        <v>1638</v>
      </c>
      <c r="AL664" s="29" t="s">
        <v>1729</v>
      </c>
      <c r="AM664" s="35"/>
      <c r="AN664" s="35"/>
      <c r="AO664" s="35"/>
      <c r="AP664" s="35"/>
      <c r="AQ664" s="35"/>
      <c r="AS664" s="35"/>
      <c r="AU664" s="35"/>
      <c r="AW664" s="35"/>
      <c r="AY664" s="35"/>
      <c r="AZ664" s="35" t="s">
        <v>1642</v>
      </c>
      <c r="BA664" s="35"/>
      <c r="BB664" s="29" t="s">
        <v>2894</v>
      </c>
      <c r="BC664" s="29" t="s">
        <v>3914</v>
      </c>
      <c r="BD664" s="29" t="s">
        <v>3925</v>
      </c>
      <c r="BE664" s="29" t="s">
        <v>3918</v>
      </c>
      <c r="BF664" s="29" t="s">
        <v>1905</v>
      </c>
      <c r="BG664" s="29" t="s">
        <v>3934</v>
      </c>
      <c r="BI664" s="35"/>
      <c r="BJ664" s="35"/>
      <c r="BK664" s="29" t="str" cm="1">
        <f t="array" ref="BK664">_xlfn.UNIQUE(MID(BB664,16,14))</f>
        <v>U012UBB01UC002</v>
      </c>
    </row>
    <row r="665" spans="1:63" hidden="1" x14ac:dyDescent="0.3">
      <c r="A665" s="29" t="s">
        <v>2979</v>
      </c>
      <c r="B665" s="36" t="str">
        <f t="shared" si="50"/>
        <v>G01NHA01QZ003-QB02</v>
      </c>
      <c r="C665" s="33" t="s">
        <v>3936</v>
      </c>
      <c r="D665" s="34" t="str">
        <f t="shared" si="51"/>
        <v>ELY1 RECT1 DC SWG3 DISC DC- CMD ON/OP</v>
      </c>
      <c r="E665" s="31">
        <f t="shared" si="52"/>
        <v>37</v>
      </c>
      <c r="F665" s="32" t="str">
        <f t="shared" si="53"/>
        <v>ELECTROLYSIS SYSTEM ELECTROLYSIS ARRAY 1 RECTIFIER SYSTEMS RECTIFIER SYSTEM 1 DC-SWITCHGEAR DC-SWITCHGEAR 3 DISCONNECTOR - DC- MANUAL COMMAND ON/OPEN</v>
      </c>
      <c r="G665" s="29" t="s">
        <v>1614</v>
      </c>
      <c r="H665" s="29" t="s">
        <v>1615</v>
      </c>
      <c r="I665" s="29" t="str">
        <f t="shared" si="54"/>
        <v>01</v>
      </c>
      <c r="J665" s="29" t="s">
        <v>1616</v>
      </c>
      <c r="K665" s="29" t="s">
        <v>1842</v>
      </c>
      <c r="L665" s="29" t="s">
        <v>1843</v>
      </c>
      <c r="M665" s="29" t="s">
        <v>1619</v>
      </c>
      <c r="N665" s="29" t="s">
        <v>1844</v>
      </c>
      <c r="O665" s="29" t="s">
        <v>2947</v>
      </c>
      <c r="P665" s="29" t="s">
        <v>2948</v>
      </c>
      <c r="Q665" s="29" t="s">
        <v>1830</v>
      </c>
      <c r="R665" s="29" t="s">
        <v>2981</v>
      </c>
      <c r="S665" s="29" t="s">
        <v>2961</v>
      </c>
      <c r="T665" s="29" t="s">
        <v>2962</v>
      </c>
      <c r="U665" s="29" t="s">
        <v>3337</v>
      </c>
      <c r="V665" s="29" t="s">
        <v>3338</v>
      </c>
      <c r="W665" s="35" t="s">
        <v>1628</v>
      </c>
      <c r="X665" s="35" t="s">
        <v>1850</v>
      </c>
      <c r="Y665" s="35" t="s">
        <v>2982</v>
      </c>
      <c r="Z665" s="35" t="s">
        <v>2963</v>
      </c>
      <c r="AA665" s="35" t="s">
        <v>3339</v>
      </c>
      <c r="AB665" s="29" t="s">
        <v>1865</v>
      </c>
      <c r="AC665" s="35" t="s">
        <v>1633</v>
      </c>
      <c r="AD665" s="35" t="s">
        <v>1634</v>
      </c>
      <c r="AE665" s="35" t="s">
        <v>1634</v>
      </c>
      <c r="AF665" s="35" t="s">
        <v>1635</v>
      </c>
      <c r="AG665" s="35" t="s">
        <v>1728</v>
      </c>
      <c r="AI665" s="35"/>
      <c r="AJ665" s="35" t="s">
        <v>3340</v>
      </c>
      <c r="AK665" s="35" t="s">
        <v>1638</v>
      </c>
      <c r="AL665" s="29" t="s">
        <v>1729</v>
      </c>
      <c r="AM665" s="35"/>
      <c r="AN665" s="35"/>
      <c r="AO665" s="35"/>
      <c r="AP665" s="35"/>
      <c r="AQ665" s="35"/>
      <c r="AS665" s="35"/>
      <c r="AU665" s="35"/>
      <c r="AW665" s="35"/>
      <c r="AY665" s="35"/>
      <c r="AZ665" s="35" t="s">
        <v>1642</v>
      </c>
      <c r="BA665" s="35"/>
      <c r="BB665" s="29" t="s">
        <v>2894</v>
      </c>
      <c r="BC665" s="29" t="s">
        <v>3914</v>
      </c>
      <c r="BD665" s="29" t="s">
        <v>3363</v>
      </c>
      <c r="BE665" s="29" t="s">
        <v>3337</v>
      </c>
      <c r="BF665" s="29" t="s">
        <v>1909</v>
      </c>
      <c r="BG665" s="29" t="s">
        <v>3937</v>
      </c>
      <c r="BI665" s="35"/>
      <c r="BJ665" s="35"/>
      <c r="BK665" s="29" t="str" cm="1">
        <f t="array" ref="BK665">_xlfn.UNIQUE(MID(BB665,16,14))</f>
        <v>U012UBB01UC002</v>
      </c>
    </row>
    <row r="666" spans="1:63" hidden="1" x14ac:dyDescent="0.3">
      <c r="A666" s="29" t="s">
        <v>2979</v>
      </c>
      <c r="B666" s="36" t="str">
        <f t="shared" si="50"/>
        <v>G01NHA01QZ003-QB02</v>
      </c>
      <c r="C666" s="33" t="s">
        <v>3938</v>
      </c>
      <c r="D666" s="34" t="str">
        <f t="shared" si="51"/>
        <v>ELY1 RECT1 DC SWG3 DISC DC- CMD OFF/CL</v>
      </c>
      <c r="E666" s="31">
        <f t="shared" si="52"/>
        <v>38</v>
      </c>
      <c r="F666" s="32" t="str">
        <f t="shared" si="53"/>
        <v>ELECTROLYSIS SYSTEM ELECTROLYSIS ARRAY 1 RECTIFIER SYSTEMS RECTIFIER SYSTEM 1 DC-SWITCHGEAR DC-SWITCHGEAR 3 DISCONNECTOR - DC- MANUAL COMMAND OFF/CLOSE</v>
      </c>
      <c r="G666" s="29" t="s">
        <v>1614</v>
      </c>
      <c r="H666" s="29" t="s">
        <v>1615</v>
      </c>
      <c r="I666" s="29" t="str">
        <f t="shared" si="54"/>
        <v>01</v>
      </c>
      <c r="J666" s="29" t="s">
        <v>1616</v>
      </c>
      <c r="K666" s="29" t="s">
        <v>1842</v>
      </c>
      <c r="L666" s="29" t="s">
        <v>1843</v>
      </c>
      <c r="M666" s="29" t="s">
        <v>1619</v>
      </c>
      <c r="N666" s="29" t="s">
        <v>1844</v>
      </c>
      <c r="O666" s="29" t="s">
        <v>2947</v>
      </c>
      <c r="P666" s="29" t="s">
        <v>2948</v>
      </c>
      <c r="Q666" s="29" t="s">
        <v>1830</v>
      </c>
      <c r="R666" s="29" t="s">
        <v>2981</v>
      </c>
      <c r="S666" s="29" t="s">
        <v>2961</v>
      </c>
      <c r="T666" s="29" t="s">
        <v>2962</v>
      </c>
      <c r="U666" s="29" t="s">
        <v>3918</v>
      </c>
      <c r="V666" s="29" t="s">
        <v>3588</v>
      </c>
      <c r="W666" s="35" t="s">
        <v>1628</v>
      </c>
      <c r="X666" s="35" t="s">
        <v>1850</v>
      </c>
      <c r="Y666" s="35" t="s">
        <v>2982</v>
      </c>
      <c r="Z666" s="35" t="s">
        <v>2963</v>
      </c>
      <c r="AA666" s="35" t="s">
        <v>3919</v>
      </c>
      <c r="AB666" s="29" t="s">
        <v>1865</v>
      </c>
      <c r="AC666" s="35" t="s">
        <v>1633</v>
      </c>
      <c r="AD666" s="35" t="s">
        <v>1634</v>
      </c>
      <c r="AE666" s="35" t="s">
        <v>1634</v>
      </c>
      <c r="AF666" s="35" t="s">
        <v>1635</v>
      </c>
      <c r="AG666" s="35" t="s">
        <v>1728</v>
      </c>
      <c r="AI666" s="35"/>
      <c r="AJ666" s="35" t="s">
        <v>3340</v>
      </c>
      <c r="AK666" s="35" t="s">
        <v>1638</v>
      </c>
      <c r="AL666" s="29" t="s">
        <v>1729</v>
      </c>
      <c r="AM666" s="35"/>
      <c r="AN666" s="35"/>
      <c r="AO666" s="35"/>
      <c r="AP666" s="35"/>
      <c r="AQ666" s="35"/>
      <c r="AS666" s="35"/>
      <c r="AU666" s="35"/>
      <c r="AW666" s="35"/>
      <c r="AY666" s="35"/>
      <c r="AZ666" s="35" t="s">
        <v>1642</v>
      </c>
      <c r="BA666" s="35"/>
      <c r="BB666" s="29" t="s">
        <v>2894</v>
      </c>
      <c r="BC666" s="29" t="s">
        <v>3914</v>
      </c>
      <c r="BD666" s="29" t="s">
        <v>3925</v>
      </c>
      <c r="BE666" s="29" t="s">
        <v>3918</v>
      </c>
      <c r="BF666" s="29" t="s">
        <v>1915</v>
      </c>
      <c r="BG666" s="29" t="s">
        <v>3937</v>
      </c>
      <c r="BI666" s="35"/>
      <c r="BJ666" s="35"/>
      <c r="BK666" s="29" t="str" cm="1">
        <f t="array" ref="BK666">_xlfn.UNIQUE(MID(BB666,16,14))</f>
        <v>U012UBB01UC002</v>
      </c>
    </row>
    <row r="667" spans="1:63" hidden="1" x14ac:dyDescent="0.3">
      <c r="A667" s="29" t="s">
        <v>2988</v>
      </c>
      <c r="B667" s="36" t="str">
        <f t="shared" si="50"/>
        <v>G01NHA01QZ004-QB01</v>
      </c>
      <c r="C667" s="33" t="s">
        <v>3939</v>
      </c>
      <c r="D667" s="34" t="str">
        <f t="shared" si="51"/>
        <v>ELY1 RECT1 DC SWG4 DISC DC+ CMD ON/OP</v>
      </c>
      <c r="E667" s="31">
        <f t="shared" si="52"/>
        <v>37</v>
      </c>
      <c r="F667" s="32" t="str">
        <f t="shared" si="53"/>
        <v>ELECTROLYSIS SYSTEM ELECTROLYSIS ARRAY 1 RECTIFIER SYSTEMS RECTIFIER SYSTEM 1 DC-SWITCHGEAR DC-SWITCHGEAR 4 DISCONNECTOR - DC+ MANUAL COMMAND ON/OPEN</v>
      </c>
      <c r="G667" s="29" t="s">
        <v>1614</v>
      </c>
      <c r="H667" s="29" t="s">
        <v>1615</v>
      </c>
      <c r="I667" s="29" t="str">
        <f t="shared" si="54"/>
        <v>01</v>
      </c>
      <c r="J667" s="29" t="s">
        <v>1616</v>
      </c>
      <c r="K667" s="29" t="s">
        <v>1842</v>
      </c>
      <c r="L667" s="29" t="s">
        <v>1843</v>
      </c>
      <c r="M667" s="29" t="s">
        <v>1619</v>
      </c>
      <c r="N667" s="29" t="s">
        <v>1844</v>
      </c>
      <c r="O667" s="29" t="s">
        <v>2947</v>
      </c>
      <c r="P667" s="29" t="s">
        <v>2948</v>
      </c>
      <c r="Q667" s="29" t="s">
        <v>1838</v>
      </c>
      <c r="R667" s="29" t="s">
        <v>2990</v>
      </c>
      <c r="S667" s="29" t="s">
        <v>2950</v>
      </c>
      <c r="T667" s="29" t="s">
        <v>2951</v>
      </c>
      <c r="U667" s="29" t="s">
        <v>3337</v>
      </c>
      <c r="V667" s="29" t="s">
        <v>3338</v>
      </c>
      <c r="W667" s="35" t="s">
        <v>1628</v>
      </c>
      <c r="X667" s="35" t="s">
        <v>1850</v>
      </c>
      <c r="Y667" s="35" t="s">
        <v>2991</v>
      </c>
      <c r="Z667" s="35" t="s">
        <v>2953</v>
      </c>
      <c r="AA667" s="35" t="s">
        <v>3339</v>
      </c>
      <c r="AB667" s="29" t="s">
        <v>1865</v>
      </c>
      <c r="AC667" s="35" t="s">
        <v>1633</v>
      </c>
      <c r="AD667" s="35" t="s">
        <v>1634</v>
      </c>
      <c r="AE667" s="35" t="s">
        <v>1634</v>
      </c>
      <c r="AF667" s="35" t="s">
        <v>1635</v>
      </c>
      <c r="AG667" s="35" t="s">
        <v>1728</v>
      </c>
      <c r="AI667" s="35"/>
      <c r="AJ667" s="35" t="s">
        <v>3340</v>
      </c>
      <c r="AK667" s="35" t="s">
        <v>1638</v>
      </c>
      <c r="AL667" s="29" t="s">
        <v>1729</v>
      </c>
      <c r="AM667" s="35"/>
      <c r="AN667" s="35"/>
      <c r="AO667" s="35"/>
      <c r="AP667" s="35"/>
      <c r="AQ667" s="35"/>
      <c r="AS667" s="35"/>
      <c r="AU667" s="35"/>
      <c r="AW667" s="35"/>
      <c r="AY667" s="35"/>
      <c r="AZ667" s="35" t="s">
        <v>1642</v>
      </c>
      <c r="BA667" s="35"/>
      <c r="BB667" s="29" t="s">
        <v>2894</v>
      </c>
      <c r="BC667" s="29" t="s">
        <v>3914</v>
      </c>
      <c r="BD667" s="29" t="s">
        <v>3363</v>
      </c>
      <c r="BE667" s="29" t="s">
        <v>3933</v>
      </c>
      <c r="BF667" s="29" t="s">
        <v>1919</v>
      </c>
      <c r="BG667" s="29" t="s">
        <v>3940</v>
      </c>
      <c r="BI667" s="35"/>
      <c r="BJ667" s="35"/>
      <c r="BK667" s="29" t="str" cm="1">
        <f t="array" ref="BK667">_xlfn.UNIQUE(MID(BB667,16,14))</f>
        <v>U012UBB01UC002</v>
      </c>
    </row>
    <row r="668" spans="1:63" hidden="1" x14ac:dyDescent="0.3">
      <c r="A668" s="29" t="s">
        <v>2988</v>
      </c>
      <c r="B668" s="36" t="str">
        <f t="shared" si="50"/>
        <v>G01NHA01QZ004-QB01</v>
      </c>
      <c r="C668" s="33" t="s">
        <v>3941</v>
      </c>
      <c r="D668" s="34" t="str">
        <f t="shared" si="51"/>
        <v>ELY1 RECT1 DC SWG4 DISC DC+ CMD OFF/CL</v>
      </c>
      <c r="E668" s="31">
        <f t="shared" si="52"/>
        <v>38</v>
      </c>
      <c r="F668" s="32" t="str">
        <f t="shared" si="53"/>
        <v>ELECTROLYSIS SYSTEM ELECTROLYSIS ARRAY 1 RECTIFIER SYSTEMS RECTIFIER SYSTEM 1 DC-SWITCHGEAR DC-SWITCHGEAR 4 DISCONNECTOR - DC+ MANUAL COMMAND OFF/CLOSE</v>
      </c>
      <c r="G668" s="29" t="s">
        <v>1614</v>
      </c>
      <c r="H668" s="29" t="s">
        <v>1615</v>
      </c>
      <c r="I668" s="29" t="str">
        <f t="shared" si="54"/>
        <v>01</v>
      </c>
      <c r="J668" s="29" t="s">
        <v>1616</v>
      </c>
      <c r="K668" s="29" t="s">
        <v>1842</v>
      </c>
      <c r="L668" s="29" t="s">
        <v>1843</v>
      </c>
      <c r="M668" s="29" t="s">
        <v>1619</v>
      </c>
      <c r="N668" s="29" t="s">
        <v>1844</v>
      </c>
      <c r="O668" s="29" t="s">
        <v>2947</v>
      </c>
      <c r="P668" s="29" t="s">
        <v>2948</v>
      </c>
      <c r="Q668" s="29" t="s">
        <v>1838</v>
      </c>
      <c r="R668" s="29" t="s">
        <v>2990</v>
      </c>
      <c r="S668" s="29" t="s">
        <v>2950</v>
      </c>
      <c r="T668" s="29" t="s">
        <v>2951</v>
      </c>
      <c r="U668" s="29" t="s">
        <v>3918</v>
      </c>
      <c r="V668" s="29" t="s">
        <v>3588</v>
      </c>
      <c r="W668" s="35" t="s">
        <v>1628</v>
      </c>
      <c r="X668" s="35" t="s">
        <v>1850</v>
      </c>
      <c r="Y668" s="35" t="s">
        <v>2991</v>
      </c>
      <c r="Z668" s="35" t="s">
        <v>2953</v>
      </c>
      <c r="AA668" s="35" t="s">
        <v>3919</v>
      </c>
      <c r="AB668" s="29" t="s">
        <v>1865</v>
      </c>
      <c r="AC668" s="35" t="s">
        <v>1633</v>
      </c>
      <c r="AD668" s="35" t="s">
        <v>1634</v>
      </c>
      <c r="AE668" s="35" t="s">
        <v>1634</v>
      </c>
      <c r="AF668" s="35" t="s">
        <v>1635</v>
      </c>
      <c r="AG668" s="35" t="s">
        <v>1728</v>
      </c>
      <c r="AI668" s="35"/>
      <c r="AJ668" s="35" t="s">
        <v>3340</v>
      </c>
      <c r="AK668" s="35" t="s">
        <v>1638</v>
      </c>
      <c r="AL668" s="29" t="s">
        <v>1729</v>
      </c>
      <c r="AM668" s="35"/>
      <c r="AN668" s="35"/>
      <c r="AO668" s="35"/>
      <c r="AP668" s="35"/>
      <c r="AQ668" s="35"/>
      <c r="AS668" s="35"/>
      <c r="AU668" s="35"/>
      <c r="AW668" s="35"/>
      <c r="AY668" s="35"/>
      <c r="AZ668" s="35" t="s">
        <v>1642</v>
      </c>
      <c r="BA668" s="35"/>
      <c r="BB668" s="29" t="s">
        <v>2894</v>
      </c>
      <c r="BC668" s="29" t="s">
        <v>3914</v>
      </c>
      <c r="BD668" s="29" t="s">
        <v>3925</v>
      </c>
      <c r="BE668" s="29" t="s">
        <v>3918</v>
      </c>
      <c r="BF668" s="29" t="s">
        <v>1922</v>
      </c>
      <c r="BG668" s="29" t="s">
        <v>3940</v>
      </c>
      <c r="BI668" s="35"/>
      <c r="BJ668" s="35"/>
      <c r="BK668" s="29" t="str" cm="1">
        <f t="array" ref="BK668">_xlfn.UNIQUE(MID(BB668,16,14))</f>
        <v>U012UBB01UC002</v>
      </c>
    </row>
    <row r="669" spans="1:63" hidden="1" x14ac:dyDescent="0.3">
      <c r="A669" s="29" t="s">
        <v>2988</v>
      </c>
      <c r="B669" s="36" t="str">
        <f t="shared" si="50"/>
        <v>G01NHA01QZ004-QB02</v>
      </c>
      <c r="C669" s="33" t="s">
        <v>3942</v>
      </c>
      <c r="D669" s="34" t="str">
        <f t="shared" si="51"/>
        <v>ELY1 RECT1 DC SWG4 DISC DC- CMD ON/OP</v>
      </c>
      <c r="E669" s="31">
        <f t="shared" si="52"/>
        <v>37</v>
      </c>
      <c r="F669" s="32" t="str">
        <f t="shared" si="53"/>
        <v>ELECTROLYSIS SYSTEM ELECTROLYSIS ARRAY 1 RECTIFIER SYSTEMS RECTIFIER SYSTEM 1 DC-SWITCHGEAR DC-SWITCHGEAR 4 DISCONNECTOR - DC- MANUAL COMMAND ON/OPEN</v>
      </c>
      <c r="G669" s="29" t="s">
        <v>1614</v>
      </c>
      <c r="H669" s="29" t="s">
        <v>1615</v>
      </c>
      <c r="I669" s="29" t="str">
        <f t="shared" si="54"/>
        <v>01</v>
      </c>
      <c r="J669" s="29" t="s">
        <v>1616</v>
      </c>
      <c r="K669" s="29" t="s">
        <v>1842</v>
      </c>
      <c r="L669" s="29" t="s">
        <v>1843</v>
      </c>
      <c r="M669" s="29" t="s">
        <v>1619</v>
      </c>
      <c r="N669" s="29" t="s">
        <v>1844</v>
      </c>
      <c r="O669" s="29" t="s">
        <v>2947</v>
      </c>
      <c r="P669" s="29" t="s">
        <v>2948</v>
      </c>
      <c r="Q669" s="29" t="s">
        <v>1838</v>
      </c>
      <c r="R669" s="29" t="s">
        <v>2990</v>
      </c>
      <c r="S669" s="29" t="s">
        <v>2961</v>
      </c>
      <c r="T669" s="29" t="s">
        <v>2962</v>
      </c>
      <c r="U669" s="29" t="s">
        <v>3337</v>
      </c>
      <c r="V669" s="29" t="s">
        <v>3338</v>
      </c>
      <c r="W669" s="35" t="s">
        <v>1628</v>
      </c>
      <c r="X669" s="35" t="s">
        <v>1850</v>
      </c>
      <c r="Y669" s="35" t="s">
        <v>2991</v>
      </c>
      <c r="Z669" s="35" t="s">
        <v>2963</v>
      </c>
      <c r="AA669" s="35" t="s">
        <v>3339</v>
      </c>
      <c r="AB669" s="29" t="s">
        <v>1865</v>
      </c>
      <c r="AC669" s="35" t="s">
        <v>1633</v>
      </c>
      <c r="AD669" s="35" t="s">
        <v>1634</v>
      </c>
      <c r="AE669" s="35" t="s">
        <v>1634</v>
      </c>
      <c r="AF669" s="35" t="s">
        <v>1635</v>
      </c>
      <c r="AG669" s="35" t="s">
        <v>1728</v>
      </c>
      <c r="AI669" s="35"/>
      <c r="AJ669" s="35" t="s">
        <v>3340</v>
      </c>
      <c r="AK669" s="35" t="s">
        <v>1638</v>
      </c>
      <c r="AL669" s="29" t="s">
        <v>1729</v>
      </c>
      <c r="AM669" s="35"/>
      <c r="AN669" s="35"/>
      <c r="AO669" s="35"/>
      <c r="AP669" s="35"/>
      <c r="AQ669" s="35"/>
      <c r="AS669" s="35"/>
      <c r="AU669" s="35"/>
      <c r="AW669" s="35"/>
      <c r="AY669" s="35"/>
      <c r="AZ669" s="35" t="s">
        <v>1642</v>
      </c>
      <c r="BA669" s="35"/>
      <c r="BB669" s="29" t="s">
        <v>2894</v>
      </c>
      <c r="BC669" s="29" t="s">
        <v>3914</v>
      </c>
      <c r="BD669" s="29" t="s">
        <v>3363</v>
      </c>
      <c r="BE669" s="29" t="s">
        <v>3337</v>
      </c>
      <c r="BF669" s="29" t="s">
        <v>1931</v>
      </c>
      <c r="BG669" s="29" t="s">
        <v>3943</v>
      </c>
      <c r="BI669" s="35"/>
      <c r="BJ669" s="35"/>
      <c r="BK669" s="29" t="str" cm="1">
        <f t="array" ref="BK669">_xlfn.UNIQUE(MID(BB669,16,14))</f>
        <v>U012UBB01UC002</v>
      </c>
    </row>
    <row r="670" spans="1:63" hidden="1" x14ac:dyDescent="0.3">
      <c r="A670" s="29" t="s">
        <v>2988</v>
      </c>
      <c r="B670" s="36" t="str">
        <f t="shared" si="50"/>
        <v>G01NHA01QZ004-QB02</v>
      </c>
      <c r="C670" s="33" t="s">
        <v>3944</v>
      </c>
      <c r="D670" s="34" t="str">
        <f t="shared" si="51"/>
        <v>ELY1 RECT1 DC SWG4 DISC DC- CMD OFF/CL</v>
      </c>
      <c r="E670" s="31">
        <f t="shared" si="52"/>
        <v>38</v>
      </c>
      <c r="F670" s="32" t="str">
        <f t="shared" si="53"/>
        <v>ELECTROLYSIS SYSTEM ELECTROLYSIS ARRAY 1 RECTIFIER SYSTEMS RECTIFIER SYSTEM 1 DC-SWITCHGEAR DC-SWITCHGEAR 4 DISCONNECTOR - DC- MANUAL COMMAND OFF/CLOSE</v>
      </c>
      <c r="G670" s="29" t="s">
        <v>1614</v>
      </c>
      <c r="H670" s="29" t="s">
        <v>1615</v>
      </c>
      <c r="I670" s="29" t="str">
        <f t="shared" si="54"/>
        <v>01</v>
      </c>
      <c r="J670" s="29" t="s">
        <v>1616</v>
      </c>
      <c r="K670" s="29" t="s">
        <v>1842</v>
      </c>
      <c r="L670" s="29" t="s">
        <v>1843</v>
      </c>
      <c r="M670" s="29" t="s">
        <v>1619</v>
      </c>
      <c r="N670" s="29" t="s">
        <v>1844</v>
      </c>
      <c r="O670" s="29" t="s">
        <v>2947</v>
      </c>
      <c r="P670" s="29" t="s">
        <v>2948</v>
      </c>
      <c r="Q670" s="29" t="s">
        <v>1838</v>
      </c>
      <c r="R670" s="29" t="s">
        <v>2990</v>
      </c>
      <c r="S670" s="29" t="s">
        <v>2961</v>
      </c>
      <c r="T670" s="29" t="s">
        <v>2962</v>
      </c>
      <c r="U670" s="29" t="s">
        <v>3918</v>
      </c>
      <c r="V670" s="29" t="s">
        <v>3588</v>
      </c>
      <c r="W670" s="35" t="s">
        <v>1628</v>
      </c>
      <c r="X670" s="35" t="s">
        <v>1850</v>
      </c>
      <c r="Y670" s="35" t="s">
        <v>2991</v>
      </c>
      <c r="Z670" s="35" t="s">
        <v>2963</v>
      </c>
      <c r="AA670" s="35" t="s">
        <v>3919</v>
      </c>
      <c r="AB670" s="29" t="s">
        <v>1865</v>
      </c>
      <c r="AC670" s="35" t="s">
        <v>1633</v>
      </c>
      <c r="AD670" s="35" t="s">
        <v>1634</v>
      </c>
      <c r="AE670" s="35" t="s">
        <v>1634</v>
      </c>
      <c r="AF670" s="35" t="s">
        <v>1635</v>
      </c>
      <c r="AG670" s="35" t="s">
        <v>1728</v>
      </c>
      <c r="AI670" s="35"/>
      <c r="AJ670" s="35" t="s">
        <v>3340</v>
      </c>
      <c r="AK670" s="35" t="s">
        <v>1638</v>
      </c>
      <c r="AL670" s="29" t="s">
        <v>1729</v>
      </c>
      <c r="AM670" s="35"/>
      <c r="AN670" s="35"/>
      <c r="AO670" s="35"/>
      <c r="AP670" s="35"/>
      <c r="AQ670" s="35"/>
      <c r="AS670" s="35"/>
      <c r="AU670" s="35"/>
      <c r="AW670" s="35"/>
      <c r="AY670" s="35"/>
      <c r="AZ670" s="35" t="s">
        <v>1642</v>
      </c>
      <c r="BA670" s="35"/>
      <c r="BB670" s="29" t="s">
        <v>2894</v>
      </c>
      <c r="BC670" s="29" t="s">
        <v>3914</v>
      </c>
      <c r="BD670" s="29" t="s">
        <v>3925</v>
      </c>
      <c r="BE670" s="29" t="s">
        <v>3918</v>
      </c>
      <c r="BF670" s="29" t="s">
        <v>1936</v>
      </c>
      <c r="BG670" s="29" t="s">
        <v>3943</v>
      </c>
      <c r="BI670" s="35"/>
      <c r="BJ670" s="35"/>
      <c r="BK670" s="29" t="str" cm="1">
        <f t="array" ref="BK670">_xlfn.UNIQUE(MID(BB670,16,14))</f>
        <v>U012UBB01UC002</v>
      </c>
    </row>
    <row r="671" spans="1:63" hidden="1" x14ac:dyDescent="0.3">
      <c r="A671" s="29" t="s">
        <v>2997</v>
      </c>
      <c r="B671" s="36" t="str">
        <f t="shared" si="50"/>
        <v>G01NHA01RA001-KF01</v>
      </c>
      <c r="C671" s="33" t="s">
        <v>3945</v>
      </c>
      <c r="D671" s="34" t="str">
        <f t="shared" si="51"/>
        <v>ELY1 RECT1 DISCH RES1 OUTP MOD CMD ON/OP</v>
      </c>
      <c r="E671" s="31">
        <f t="shared" si="52"/>
        <v>40</v>
      </c>
      <c r="F671" s="32" t="str">
        <f t="shared" si="53"/>
        <v>ELECTROLYSIS SYSTEM ELECTROLYSIS ARRAY 1 RECTIFIER SYSTEMS RECTIFIER SYSTEM 1 RESISTORS DISCHARGE-RESISTOR 1 OUTPUT COUPLER RELAY COUPLER, 1 CHANGE-OVER CONTACT MANUAL COMMAND ON/OPEN</v>
      </c>
      <c r="G671" s="29" t="s">
        <v>1614</v>
      </c>
      <c r="H671" s="29" t="s">
        <v>1615</v>
      </c>
      <c r="I671" s="29" t="str">
        <f t="shared" si="54"/>
        <v>01</v>
      </c>
      <c r="J671" s="29" t="s">
        <v>1616</v>
      </c>
      <c r="K671" s="29" t="s">
        <v>1842</v>
      </c>
      <c r="L671" s="29" t="s">
        <v>1843</v>
      </c>
      <c r="M671" s="29" t="s">
        <v>1619</v>
      </c>
      <c r="N671" s="29" t="s">
        <v>1844</v>
      </c>
      <c r="O671" s="29" t="s">
        <v>2999</v>
      </c>
      <c r="P671" s="29" t="s">
        <v>3000</v>
      </c>
      <c r="Q671" s="29" t="s">
        <v>1623</v>
      </c>
      <c r="R671" s="29" t="s">
        <v>3001</v>
      </c>
      <c r="S671" s="29" t="s">
        <v>3002</v>
      </c>
      <c r="T671" s="29" t="s">
        <v>3003</v>
      </c>
      <c r="U671" s="29" t="s">
        <v>3337</v>
      </c>
      <c r="V671" s="29" t="s">
        <v>3338</v>
      </c>
      <c r="W671" s="35" t="s">
        <v>1628</v>
      </c>
      <c r="X671" s="35" t="s">
        <v>1850</v>
      </c>
      <c r="Y671" s="35" t="s">
        <v>3004</v>
      </c>
      <c r="Z671" s="35" t="s">
        <v>3005</v>
      </c>
      <c r="AA671" s="35" t="s">
        <v>3339</v>
      </c>
      <c r="AB671" s="29" t="s">
        <v>2653</v>
      </c>
      <c r="AC671" s="35" t="s">
        <v>1633</v>
      </c>
      <c r="AD671" s="35" t="s">
        <v>1634</v>
      </c>
      <c r="AE671" s="35" t="s">
        <v>1634</v>
      </c>
      <c r="AF671" s="35" t="s">
        <v>1635</v>
      </c>
      <c r="AG671" s="35" t="s">
        <v>1636</v>
      </c>
      <c r="AI671" s="35"/>
      <c r="AJ671" s="35" t="s">
        <v>3340</v>
      </c>
      <c r="AK671" s="35" t="s">
        <v>1672</v>
      </c>
      <c r="AL671" s="29" t="s">
        <v>1729</v>
      </c>
      <c r="AM671" s="35"/>
      <c r="AN671" s="35"/>
      <c r="AO671" s="35"/>
      <c r="AP671" s="35"/>
      <c r="AQ671" s="35"/>
      <c r="AS671" s="35"/>
      <c r="AU671" s="35"/>
      <c r="AW671" s="35"/>
      <c r="AY671" s="35"/>
      <c r="AZ671" s="35"/>
      <c r="BA671" s="35"/>
      <c r="BB671" s="29" t="s">
        <v>3910</v>
      </c>
      <c r="BC671" s="29" t="s">
        <v>3342</v>
      </c>
      <c r="BD671" s="29" t="s">
        <v>3363</v>
      </c>
      <c r="BE671" s="29" t="s">
        <v>1805</v>
      </c>
      <c r="BF671" s="29" t="s">
        <v>1931</v>
      </c>
      <c r="BG671" s="29" t="s">
        <v>3946</v>
      </c>
      <c r="BI671" s="35"/>
      <c r="BJ671" s="35"/>
      <c r="BK671" s="29" t="str" cm="1">
        <f t="array" ref="BK671">_xlfn.UNIQUE(MID(BB671,16,14))</f>
        <v>U012UBB01UC001</v>
      </c>
    </row>
    <row r="672" spans="1:63" hidden="1" x14ac:dyDescent="0.3">
      <c r="A672" s="29" t="s">
        <v>3008</v>
      </c>
      <c r="B672" s="36" t="str">
        <f t="shared" si="50"/>
        <v>G01NHA01RA002-KF01</v>
      </c>
      <c r="C672" s="33" t="s">
        <v>3947</v>
      </c>
      <c r="D672" s="34" t="str">
        <f t="shared" si="51"/>
        <v>ELY1 RECT1 DISCH RES2 OUTP MOD CMD ON/OP</v>
      </c>
      <c r="E672" s="31">
        <f t="shared" si="52"/>
        <v>40</v>
      </c>
      <c r="F672" s="32" t="str">
        <f t="shared" si="53"/>
        <v>ELECTROLYSIS SYSTEM ELECTROLYSIS ARRAY 1 RECTIFIER SYSTEMS RECTIFIER SYSTEM 1 RESISTORS DISCHARGE-RESISTOR 2 OUTPUT COUPLER RELAY COUPLER, 1 CHANGE-OVER CONTACT MANUAL COMMAND ON/OPEN</v>
      </c>
      <c r="G672" s="29" t="s">
        <v>1614</v>
      </c>
      <c r="H672" s="29" t="s">
        <v>1615</v>
      </c>
      <c r="I672" s="29" t="str">
        <f t="shared" si="54"/>
        <v>01</v>
      </c>
      <c r="J672" s="29" t="s">
        <v>1616</v>
      </c>
      <c r="K672" s="29" t="s">
        <v>1842</v>
      </c>
      <c r="L672" s="29" t="s">
        <v>1843</v>
      </c>
      <c r="M672" s="29" t="s">
        <v>1619</v>
      </c>
      <c r="N672" s="29" t="s">
        <v>1844</v>
      </c>
      <c r="O672" s="29" t="s">
        <v>2999</v>
      </c>
      <c r="P672" s="29" t="s">
        <v>3000</v>
      </c>
      <c r="Q672" s="29" t="s">
        <v>1872</v>
      </c>
      <c r="R672" s="29" t="s">
        <v>3010</v>
      </c>
      <c r="S672" s="29" t="s">
        <v>3002</v>
      </c>
      <c r="T672" s="29" t="s">
        <v>3003</v>
      </c>
      <c r="U672" s="29" t="s">
        <v>3337</v>
      </c>
      <c r="V672" s="29" t="s">
        <v>3338</v>
      </c>
      <c r="W672" s="35" t="s">
        <v>1628</v>
      </c>
      <c r="X672" s="35" t="s">
        <v>1850</v>
      </c>
      <c r="Y672" s="35" t="s">
        <v>3011</v>
      </c>
      <c r="Z672" s="35" t="s">
        <v>3005</v>
      </c>
      <c r="AA672" s="35" t="s">
        <v>3339</v>
      </c>
      <c r="AB672" s="29" t="s">
        <v>2653</v>
      </c>
      <c r="AC672" s="35" t="s">
        <v>1633</v>
      </c>
      <c r="AD672" s="35" t="s">
        <v>1634</v>
      </c>
      <c r="AE672" s="35" t="s">
        <v>1634</v>
      </c>
      <c r="AF672" s="35" t="s">
        <v>1635</v>
      </c>
      <c r="AG672" s="35" t="s">
        <v>1636</v>
      </c>
      <c r="AI672" s="35"/>
      <c r="AJ672" s="35" t="s">
        <v>3340</v>
      </c>
      <c r="AK672" s="35" t="s">
        <v>1672</v>
      </c>
      <c r="AL672" s="29" t="s">
        <v>1729</v>
      </c>
      <c r="AM672" s="35"/>
      <c r="AN672" s="35"/>
      <c r="AO672" s="35"/>
      <c r="AP672" s="35"/>
      <c r="AQ672" s="35"/>
      <c r="AS672" s="35"/>
      <c r="AU672" s="35"/>
      <c r="AW672" s="35"/>
      <c r="AY672" s="35"/>
      <c r="AZ672" s="35"/>
      <c r="BA672" s="35"/>
      <c r="BB672" s="29" t="s">
        <v>3910</v>
      </c>
      <c r="BC672" s="29" t="s">
        <v>3342</v>
      </c>
      <c r="BD672" s="29" t="s">
        <v>3363</v>
      </c>
      <c r="BE672" s="29" t="s">
        <v>1805</v>
      </c>
      <c r="BF672" s="29" t="s">
        <v>1936</v>
      </c>
      <c r="BG672" s="29" t="s">
        <v>3948</v>
      </c>
      <c r="BI672" s="35"/>
      <c r="BJ672" s="35"/>
      <c r="BK672" s="29" t="str" cm="1">
        <f t="array" ref="BK672">_xlfn.UNIQUE(MID(BB672,16,14))</f>
        <v>U012UBB01UC001</v>
      </c>
    </row>
    <row r="673" spans="1:63" hidden="1" x14ac:dyDescent="0.3">
      <c r="A673" s="29" t="s">
        <v>3013</v>
      </c>
      <c r="B673" s="36" t="str">
        <f t="shared" si="50"/>
        <v>G01NHA01RA003-KF01</v>
      </c>
      <c r="C673" s="33" t="s">
        <v>3949</v>
      </c>
      <c r="D673" s="34" t="str">
        <f t="shared" si="51"/>
        <v>ELY1 RECT1 DISCH RES3 OUTP MOD CMD ON/OP</v>
      </c>
      <c r="E673" s="31">
        <f t="shared" si="52"/>
        <v>40</v>
      </c>
      <c r="F673" s="32" t="str">
        <f t="shared" si="53"/>
        <v>ELECTROLYSIS SYSTEM ELECTROLYSIS ARRAY 1 RECTIFIER SYSTEMS RECTIFIER SYSTEM 1 RESISTORS DISCHARGE-RESISTOR 3 OUTPUT COUPLER RELAY COUPLER, 1 CHANGE-OVER CONTACT MANUAL COMMAND ON/OPEN</v>
      </c>
      <c r="G673" s="29" t="s">
        <v>1614</v>
      </c>
      <c r="H673" s="29" t="s">
        <v>1615</v>
      </c>
      <c r="I673" s="29" t="str">
        <f t="shared" si="54"/>
        <v>01</v>
      </c>
      <c r="J673" s="29" t="s">
        <v>1616</v>
      </c>
      <c r="K673" s="29" t="s">
        <v>1842</v>
      </c>
      <c r="L673" s="29" t="s">
        <v>1843</v>
      </c>
      <c r="M673" s="29" t="s">
        <v>1619</v>
      </c>
      <c r="N673" s="29" t="s">
        <v>1844</v>
      </c>
      <c r="O673" s="29" t="s">
        <v>2999</v>
      </c>
      <c r="P673" s="29" t="s">
        <v>3000</v>
      </c>
      <c r="Q673" s="29" t="s">
        <v>1830</v>
      </c>
      <c r="R673" s="29" t="s">
        <v>3015</v>
      </c>
      <c r="S673" s="29" t="s">
        <v>3002</v>
      </c>
      <c r="T673" s="29" t="s">
        <v>3003</v>
      </c>
      <c r="U673" s="29" t="s">
        <v>3337</v>
      </c>
      <c r="V673" s="29" t="s">
        <v>3338</v>
      </c>
      <c r="W673" s="35" t="s">
        <v>1628</v>
      </c>
      <c r="X673" s="35" t="s">
        <v>1850</v>
      </c>
      <c r="Y673" s="35" t="s">
        <v>3016</v>
      </c>
      <c r="Z673" s="35" t="s">
        <v>3005</v>
      </c>
      <c r="AA673" s="35" t="s">
        <v>3339</v>
      </c>
      <c r="AB673" s="29" t="s">
        <v>2653</v>
      </c>
      <c r="AC673" s="35" t="s">
        <v>1633</v>
      </c>
      <c r="AD673" s="35" t="s">
        <v>1634</v>
      </c>
      <c r="AE673" s="35" t="s">
        <v>1634</v>
      </c>
      <c r="AF673" s="35" t="s">
        <v>1635</v>
      </c>
      <c r="AG673" s="35" t="s">
        <v>1636</v>
      </c>
      <c r="AI673" s="35"/>
      <c r="AJ673" s="35" t="s">
        <v>3340</v>
      </c>
      <c r="AK673" s="35" t="s">
        <v>1672</v>
      </c>
      <c r="AL673" s="29" t="s">
        <v>1729</v>
      </c>
      <c r="AM673" s="35"/>
      <c r="AN673" s="35"/>
      <c r="AO673" s="35"/>
      <c r="AP673" s="35"/>
      <c r="AQ673" s="35"/>
      <c r="AS673" s="35"/>
      <c r="AU673" s="35"/>
      <c r="AW673" s="35"/>
      <c r="AY673" s="35"/>
      <c r="AZ673" s="35"/>
      <c r="BA673" s="35"/>
      <c r="BB673" s="29" t="s">
        <v>3950</v>
      </c>
      <c r="BC673" s="29" t="s">
        <v>3342</v>
      </c>
      <c r="BD673" s="29" t="s">
        <v>3363</v>
      </c>
      <c r="BE673" s="29" t="s">
        <v>1805</v>
      </c>
      <c r="BF673" s="29" t="s">
        <v>1619</v>
      </c>
      <c r="BG673" s="29" t="s">
        <v>3951</v>
      </c>
      <c r="BI673" s="35"/>
      <c r="BJ673" s="35"/>
      <c r="BK673" s="29" t="str" cm="1">
        <f t="array" ref="BK673">_xlfn.UNIQUE(MID(BB673,16,14))</f>
        <v>U012UBB01UC002</v>
      </c>
    </row>
    <row r="674" spans="1:63" hidden="1" x14ac:dyDescent="0.3">
      <c r="A674" s="29" t="s">
        <v>3018</v>
      </c>
      <c r="B674" s="36" t="str">
        <f t="shared" si="50"/>
        <v>G01NHA01RA004-KF01</v>
      </c>
      <c r="C674" s="33" t="s">
        <v>3952</v>
      </c>
      <c r="D674" s="34" t="str">
        <f t="shared" si="51"/>
        <v>ELY1 RECT1 DISCH RES4 OUTP MOD CMD ON/OP</v>
      </c>
      <c r="E674" s="31">
        <f t="shared" si="52"/>
        <v>40</v>
      </c>
      <c r="F674" s="32" t="str">
        <f t="shared" si="53"/>
        <v>ELECTROLYSIS SYSTEM ELECTROLYSIS ARRAY 1 RECTIFIER SYSTEMS RECTIFIER SYSTEM 1 RESISTORS DISCHARGE-RESISTOR 4 OUTPUT COUPLER RELAY COUPLER, 1 CHANGE-OVER CONTACT MANUAL COMMAND ON/OPEN</v>
      </c>
      <c r="G674" s="29" t="s">
        <v>1614</v>
      </c>
      <c r="H674" s="29" t="s">
        <v>1615</v>
      </c>
      <c r="I674" s="29" t="str">
        <f t="shared" si="54"/>
        <v>01</v>
      </c>
      <c r="J674" s="29" t="s">
        <v>1616</v>
      </c>
      <c r="K674" s="29" t="s">
        <v>1842</v>
      </c>
      <c r="L674" s="29" t="s">
        <v>1843</v>
      </c>
      <c r="M674" s="29" t="s">
        <v>1619</v>
      </c>
      <c r="N674" s="29" t="s">
        <v>1844</v>
      </c>
      <c r="O674" s="29" t="s">
        <v>2999</v>
      </c>
      <c r="P674" s="29" t="s">
        <v>3000</v>
      </c>
      <c r="Q674" s="29" t="s">
        <v>1838</v>
      </c>
      <c r="R674" s="29" t="s">
        <v>3020</v>
      </c>
      <c r="S674" s="29" t="s">
        <v>3002</v>
      </c>
      <c r="T674" s="29" t="s">
        <v>3003</v>
      </c>
      <c r="U674" s="29" t="s">
        <v>3337</v>
      </c>
      <c r="V674" s="29" t="s">
        <v>3338</v>
      </c>
      <c r="W674" s="35" t="s">
        <v>1628</v>
      </c>
      <c r="X674" s="35" t="s">
        <v>1850</v>
      </c>
      <c r="Y674" s="35" t="s">
        <v>3021</v>
      </c>
      <c r="Z674" s="35" t="s">
        <v>3005</v>
      </c>
      <c r="AA674" s="35" t="s">
        <v>3339</v>
      </c>
      <c r="AB674" s="29" t="s">
        <v>2653</v>
      </c>
      <c r="AC674" s="35" t="s">
        <v>1633</v>
      </c>
      <c r="AD674" s="35" t="s">
        <v>1634</v>
      </c>
      <c r="AE674" s="35" t="s">
        <v>1634</v>
      </c>
      <c r="AF674" s="35" t="s">
        <v>1635</v>
      </c>
      <c r="AG674" s="35" t="s">
        <v>1636</v>
      </c>
      <c r="AI674" s="35"/>
      <c r="AJ674" s="35" t="s">
        <v>3340</v>
      </c>
      <c r="AK674" s="35" t="s">
        <v>1672</v>
      </c>
      <c r="AL674" s="29" t="s">
        <v>1729</v>
      </c>
      <c r="AM674" s="35"/>
      <c r="AN674" s="35"/>
      <c r="AO674" s="35"/>
      <c r="AP674" s="35"/>
      <c r="AQ674" s="35"/>
      <c r="AS674" s="35"/>
      <c r="AU674" s="35"/>
      <c r="AW674" s="35"/>
      <c r="AY674" s="35"/>
      <c r="AZ674" s="35"/>
      <c r="BA674" s="35"/>
      <c r="BB674" s="29" t="s">
        <v>3950</v>
      </c>
      <c r="BC674" s="29" t="s">
        <v>3342</v>
      </c>
      <c r="BD674" s="29" t="s">
        <v>3363</v>
      </c>
      <c r="BE674" s="29" t="s">
        <v>1805</v>
      </c>
      <c r="BF674" s="29" t="s">
        <v>1905</v>
      </c>
      <c r="BG674" s="29" t="s">
        <v>3953</v>
      </c>
      <c r="BI674" s="35"/>
      <c r="BJ674" s="35"/>
      <c r="BK674" s="29" t="str" cm="1">
        <f t="array" ref="BK674">_xlfn.UNIQUE(MID(BB674,16,14))</f>
        <v>U012UBB01UC002</v>
      </c>
    </row>
    <row r="675" spans="1:63" hidden="1" x14ac:dyDescent="0.3">
      <c r="A675" s="29" t="s">
        <v>1924</v>
      </c>
      <c r="B675" s="36" t="str">
        <f t="shared" si="50"/>
        <v>G01NHA01TA001-GP01</v>
      </c>
      <c r="C675" s="33" t="s">
        <v>3954</v>
      </c>
      <c r="D675" s="34" t="str">
        <f t="shared" si="51"/>
        <v>ELY1 RECT1 TRAFO1 PMP1 CMD ON/OP</v>
      </c>
      <c r="E675" s="31">
        <f t="shared" si="52"/>
        <v>32</v>
      </c>
      <c r="F675" s="32" t="str">
        <f t="shared" si="53"/>
        <v>ELECTROLYSIS SYSTEM ELECTROLYSIS ARRAY 1 RECTIFIER SYSTEMS RECTIFIER SYSTEM 1 TRANSFORMERS RECTIFIER TRANSFORMER OIL PUMP - TRANSFORMER MANUAL COMMAND ON/OPEN</v>
      </c>
      <c r="G675" s="29" t="s">
        <v>1614</v>
      </c>
      <c r="H675" s="29" t="s">
        <v>1615</v>
      </c>
      <c r="I675" s="29" t="str">
        <f t="shared" si="54"/>
        <v>01</v>
      </c>
      <c r="J675" s="29" t="s">
        <v>1616</v>
      </c>
      <c r="K675" s="29" t="s">
        <v>1842</v>
      </c>
      <c r="L675" s="29" t="s">
        <v>1843</v>
      </c>
      <c r="M675" s="29" t="s">
        <v>1619</v>
      </c>
      <c r="N675" s="29" t="s">
        <v>1844</v>
      </c>
      <c r="O675" s="29" t="s">
        <v>1926</v>
      </c>
      <c r="P675" s="29" t="s">
        <v>1927</v>
      </c>
      <c r="Q675" s="29" t="s">
        <v>1623</v>
      </c>
      <c r="R675" s="29" t="s">
        <v>1928</v>
      </c>
      <c r="S675" s="29" t="s">
        <v>2695</v>
      </c>
      <c r="T675" s="29" t="s">
        <v>3091</v>
      </c>
      <c r="U675" s="29" t="s">
        <v>3337</v>
      </c>
      <c r="V675" s="29" t="s">
        <v>3338</v>
      </c>
      <c r="W675" s="35" t="s">
        <v>1628</v>
      </c>
      <c r="X675" s="35" t="s">
        <v>1850</v>
      </c>
      <c r="Y675" s="35" t="s">
        <v>1930</v>
      </c>
      <c r="Z675" s="35" t="s">
        <v>1683</v>
      </c>
      <c r="AA675" s="35" t="s">
        <v>3339</v>
      </c>
      <c r="AB675" s="29" t="s">
        <v>2709</v>
      </c>
      <c r="AC675" s="35" t="s">
        <v>1633</v>
      </c>
      <c r="AD675" s="35" t="s">
        <v>1634</v>
      </c>
      <c r="AE675" s="35" t="s">
        <v>1634</v>
      </c>
      <c r="AF675" s="35" t="s">
        <v>1635</v>
      </c>
      <c r="AG675" s="35" t="s">
        <v>1728</v>
      </c>
      <c r="AI675" s="35"/>
      <c r="AJ675" s="35" t="s">
        <v>3340</v>
      </c>
      <c r="AK675" s="35" t="s">
        <v>1672</v>
      </c>
      <c r="AL675" s="29" t="s">
        <v>3362</v>
      </c>
      <c r="AM675" s="35"/>
      <c r="AN675" s="35"/>
      <c r="AO675" s="35"/>
      <c r="AP675" s="35"/>
      <c r="AQ675" s="35"/>
      <c r="AS675" s="35"/>
      <c r="AU675" s="35"/>
      <c r="AW675" s="35"/>
      <c r="AY675" s="35"/>
      <c r="AZ675" s="35"/>
      <c r="BA675" s="35"/>
      <c r="BB675" s="29" t="s">
        <v>3910</v>
      </c>
      <c r="BC675" s="29" t="s">
        <v>3342</v>
      </c>
      <c r="BD675" s="29" t="s">
        <v>3363</v>
      </c>
      <c r="BE675" s="29" t="s">
        <v>1805</v>
      </c>
      <c r="BF675" s="29" t="s">
        <v>1915</v>
      </c>
      <c r="BG675" s="29" t="s">
        <v>3092</v>
      </c>
      <c r="BI675" s="35"/>
      <c r="BJ675" s="35"/>
      <c r="BK675" s="29" t="str" cm="1">
        <f t="array" ref="BK675">_xlfn.UNIQUE(MID(BB675,16,14))</f>
        <v>U012UBB01UC001</v>
      </c>
    </row>
    <row r="676" spans="1:63" hidden="1" x14ac:dyDescent="0.3">
      <c r="A676" s="29" t="s">
        <v>1924</v>
      </c>
      <c r="B676" s="36" t="str">
        <f t="shared" si="50"/>
        <v>G01NHA01TA001-QA01</v>
      </c>
      <c r="C676" s="33" t="s">
        <v>3955</v>
      </c>
      <c r="D676" s="34" t="str">
        <f t="shared" si="51"/>
        <v>ELY1 RECT1 TRAFO1 SW1 CMD ON/OP</v>
      </c>
      <c r="E676" s="31">
        <f t="shared" si="52"/>
        <v>31</v>
      </c>
      <c r="F676" s="32" t="str">
        <f t="shared" si="53"/>
        <v>ELECTROLYSIS SYSTEM ELECTROLYSIS ARRAY 1 RECTIFIER SYSTEMS RECTIFIER SYSTEM 1 TRANSFORMERS RECTIFIER TRANSFORMER TAP CHANGER MANUEL COMMAND LOWER</v>
      </c>
      <c r="G676" s="29" t="s">
        <v>1614</v>
      </c>
      <c r="H676" s="29" t="s">
        <v>1615</v>
      </c>
      <c r="I676" s="29" t="str">
        <f t="shared" si="54"/>
        <v>01</v>
      </c>
      <c r="J676" s="29" t="s">
        <v>1616</v>
      </c>
      <c r="K676" s="29" t="s">
        <v>1842</v>
      </c>
      <c r="L676" s="29" t="s">
        <v>1843</v>
      </c>
      <c r="M676" s="29" t="s">
        <v>1619</v>
      </c>
      <c r="N676" s="29" t="s">
        <v>1844</v>
      </c>
      <c r="O676" s="29" t="s">
        <v>1926</v>
      </c>
      <c r="P676" s="29" t="s">
        <v>1927</v>
      </c>
      <c r="Q676" s="29" t="s">
        <v>1623</v>
      </c>
      <c r="R676" s="29" t="s">
        <v>1928</v>
      </c>
      <c r="S676" s="29" t="s">
        <v>2709</v>
      </c>
      <c r="T676" s="29" t="s">
        <v>3094</v>
      </c>
      <c r="U676" s="29" t="s">
        <v>3337</v>
      </c>
      <c r="V676" s="29" t="s">
        <v>3956</v>
      </c>
      <c r="W676" s="35" t="s">
        <v>1628</v>
      </c>
      <c r="X676" s="35" t="s">
        <v>1850</v>
      </c>
      <c r="Y676" s="35" t="s">
        <v>1930</v>
      </c>
      <c r="Z676" s="35" t="s">
        <v>2713</v>
      </c>
      <c r="AA676" s="35" t="s">
        <v>3339</v>
      </c>
      <c r="AB676" s="29" t="s">
        <v>3002</v>
      </c>
      <c r="AC676" s="35" t="s">
        <v>1633</v>
      </c>
      <c r="AD676" s="35" t="s">
        <v>1634</v>
      </c>
      <c r="AE676" s="35" t="s">
        <v>1634</v>
      </c>
      <c r="AF676" s="35" t="s">
        <v>1635</v>
      </c>
      <c r="AG676" s="35" t="s">
        <v>1728</v>
      </c>
      <c r="AI676" s="35"/>
      <c r="AJ676" s="35" t="s">
        <v>3340</v>
      </c>
      <c r="AK676" s="35" t="s">
        <v>1672</v>
      </c>
      <c r="AL676" s="29" t="s">
        <v>3362</v>
      </c>
      <c r="AM676" s="35"/>
      <c r="AN676" s="35"/>
      <c r="AO676" s="35"/>
      <c r="AP676" s="35"/>
      <c r="AQ676" s="35"/>
      <c r="AS676" s="35"/>
      <c r="AU676" s="35"/>
      <c r="AW676" s="35"/>
      <c r="AY676" s="35"/>
      <c r="AZ676" s="35"/>
      <c r="BA676" s="35"/>
      <c r="BB676" s="29" t="s">
        <v>3910</v>
      </c>
      <c r="BC676" s="29" t="s">
        <v>3342</v>
      </c>
      <c r="BD676" s="29" t="s">
        <v>3363</v>
      </c>
      <c r="BE676" s="29" t="s">
        <v>1805</v>
      </c>
      <c r="BF676" s="29" t="s">
        <v>1919</v>
      </c>
      <c r="BG676" s="29" t="s">
        <v>3116</v>
      </c>
      <c r="BI676" s="35"/>
      <c r="BJ676" s="35"/>
      <c r="BK676" s="29" t="str" cm="1">
        <f t="array" ref="BK676">_xlfn.UNIQUE(MID(BB676,16,14))</f>
        <v>U012UBB01UC001</v>
      </c>
    </row>
    <row r="677" spans="1:63" hidden="1" x14ac:dyDescent="0.3">
      <c r="A677" s="29" t="s">
        <v>1924</v>
      </c>
      <c r="B677" s="36" t="str">
        <f t="shared" si="50"/>
        <v>G01NHA01TA001-QA01</v>
      </c>
      <c r="C677" s="33" t="s">
        <v>3957</v>
      </c>
      <c r="D677" s="34" t="str">
        <f t="shared" si="51"/>
        <v>ELY1 RECT1 TRAFO1 SW1 CMD OFF/CL</v>
      </c>
      <c r="E677" s="31">
        <f t="shared" si="52"/>
        <v>32</v>
      </c>
      <c r="F677" s="32" t="str">
        <f t="shared" si="53"/>
        <v>ELECTROLYSIS SYSTEM ELECTROLYSIS ARRAY 1 RECTIFIER SYSTEMS RECTIFIER SYSTEM 1 TRANSFORMERS RECTIFIER TRANSFORMER TAP CHANGER MANUEL COMMAND HIGHER</v>
      </c>
      <c r="G677" s="29" t="s">
        <v>1614</v>
      </c>
      <c r="H677" s="29" t="s">
        <v>1615</v>
      </c>
      <c r="I677" s="29" t="str">
        <f t="shared" si="54"/>
        <v>01</v>
      </c>
      <c r="J677" s="29" t="s">
        <v>1616</v>
      </c>
      <c r="K677" s="29" t="s">
        <v>1842</v>
      </c>
      <c r="L677" s="29" t="s">
        <v>1843</v>
      </c>
      <c r="M677" s="29" t="s">
        <v>1619</v>
      </c>
      <c r="N677" s="29" t="s">
        <v>1844</v>
      </c>
      <c r="O677" s="29" t="s">
        <v>1926</v>
      </c>
      <c r="P677" s="29" t="s">
        <v>1927</v>
      </c>
      <c r="Q677" s="29" t="s">
        <v>1623</v>
      </c>
      <c r="R677" s="29" t="s">
        <v>1928</v>
      </c>
      <c r="S677" s="29" t="s">
        <v>2709</v>
      </c>
      <c r="T677" s="29" t="s">
        <v>3094</v>
      </c>
      <c r="U677" s="29" t="s">
        <v>3918</v>
      </c>
      <c r="V677" s="29" t="s">
        <v>3958</v>
      </c>
      <c r="W677" s="35" t="s">
        <v>1628</v>
      </c>
      <c r="X677" s="35" t="s">
        <v>1850</v>
      </c>
      <c r="Y677" s="35" t="s">
        <v>1930</v>
      </c>
      <c r="Z677" s="35" t="s">
        <v>2713</v>
      </c>
      <c r="AA677" s="35" t="s">
        <v>3919</v>
      </c>
      <c r="AB677" s="29" t="s">
        <v>3959</v>
      </c>
      <c r="AC677" s="35" t="s">
        <v>1633</v>
      </c>
      <c r="AD677" s="35" t="s">
        <v>1634</v>
      </c>
      <c r="AE677" s="35" t="s">
        <v>1634</v>
      </c>
      <c r="AF677" s="35" t="s">
        <v>1635</v>
      </c>
      <c r="AG677" s="35" t="s">
        <v>1728</v>
      </c>
      <c r="AI677" s="35"/>
      <c r="AJ677" s="35" t="s">
        <v>3340</v>
      </c>
      <c r="AK677" s="35" t="s">
        <v>1672</v>
      </c>
      <c r="AL677" s="29" t="s">
        <v>3362</v>
      </c>
      <c r="AM677" s="35"/>
      <c r="AN677" s="35"/>
      <c r="AO677" s="35"/>
      <c r="AP677" s="35"/>
      <c r="AQ677" s="35"/>
      <c r="AS677" s="35"/>
      <c r="AU677" s="35"/>
      <c r="AW677" s="35"/>
      <c r="AY677" s="35"/>
      <c r="AZ677" s="35"/>
      <c r="BA677" s="35"/>
      <c r="BB677" s="29" t="s">
        <v>3910</v>
      </c>
      <c r="BC677" s="29" t="s">
        <v>3342</v>
      </c>
      <c r="BD677" s="29" t="s">
        <v>3925</v>
      </c>
      <c r="BE677" s="29" t="s">
        <v>1805</v>
      </c>
      <c r="BF677" s="29" t="s">
        <v>1922</v>
      </c>
      <c r="BG677" s="29" t="s">
        <v>3116</v>
      </c>
      <c r="BI677" s="35"/>
      <c r="BJ677" s="35"/>
      <c r="BK677" s="29" t="str" cm="1">
        <f t="array" ref="BK677">_xlfn.UNIQUE(MID(BB677,16,14))</f>
        <v>U012UBB01UC001</v>
      </c>
    </row>
    <row r="678" spans="1:63" hidden="1" x14ac:dyDescent="0.3">
      <c r="A678" s="29" t="s">
        <v>3129</v>
      </c>
      <c r="B678" s="36" t="str">
        <f t="shared" si="50"/>
        <v>G01NHA01TB001-GQ01</v>
      </c>
      <c r="C678" s="33" t="s">
        <v>3960</v>
      </c>
      <c r="D678" s="34" t="str">
        <f t="shared" si="51"/>
        <v>ELY1 RECT1 RECT1 RAD BLOW CMD ON/OP</v>
      </c>
      <c r="E678" s="31">
        <f t="shared" si="52"/>
        <v>35</v>
      </c>
      <c r="F678" s="32" t="str">
        <f t="shared" si="53"/>
        <v>ELECTROLYSIS SYSTEM ELECTROLYSIS ARRAY 1 RECTIFIER SYSTEMS RECTIFIER SYSTEM 1 RECTIFIERS RECTIFIER 1 RADIAL BLOWER MANUAL COMMAND ON/OPEN</v>
      </c>
      <c r="G678" s="29" t="s">
        <v>1614</v>
      </c>
      <c r="H678" s="29" t="s">
        <v>1615</v>
      </c>
      <c r="I678" s="29" t="str">
        <f t="shared" si="54"/>
        <v>01</v>
      </c>
      <c r="J678" s="29" t="s">
        <v>1616</v>
      </c>
      <c r="K678" s="29" t="s">
        <v>1842</v>
      </c>
      <c r="L678" s="29" t="s">
        <v>1843</v>
      </c>
      <c r="M678" s="29" t="s">
        <v>1619</v>
      </c>
      <c r="N678" s="29" t="s">
        <v>1844</v>
      </c>
      <c r="O678" s="29" t="s">
        <v>3131</v>
      </c>
      <c r="P678" s="29" t="s">
        <v>3132</v>
      </c>
      <c r="Q678" s="29" t="s">
        <v>1623</v>
      </c>
      <c r="R678" s="29" t="s">
        <v>3133</v>
      </c>
      <c r="S678" s="29" t="s">
        <v>3134</v>
      </c>
      <c r="T678" s="29" t="s">
        <v>3135</v>
      </c>
      <c r="U678" s="29" t="s">
        <v>3337</v>
      </c>
      <c r="V678" s="29" t="s">
        <v>3338</v>
      </c>
      <c r="W678" s="35" t="s">
        <v>1628</v>
      </c>
      <c r="X678" s="35" t="s">
        <v>1850</v>
      </c>
      <c r="Y678" s="35" t="s">
        <v>1850</v>
      </c>
      <c r="Z678" s="35" t="s">
        <v>3136</v>
      </c>
      <c r="AA678" s="35" t="s">
        <v>3339</v>
      </c>
      <c r="AC678" s="35" t="s">
        <v>1633</v>
      </c>
      <c r="AD678" s="35" t="s">
        <v>1634</v>
      </c>
      <c r="AE678" s="35" t="s">
        <v>1634</v>
      </c>
      <c r="AF678" s="35" t="s">
        <v>1635</v>
      </c>
      <c r="AG678" s="35" t="s">
        <v>1728</v>
      </c>
      <c r="AI678" s="35"/>
      <c r="AJ678" s="35" t="s">
        <v>3340</v>
      </c>
      <c r="AK678" s="35" t="s">
        <v>1672</v>
      </c>
      <c r="AL678" s="29" t="s">
        <v>1729</v>
      </c>
      <c r="AM678" s="35"/>
      <c r="AN678" s="35"/>
      <c r="AO678" s="35"/>
      <c r="AP678" s="35"/>
      <c r="AQ678" s="35"/>
      <c r="AS678" s="35"/>
      <c r="AU678" s="35"/>
      <c r="AW678" s="35"/>
      <c r="AY678" s="35"/>
      <c r="AZ678" s="35"/>
      <c r="BA678" s="35"/>
      <c r="BB678" s="29" t="s">
        <v>3910</v>
      </c>
      <c r="BC678" s="29" t="s">
        <v>3342</v>
      </c>
      <c r="BD678" s="29" t="s">
        <v>3363</v>
      </c>
      <c r="BE678" s="29" t="s">
        <v>1805</v>
      </c>
      <c r="BF678" s="29" t="s">
        <v>2035</v>
      </c>
      <c r="BI678" s="35"/>
      <c r="BJ678" s="35"/>
      <c r="BK678" s="29" t="str" cm="1">
        <f t="array" ref="BK678">_xlfn.UNIQUE(MID(BB678,16,14))</f>
        <v>U012UBB01UC001</v>
      </c>
    </row>
    <row r="679" spans="1:63" hidden="1" x14ac:dyDescent="0.3">
      <c r="A679" s="29" t="s">
        <v>3129</v>
      </c>
      <c r="B679" s="36" t="str">
        <f t="shared" si="50"/>
        <v>G01NHA01TB001-KF01</v>
      </c>
      <c r="C679" s="33" t="s">
        <v>3961</v>
      </c>
      <c r="D679" s="34" t="str">
        <f t="shared" si="51"/>
        <v>ELY1 RECT1 RECT1 OUTP MOD AL/PROT1</v>
      </c>
      <c r="E679" s="31">
        <f t="shared" si="52"/>
        <v>34</v>
      </c>
      <c r="F679" s="32" t="str">
        <f t="shared" si="53"/>
        <v>ELECTROLYSIS SYSTEM ELECTROLYSIS ARRAY 1 RECTIFIER SYSTEMS RECTIFIER SYSTEM 1 RECTIFIERS RECTIFIER 1 SINAMICS DCM CONTROL MODULE WITHOUT POWER SECTION COMPONENT PROTECTION</v>
      </c>
      <c r="G679" s="29" t="s">
        <v>1614</v>
      </c>
      <c r="H679" s="29" t="s">
        <v>1615</v>
      </c>
      <c r="I679" s="29" t="str">
        <f t="shared" si="54"/>
        <v>01</v>
      </c>
      <c r="J679" s="29" t="s">
        <v>1616</v>
      </c>
      <c r="K679" s="29" t="s">
        <v>1842</v>
      </c>
      <c r="L679" s="29" t="s">
        <v>1843</v>
      </c>
      <c r="M679" s="29" t="s">
        <v>1619</v>
      </c>
      <c r="N679" s="29" t="s">
        <v>1844</v>
      </c>
      <c r="O679" s="29" t="s">
        <v>3131</v>
      </c>
      <c r="P679" s="29" t="s">
        <v>3132</v>
      </c>
      <c r="Q679" s="29" t="s">
        <v>1623</v>
      </c>
      <c r="R679" s="29" t="s">
        <v>3133</v>
      </c>
      <c r="S679" s="29" t="s">
        <v>3002</v>
      </c>
      <c r="T679" s="29" t="s">
        <v>3138</v>
      </c>
      <c r="U679" s="29" t="s">
        <v>3962</v>
      </c>
      <c r="V679" s="29" t="s">
        <v>2864</v>
      </c>
      <c r="W679" s="35" t="s">
        <v>1628</v>
      </c>
      <c r="X679" s="35" t="s">
        <v>1850</v>
      </c>
      <c r="Y679" s="35" t="s">
        <v>1850</v>
      </c>
      <c r="Z679" s="35" t="s">
        <v>3005</v>
      </c>
      <c r="AA679" s="35" t="s">
        <v>3963</v>
      </c>
      <c r="AB679" s="29" t="s">
        <v>1865</v>
      </c>
      <c r="AC679" s="35" t="s">
        <v>1633</v>
      </c>
      <c r="AD679" s="35" t="s">
        <v>1634</v>
      </c>
      <c r="AE679" s="35" t="s">
        <v>1634</v>
      </c>
      <c r="AF679" s="35" t="s">
        <v>1635</v>
      </c>
      <c r="AG679" s="35" t="s">
        <v>1728</v>
      </c>
      <c r="AI679" s="35"/>
      <c r="AJ679" s="35" t="s">
        <v>3340</v>
      </c>
      <c r="AK679" s="35" t="s">
        <v>1638</v>
      </c>
      <c r="AL679" s="29" t="s">
        <v>3964</v>
      </c>
      <c r="AM679" s="35"/>
      <c r="AN679" s="35"/>
      <c r="AO679" s="35"/>
      <c r="AP679" s="35"/>
      <c r="AQ679" s="35"/>
      <c r="AS679" s="35"/>
      <c r="AU679" s="35"/>
      <c r="AW679" s="35"/>
      <c r="AY679" s="35"/>
      <c r="AZ679" s="35" t="s">
        <v>1642</v>
      </c>
      <c r="BA679" s="35" t="s">
        <v>2002</v>
      </c>
      <c r="BB679" s="29" t="s">
        <v>2756</v>
      </c>
      <c r="BC679" s="29" t="s">
        <v>3914</v>
      </c>
      <c r="BD679" s="29" t="s">
        <v>3965</v>
      </c>
      <c r="BE679" s="29" t="s">
        <v>3962</v>
      </c>
      <c r="BF679" s="29" t="s">
        <v>2035</v>
      </c>
      <c r="BG679" s="29" t="s">
        <v>3141</v>
      </c>
      <c r="BH679" s="29" t="s">
        <v>1902</v>
      </c>
      <c r="BI679" s="35"/>
      <c r="BJ679" s="35"/>
      <c r="BK679" s="29" t="str" cm="1">
        <f t="array" ref="BK679">_xlfn.UNIQUE(MID(BB679,16,14))</f>
        <v>U012UBB01UC001</v>
      </c>
    </row>
    <row r="680" spans="1:63" hidden="1" x14ac:dyDescent="0.3">
      <c r="A680" s="29" t="s">
        <v>3142</v>
      </c>
      <c r="B680" s="36" t="str">
        <f t="shared" si="50"/>
        <v>G01NHA01TB002-GQ01</v>
      </c>
      <c r="C680" s="33" t="s">
        <v>3966</v>
      </c>
      <c r="D680" s="34" t="str">
        <f t="shared" si="51"/>
        <v>ELY1 RECT1 RECT2 RAD BLOW CMD ON/OP</v>
      </c>
      <c r="E680" s="31">
        <f t="shared" si="52"/>
        <v>35</v>
      </c>
      <c r="F680" s="32" t="str">
        <f t="shared" si="53"/>
        <v>ELECTROLYSIS SYSTEM ELECTROLYSIS ARRAY 1 RECTIFIER SYSTEMS RECTIFIER SYSTEM 1 RECTIFIERS RECTIFIER 2 RADIAL BLOWER MANUAL COMMAND ON/OPEN</v>
      </c>
      <c r="G680" s="29" t="s">
        <v>1614</v>
      </c>
      <c r="H680" s="29" t="s">
        <v>1615</v>
      </c>
      <c r="I680" s="29" t="str">
        <f t="shared" si="54"/>
        <v>01</v>
      </c>
      <c r="J680" s="29" t="s">
        <v>1616</v>
      </c>
      <c r="K680" s="29" t="s">
        <v>1842</v>
      </c>
      <c r="L680" s="29" t="s">
        <v>1843</v>
      </c>
      <c r="M680" s="29" t="s">
        <v>1619</v>
      </c>
      <c r="N680" s="29" t="s">
        <v>1844</v>
      </c>
      <c r="O680" s="29" t="s">
        <v>3131</v>
      </c>
      <c r="P680" s="29" t="s">
        <v>3132</v>
      </c>
      <c r="Q680" s="29" t="s">
        <v>1872</v>
      </c>
      <c r="R680" s="29" t="s">
        <v>3144</v>
      </c>
      <c r="S680" s="29" t="s">
        <v>3134</v>
      </c>
      <c r="T680" s="29" t="s">
        <v>3135</v>
      </c>
      <c r="U680" s="29" t="s">
        <v>3337</v>
      </c>
      <c r="V680" s="29" t="s">
        <v>3338</v>
      </c>
      <c r="W680" s="35" t="s">
        <v>1628</v>
      </c>
      <c r="X680" s="35" t="s">
        <v>1850</v>
      </c>
      <c r="Y680" s="35" t="s">
        <v>3145</v>
      </c>
      <c r="Z680" s="35" t="s">
        <v>3136</v>
      </c>
      <c r="AA680" s="35" t="s">
        <v>3339</v>
      </c>
      <c r="AC680" s="35" t="s">
        <v>1633</v>
      </c>
      <c r="AD680" s="35" t="s">
        <v>1634</v>
      </c>
      <c r="AE680" s="35" t="s">
        <v>1634</v>
      </c>
      <c r="AF680" s="35" t="s">
        <v>1635</v>
      </c>
      <c r="AG680" s="35" t="s">
        <v>1728</v>
      </c>
      <c r="AI680" s="35"/>
      <c r="AJ680" s="35" t="s">
        <v>3340</v>
      </c>
      <c r="AK680" s="35" t="s">
        <v>1672</v>
      </c>
      <c r="AL680" s="29" t="s">
        <v>1729</v>
      </c>
      <c r="AM680" s="35"/>
      <c r="AN680" s="35"/>
      <c r="AO680" s="35"/>
      <c r="AP680" s="35"/>
      <c r="AQ680" s="35"/>
      <c r="AS680" s="35"/>
      <c r="AU680" s="35"/>
      <c r="AW680" s="35"/>
      <c r="AY680" s="35"/>
      <c r="AZ680" s="35"/>
      <c r="BA680" s="35"/>
      <c r="BB680" s="29" t="s">
        <v>3910</v>
      </c>
      <c r="BC680" s="29" t="s">
        <v>3342</v>
      </c>
      <c r="BD680" s="29" t="s">
        <v>3363</v>
      </c>
      <c r="BE680" s="29" t="s">
        <v>1805</v>
      </c>
      <c r="BF680" s="29" t="s">
        <v>1969</v>
      </c>
      <c r="BI680" s="35"/>
      <c r="BJ680" s="35"/>
      <c r="BK680" s="29" t="str" cm="1">
        <f t="array" ref="BK680">_xlfn.UNIQUE(MID(BB680,16,14))</f>
        <v>U012UBB01UC001</v>
      </c>
    </row>
    <row r="681" spans="1:63" hidden="1" x14ac:dyDescent="0.3">
      <c r="A681" s="29" t="s">
        <v>3142</v>
      </c>
      <c r="B681" s="36" t="str">
        <f t="shared" si="50"/>
        <v>G01NHA01TB002-KF01</v>
      </c>
      <c r="C681" s="33" t="s">
        <v>3967</v>
      </c>
      <c r="D681" s="34" t="str">
        <f t="shared" si="51"/>
        <v>ELY1 RECT1 RECT2 OUTP MOD AL/PROT1</v>
      </c>
      <c r="E681" s="31">
        <f t="shared" si="52"/>
        <v>34</v>
      </c>
      <c r="F681" s="32" t="str">
        <f t="shared" si="53"/>
        <v>ELECTROLYSIS SYSTEM ELECTROLYSIS ARRAY 1 RECTIFIER SYSTEMS RECTIFIER SYSTEM 1 RECTIFIERS RECTIFIER 2 SINAMICS DCM CONTROL MODULE WITHOUT POWER SECTION COMPONENT PROTECTION</v>
      </c>
      <c r="G681" s="29" t="s">
        <v>1614</v>
      </c>
      <c r="H681" s="29" t="s">
        <v>1615</v>
      </c>
      <c r="I681" s="29" t="str">
        <f t="shared" si="54"/>
        <v>01</v>
      </c>
      <c r="J681" s="29" t="s">
        <v>1616</v>
      </c>
      <c r="K681" s="29" t="s">
        <v>1842</v>
      </c>
      <c r="L681" s="29" t="s">
        <v>1843</v>
      </c>
      <c r="M681" s="29" t="s">
        <v>1619</v>
      </c>
      <c r="N681" s="29" t="s">
        <v>1844</v>
      </c>
      <c r="O681" s="29" t="s">
        <v>3131</v>
      </c>
      <c r="P681" s="29" t="s">
        <v>3132</v>
      </c>
      <c r="Q681" s="29" t="s">
        <v>1872</v>
      </c>
      <c r="R681" s="29" t="s">
        <v>3144</v>
      </c>
      <c r="S681" s="29" t="s">
        <v>3002</v>
      </c>
      <c r="T681" s="29" t="s">
        <v>3138</v>
      </c>
      <c r="U681" s="29" t="s">
        <v>3962</v>
      </c>
      <c r="V681" s="29" t="s">
        <v>2864</v>
      </c>
      <c r="W681" s="35" t="s">
        <v>1628</v>
      </c>
      <c r="X681" s="35" t="s">
        <v>1850</v>
      </c>
      <c r="Y681" s="35" t="s">
        <v>3145</v>
      </c>
      <c r="Z681" s="35" t="s">
        <v>3005</v>
      </c>
      <c r="AA681" s="35" t="s">
        <v>3963</v>
      </c>
      <c r="AB681" s="29" t="s">
        <v>1865</v>
      </c>
      <c r="AC681" s="35" t="s">
        <v>1633</v>
      </c>
      <c r="AD681" s="35" t="s">
        <v>1634</v>
      </c>
      <c r="AE681" s="35" t="s">
        <v>1634</v>
      </c>
      <c r="AF681" s="35" t="s">
        <v>1635</v>
      </c>
      <c r="AG681" s="35" t="s">
        <v>1728</v>
      </c>
      <c r="AI681" s="35"/>
      <c r="AJ681" s="35" t="s">
        <v>3340</v>
      </c>
      <c r="AK681" s="35" t="s">
        <v>1638</v>
      </c>
      <c r="AL681" s="29" t="s">
        <v>3964</v>
      </c>
      <c r="AM681" s="35"/>
      <c r="AN681" s="35"/>
      <c r="AO681" s="35"/>
      <c r="AP681" s="35"/>
      <c r="AQ681" s="35"/>
      <c r="AS681" s="35"/>
      <c r="AU681" s="35"/>
      <c r="AW681" s="35"/>
      <c r="AY681" s="35"/>
      <c r="AZ681" s="35" t="s">
        <v>1642</v>
      </c>
      <c r="BA681" s="35" t="s">
        <v>2002</v>
      </c>
      <c r="BB681" s="29" t="s">
        <v>2756</v>
      </c>
      <c r="BC681" s="29" t="s">
        <v>3914</v>
      </c>
      <c r="BD681" s="29" t="s">
        <v>3965</v>
      </c>
      <c r="BE681" s="29" t="s">
        <v>3962</v>
      </c>
      <c r="BF681" s="29" t="s">
        <v>1969</v>
      </c>
      <c r="BG681" s="29" t="s">
        <v>3147</v>
      </c>
      <c r="BH681" s="29" t="s">
        <v>1902</v>
      </c>
      <c r="BI681" s="35"/>
      <c r="BJ681" s="35"/>
      <c r="BK681" s="29" t="str" cm="1">
        <f t="array" ref="BK681">_xlfn.UNIQUE(MID(BB681,16,14))</f>
        <v>U012UBB01UC001</v>
      </c>
    </row>
    <row r="682" spans="1:63" hidden="1" x14ac:dyDescent="0.3">
      <c r="A682" s="29" t="s">
        <v>3148</v>
      </c>
      <c r="B682" s="36" t="str">
        <f t="shared" si="50"/>
        <v>G01NHA01TB003-GQ01</v>
      </c>
      <c r="C682" s="33" t="s">
        <v>3968</v>
      </c>
      <c r="D682" s="34" t="str">
        <f t="shared" si="51"/>
        <v>ELY1 RECT1 RECT3 RAD BLOW CMD ON/OP</v>
      </c>
      <c r="E682" s="31">
        <f t="shared" si="52"/>
        <v>35</v>
      </c>
      <c r="F682" s="32" t="str">
        <f t="shared" si="53"/>
        <v>ELECTROLYSIS SYSTEM ELECTROLYSIS ARRAY 1 RECTIFIER SYSTEMS RECTIFIER SYSTEM 1 RECTIFIERS RECTIFIER 3 RADIAL BLOWER MANUAL COMMAND ON/OPEN</v>
      </c>
      <c r="G682" s="29" t="s">
        <v>1614</v>
      </c>
      <c r="H682" s="29" t="s">
        <v>1615</v>
      </c>
      <c r="I682" s="29" t="str">
        <f t="shared" si="54"/>
        <v>01</v>
      </c>
      <c r="J682" s="29" t="s">
        <v>1616</v>
      </c>
      <c r="K682" s="29" t="s">
        <v>1842</v>
      </c>
      <c r="L682" s="29" t="s">
        <v>1843</v>
      </c>
      <c r="M682" s="29" t="s">
        <v>1619</v>
      </c>
      <c r="N682" s="29" t="s">
        <v>1844</v>
      </c>
      <c r="O682" s="29" t="s">
        <v>3131</v>
      </c>
      <c r="P682" s="29" t="s">
        <v>3132</v>
      </c>
      <c r="Q682" s="29" t="s">
        <v>1830</v>
      </c>
      <c r="R682" s="29" t="s">
        <v>3150</v>
      </c>
      <c r="S682" s="29" t="s">
        <v>3134</v>
      </c>
      <c r="T682" s="29" t="s">
        <v>3135</v>
      </c>
      <c r="U682" s="29" t="s">
        <v>3337</v>
      </c>
      <c r="V682" s="29" t="s">
        <v>3338</v>
      </c>
      <c r="W682" s="35" t="s">
        <v>1628</v>
      </c>
      <c r="X682" s="35" t="s">
        <v>1850</v>
      </c>
      <c r="Y682" s="35" t="s">
        <v>3151</v>
      </c>
      <c r="Z682" s="35" t="s">
        <v>3136</v>
      </c>
      <c r="AA682" s="35" t="s">
        <v>3339</v>
      </c>
      <c r="AC682" s="35" t="s">
        <v>1633</v>
      </c>
      <c r="AD682" s="35" t="s">
        <v>1634</v>
      </c>
      <c r="AE682" s="35" t="s">
        <v>1634</v>
      </c>
      <c r="AF682" s="35" t="s">
        <v>1635</v>
      </c>
      <c r="AG682" s="35" t="s">
        <v>1728</v>
      </c>
      <c r="AI682" s="35"/>
      <c r="AJ682" s="35" t="s">
        <v>3340</v>
      </c>
      <c r="AK682" s="35" t="s">
        <v>1672</v>
      </c>
      <c r="AL682" s="29" t="s">
        <v>1729</v>
      </c>
      <c r="AM682" s="35"/>
      <c r="AN682" s="35"/>
      <c r="AO682" s="35"/>
      <c r="AP682" s="35"/>
      <c r="AQ682" s="35"/>
      <c r="AS682" s="35"/>
      <c r="AU682" s="35"/>
      <c r="AW682" s="35"/>
      <c r="AY682" s="35"/>
      <c r="AZ682" s="35"/>
      <c r="BA682" s="35"/>
      <c r="BB682" s="29" t="s">
        <v>3950</v>
      </c>
      <c r="BC682" s="29" t="s">
        <v>3342</v>
      </c>
      <c r="BD682" s="29" t="s">
        <v>3363</v>
      </c>
      <c r="BE682" s="29" t="s">
        <v>1805</v>
      </c>
      <c r="BF682" s="29" t="s">
        <v>1909</v>
      </c>
      <c r="BI682" s="35"/>
      <c r="BJ682" s="35"/>
      <c r="BK682" s="29" t="str" cm="1">
        <f t="array" ref="BK682">_xlfn.UNIQUE(MID(BB682,16,14))</f>
        <v>U012UBB01UC002</v>
      </c>
    </row>
    <row r="683" spans="1:63" hidden="1" x14ac:dyDescent="0.3">
      <c r="A683" s="29" t="s">
        <v>3148</v>
      </c>
      <c r="B683" s="36" t="str">
        <f t="shared" si="50"/>
        <v>G01NHA01TB003-KF01</v>
      </c>
      <c r="C683" s="33" t="s">
        <v>3969</v>
      </c>
      <c r="D683" s="34" t="str">
        <f t="shared" si="51"/>
        <v>ELY1 RECT1 RECT3 OUTP MOD AL/PROT1</v>
      </c>
      <c r="E683" s="31">
        <f t="shared" si="52"/>
        <v>34</v>
      </c>
      <c r="F683" s="32" t="str">
        <f t="shared" si="53"/>
        <v>ELECTROLYSIS SYSTEM ELECTROLYSIS ARRAY 1 RECTIFIER SYSTEMS RECTIFIER SYSTEM 1 RECTIFIERS RECTIFIER 3 SINAMICS DCM CONTROL MODULE WITHOUT POWER SECTION COMPONENT PROTECTION</v>
      </c>
      <c r="G683" s="29" t="s">
        <v>1614</v>
      </c>
      <c r="H683" s="29" t="s">
        <v>1615</v>
      </c>
      <c r="I683" s="29" t="str">
        <f t="shared" si="54"/>
        <v>01</v>
      </c>
      <c r="J683" s="29" t="s">
        <v>1616</v>
      </c>
      <c r="K683" s="29" t="s">
        <v>1842</v>
      </c>
      <c r="L683" s="29" t="s">
        <v>1843</v>
      </c>
      <c r="M683" s="29" t="s">
        <v>1619</v>
      </c>
      <c r="N683" s="29" t="s">
        <v>1844</v>
      </c>
      <c r="O683" s="29" t="s">
        <v>3131</v>
      </c>
      <c r="P683" s="29" t="s">
        <v>3132</v>
      </c>
      <c r="Q683" s="29" t="s">
        <v>1830</v>
      </c>
      <c r="R683" s="29" t="s">
        <v>3150</v>
      </c>
      <c r="S683" s="29" t="s">
        <v>3002</v>
      </c>
      <c r="T683" s="29" t="s">
        <v>3138</v>
      </c>
      <c r="U683" s="29" t="s">
        <v>3962</v>
      </c>
      <c r="V683" s="29" t="s">
        <v>2864</v>
      </c>
      <c r="W683" s="35" t="s">
        <v>1628</v>
      </c>
      <c r="X683" s="35" t="s">
        <v>1850</v>
      </c>
      <c r="Y683" s="35" t="s">
        <v>3151</v>
      </c>
      <c r="Z683" s="35" t="s">
        <v>3005</v>
      </c>
      <c r="AA683" s="35" t="s">
        <v>3963</v>
      </c>
      <c r="AB683" s="29" t="s">
        <v>1865</v>
      </c>
      <c r="AC683" s="35" t="s">
        <v>1633</v>
      </c>
      <c r="AD683" s="35" t="s">
        <v>1634</v>
      </c>
      <c r="AE683" s="35" t="s">
        <v>1634</v>
      </c>
      <c r="AF683" s="35" t="s">
        <v>1635</v>
      </c>
      <c r="AG683" s="35" t="s">
        <v>1728</v>
      </c>
      <c r="AI683" s="35"/>
      <c r="AJ683" s="35" t="s">
        <v>3340</v>
      </c>
      <c r="AK683" s="35" t="s">
        <v>1638</v>
      </c>
      <c r="AL683" s="29" t="s">
        <v>3964</v>
      </c>
      <c r="AM683" s="35"/>
      <c r="AN683" s="35"/>
      <c r="AO683" s="35"/>
      <c r="AP683" s="35"/>
      <c r="AQ683" s="35"/>
      <c r="AS683" s="35"/>
      <c r="AU683" s="35"/>
      <c r="AW683" s="35"/>
      <c r="AY683" s="35"/>
      <c r="AZ683" s="35" t="s">
        <v>1642</v>
      </c>
      <c r="BA683" s="35" t="s">
        <v>2002</v>
      </c>
      <c r="BB683" s="29" t="s">
        <v>2894</v>
      </c>
      <c r="BC683" s="29" t="s">
        <v>3914</v>
      </c>
      <c r="BD683" s="29" t="s">
        <v>3965</v>
      </c>
      <c r="BE683" s="29" t="s">
        <v>3962</v>
      </c>
      <c r="BF683" s="29" t="s">
        <v>2035</v>
      </c>
      <c r="BG683" s="29" t="s">
        <v>3156</v>
      </c>
      <c r="BH683" s="29" t="s">
        <v>1902</v>
      </c>
      <c r="BI683" s="35"/>
      <c r="BJ683" s="35"/>
      <c r="BK683" s="29" t="str" cm="1">
        <f t="array" ref="BK683">_xlfn.UNIQUE(MID(BB683,16,14))</f>
        <v>U012UBB01UC002</v>
      </c>
    </row>
    <row r="684" spans="1:63" hidden="1" x14ac:dyDescent="0.3">
      <c r="A684" s="29" t="s">
        <v>3157</v>
      </c>
      <c r="B684" s="36" t="str">
        <f t="shared" si="50"/>
        <v>G01NHA01TB004-GQ01</v>
      </c>
      <c r="C684" s="33" t="s">
        <v>3970</v>
      </c>
      <c r="D684" s="34" t="str">
        <f t="shared" si="51"/>
        <v>ELY1 RECT1 RECT4 RAD BLOW CMD ON/OP</v>
      </c>
      <c r="E684" s="31">
        <f t="shared" si="52"/>
        <v>35</v>
      </c>
      <c r="F684" s="32" t="str">
        <f t="shared" si="53"/>
        <v>ELECTROLYSIS SYSTEM ELECTROLYSIS ARRAY 1 RECTIFIER SYSTEMS RECTIFIER SYSTEM 1 RECTIFIERS RECTIFIER 4 RADIAL BLOWER MANUAL COMMAND ON/OPEN</v>
      </c>
      <c r="G684" s="29" t="s">
        <v>1614</v>
      </c>
      <c r="H684" s="29" t="s">
        <v>1615</v>
      </c>
      <c r="I684" s="29" t="str">
        <f t="shared" si="54"/>
        <v>01</v>
      </c>
      <c r="J684" s="29" t="s">
        <v>1616</v>
      </c>
      <c r="K684" s="29" t="s">
        <v>1842</v>
      </c>
      <c r="L684" s="29" t="s">
        <v>1843</v>
      </c>
      <c r="M684" s="29" t="s">
        <v>1619</v>
      </c>
      <c r="N684" s="29" t="s">
        <v>1844</v>
      </c>
      <c r="O684" s="29" t="s">
        <v>3131</v>
      </c>
      <c r="P684" s="29" t="s">
        <v>3132</v>
      </c>
      <c r="Q684" s="29" t="s">
        <v>1838</v>
      </c>
      <c r="R684" s="29" t="s">
        <v>3159</v>
      </c>
      <c r="S684" s="29" t="s">
        <v>3134</v>
      </c>
      <c r="T684" s="29" t="s">
        <v>3135</v>
      </c>
      <c r="U684" s="29" t="s">
        <v>3337</v>
      </c>
      <c r="V684" s="29" t="s">
        <v>3338</v>
      </c>
      <c r="W684" s="35" t="s">
        <v>1628</v>
      </c>
      <c r="X684" s="35" t="s">
        <v>1850</v>
      </c>
      <c r="Y684" s="35" t="s">
        <v>3160</v>
      </c>
      <c r="Z684" s="35" t="s">
        <v>3136</v>
      </c>
      <c r="AA684" s="35" t="s">
        <v>3339</v>
      </c>
      <c r="AC684" s="35" t="s">
        <v>1633</v>
      </c>
      <c r="AD684" s="35" t="s">
        <v>1634</v>
      </c>
      <c r="AE684" s="35" t="s">
        <v>1634</v>
      </c>
      <c r="AF684" s="35" t="s">
        <v>1635</v>
      </c>
      <c r="AG684" s="35" t="s">
        <v>1728</v>
      </c>
      <c r="AI684" s="35"/>
      <c r="AJ684" s="35" t="s">
        <v>3340</v>
      </c>
      <c r="AK684" s="35" t="s">
        <v>1672</v>
      </c>
      <c r="AL684" s="29" t="s">
        <v>1729</v>
      </c>
      <c r="AM684" s="35"/>
      <c r="AN684" s="35"/>
      <c r="AO684" s="35"/>
      <c r="AP684" s="35"/>
      <c r="AQ684" s="35"/>
      <c r="AS684" s="35"/>
      <c r="AU684" s="35"/>
      <c r="AW684" s="35"/>
      <c r="AY684" s="35"/>
      <c r="AZ684" s="35"/>
      <c r="BA684" s="35"/>
      <c r="BB684" s="29" t="s">
        <v>3950</v>
      </c>
      <c r="BC684" s="29" t="s">
        <v>3342</v>
      </c>
      <c r="BD684" s="29" t="s">
        <v>3363</v>
      </c>
      <c r="BE684" s="29" t="s">
        <v>1805</v>
      </c>
      <c r="BF684" s="29" t="s">
        <v>1915</v>
      </c>
      <c r="BI684" s="35"/>
      <c r="BJ684" s="35"/>
      <c r="BK684" s="29" t="str" cm="1">
        <f t="array" ref="BK684">_xlfn.UNIQUE(MID(BB684,16,14))</f>
        <v>U012UBB01UC002</v>
      </c>
    </row>
    <row r="685" spans="1:63" hidden="1" x14ac:dyDescent="0.3">
      <c r="A685" s="29" t="s">
        <v>3157</v>
      </c>
      <c r="B685" s="36" t="str">
        <f t="shared" si="50"/>
        <v>G01NHA01TB004-KF01</v>
      </c>
      <c r="C685" s="33" t="s">
        <v>3971</v>
      </c>
      <c r="D685" s="34" t="str">
        <f t="shared" si="51"/>
        <v>ELY1 RECT1 RECT4 OUTP MOD AL/PROT1</v>
      </c>
      <c r="E685" s="31">
        <f t="shared" si="52"/>
        <v>34</v>
      </c>
      <c r="F685" s="32" t="str">
        <f t="shared" si="53"/>
        <v>ELECTROLYSIS SYSTEM ELECTROLYSIS ARRAY 1 RECTIFIER SYSTEMS RECTIFIER SYSTEM 1 RECTIFIERS RECTIFIER 4 SINAMICS DCM CONTROL MODULE WITHOUT POWER SECTION COMPONENT PROTECTION</v>
      </c>
      <c r="G685" s="29" t="s">
        <v>1614</v>
      </c>
      <c r="H685" s="29" t="s">
        <v>1615</v>
      </c>
      <c r="I685" s="29" t="str">
        <f t="shared" si="54"/>
        <v>01</v>
      </c>
      <c r="J685" s="29" t="s">
        <v>1616</v>
      </c>
      <c r="K685" s="29" t="s">
        <v>1842</v>
      </c>
      <c r="L685" s="29" t="s">
        <v>1843</v>
      </c>
      <c r="M685" s="29" t="s">
        <v>1619</v>
      </c>
      <c r="N685" s="29" t="s">
        <v>1844</v>
      </c>
      <c r="O685" s="29" t="s">
        <v>3131</v>
      </c>
      <c r="P685" s="29" t="s">
        <v>3132</v>
      </c>
      <c r="Q685" s="29" t="s">
        <v>1838</v>
      </c>
      <c r="R685" s="29" t="s">
        <v>3159</v>
      </c>
      <c r="S685" s="29" t="s">
        <v>3002</v>
      </c>
      <c r="T685" s="29" t="s">
        <v>3138</v>
      </c>
      <c r="U685" s="29" t="s">
        <v>3962</v>
      </c>
      <c r="V685" s="29" t="s">
        <v>2864</v>
      </c>
      <c r="W685" s="35" t="s">
        <v>1628</v>
      </c>
      <c r="X685" s="35" t="s">
        <v>1850</v>
      </c>
      <c r="Y685" s="35" t="s">
        <v>3160</v>
      </c>
      <c r="Z685" s="35" t="s">
        <v>3005</v>
      </c>
      <c r="AA685" s="35" t="s">
        <v>3963</v>
      </c>
      <c r="AB685" s="29" t="s">
        <v>1865</v>
      </c>
      <c r="AC685" s="35" t="s">
        <v>1633</v>
      </c>
      <c r="AD685" s="35" t="s">
        <v>1634</v>
      </c>
      <c r="AE685" s="35" t="s">
        <v>1634</v>
      </c>
      <c r="AF685" s="35" t="s">
        <v>1635</v>
      </c>
      <c r="AG685" s="35" t="s">
        <v>1728</v>
      </c>
      <c r="AI685" s="35"/>
      <c r="AJ685" s="35" t="s">
        <v>3340</v>
      </c>
      <c r="AK685" s="35" t="s">
        <v>1638</v>
      </c>
      <c r="AL685" s="29" t="s">
        <v>3964</v>
      </c>
      <c r="AM685" s="35"/>
      <c r="AN685" s="35"/>
      <c r="AO685" s="35"/>
      <c r="AP685" s="35"/>
      <c r="AQ685" s="35"/>
      <c r="AS685" s="35"/>
      <c r="AU685" s="35"/>
      <c r="AW685" s="35"/>
      <c r="AY685" s="35"/>
      <c r="AZ685" s="35" t="s">
        <v>1642</v>
      </c>
      <c r="BA685" s="35" t="s">
        <v>2002</v>
      </c>
      <c r="BB685" s="29" t="s">
        <v>2894</v>
      </c>
      <c r="BC685" s="29" t="s">
        <v>3914</v>
      </c>
      <c r="BD685" s="29" t="s">
        <v>3965</v>
      </c>
      <c r="BE685" s="29" t="s">
        <v>3962</v>
      </c>
      <c r="BF685" s="29" t="s">
        <v>1969</v>
      </c>
      <c r="BG685" s="29" t="s">
        <v>3162</v>
      </c>
      <c r="BH685" s="29" t="s">
        <v>1902</v>
      </c>
      <c r="BI685" s="35"/>
      <c r="BJ685" s="35"/>
      <c r="BK685" s="29" t="str" cm="1">
        <f t="array" ref="BK685">_xlfn.UNIQUE(MID(BB685,16,14))</f>
        <v>U012UBB01UC002</v>
      </c>
    </row>
    <row r="686" spans="1:63" hidden="1" x14ac:dyDescent="0.3">
      <c r="A686" s="29" t="s">
        <v>3163</v>
      </c>
      <c r="B686" s="36" t="str">
        <f t="shared" si="50"/>
        <v>G01NHA01TB011-KF11</v>
      </c>
      <c r="C686" s="33" t="s">
        <v>3972</v>
      </c>
      <c r="D686" s="34" t="str">
        <f t="shared" si="51"/>
        <v>ELY1 RECT1 POLR1 DCM1 PROT CMD OFF/CLD</v>
      </c>
      <c r="E686" s="31">
        <f t="shared" si="52"/>
        <v>38</v>
      </c>
      <c r="F686" s="32" t="str">
        <f t="shared" si="53"/>
        <v>ELECTROLYSIS SYSTEM ELECTROLYSIS ARRAY 1 RECTIFIER SYSTEMS RECTIFIER SYSTEM 1 RECTIFIERS POLARISATION RECTIFIER SYSTEM 1&amp;2 SINAMICS DCM - STO PROTECTION COMMAND OFF/CLOSE</v>
      </c>
      <c r="G686" s="29" t="s">
        <v>1614</v>
      </c>
      <c r="H686" s="29" t="s">
        <v>1615</v>
      </c>
      <c r="I686" s="29" t="str">
        <f t="shared" si="54"/>
        <v>01</v>
      </c>
      <c r="J686" s="29" t="s">
        <v>1616</v>
      </c>
      <c r="K686" s="29" t="s">
        <v>1842</v>
      </c>
      <c r="L686" s="29" t="s">
        <v>1843</v>
      </c>
      <c r="M686" s="29" t="s">
        <v>1619</v>
      </c>
      <c r="N686" s="29" t="s">
        <v>1844</v>
      </c>
      <c r="O686" s="29" t="s">
        <v>3131</v>
      </c>
      <c r="P686" s="29" t="s">
        <v>3132</v>
      </c>
      <c r="Q686" s="29" t="s">
        <v>3165</v>
      </c>
      <c r="R686" s="29" t="s">
        <v>3166</v>
      </c>
      <c r="S686" s="29" t="s">
        <v>3185</v>
      </c>
      <c r="T686" s="29" t="s">
        <v>3186</v>
      </c>
      <c r="U686" s="29" t="s">
        <v>496</v>
      </c>
      <c r="V686" s="29" t="s">
        <v>3973</v>
      </c>
      <c r="W686" s="35" t="s">
        <v>1628</v>
      </c>
      <c r="X686" s="35" t="s">
        <v>1850</v>
      </c>
      <c r="Y686" s="35" t="s">
        <v>3168</v>
      </c>
      <c r="Z686" s="35" t="s">
        <v>3187</v>
      </c>
      <c r="AA686" s="35" t="s">
        <v>3974</v>
      </c>
      <c r="AB686" s="29" t="s">
        <v>3169</v>
      </c>
      <c r="AC686" s="35" t="s">
        <v>1633</v>
      </c>
      <c r="AD686" s="35" t="s">
        <v>1634</v>
      </c>
      <c r="AE686" s="35" t="s">
        <v>1634</v>
      </c>
      <c r="AF686" s="35" t="s">
        <v>1635</v>
      </c>
      <c r="AG686" s="35" t="s">
        <v>1728</v>
      </c>
      <c r="AI686" s="35"/>
      <c r="AJ686" s="35" t="s">
        <v>3340</v>
      </c>
      <c r="AK686" s="35" t="s">
        <v>1638</v>
      </c>
      <c r="AL686" s="29" t="s">
        <v>3975</v>
      </c>
      <c r="AM686" s="35"/>
      <c r="AN686" s="35"/>
      <c r="AO686" s="35"/>
      <c r="AP686" s="35"/>
      <c r="AQ686" s="35"/>
      <c r="AS686" s="35"/>
      <c r="AU686" s="35"/>
      <c r="AW686" s="35"/>
      <c r="AY686" s="35"/>
      <c r="AZ686" s="35"/>
      <c r="BA686" s="35"/>
      <c r="BB686" s="29" t="s">
        <v>2825</v>
      </c>
      <c r="BC686" s="29" t="s">
        <v>3914</v>
      </c>
      <c r="BD686" s="29" t="s">
        <v>3976</v>
      </c>
      <c r="BE686" s="29" t="s">
        <v>1646</v>
      </c>
      <c r="BF686" s="29" t="s">
        <v>1915</v>
      </c>
      <c r="BG686" s="29" t="s">
        <v>3977</v>
      </c>
      <c r="BH686" s="29" t="s">
        <v>1902</v>
      </c>
      <c r="BI686" s="35"/>
      <c r="BJ686" s="35"/>
      <c r="BK686" s="29" t="str" cm="1">
        <f t="array" ref="BK686">_xlfn.UNIQUE(MID(BB686,16,14))</f>
        <v>U012UBB01UC001</v>
      </c>
    </row>
    <row r="687" spans="1:63" hidden="1" x14ac:dyDescent="0.3">
      <c r="A687" s="29" t="s">
        <v>3163</v>
      </c>
      <c r="B687" s="36" t="str">
        <f t="shared" si="50"/>
        <v>G01NHA01TB011-KF12</v>
      </c>
      <c r="C687" s="33" t="s">
        <v>3978</v>
      </c>
      <c r="D687" s="34" t="str">
        <f t="shared" si="51"/>
        <v>ELY1 RECT1 POLR1 DCM2 PROT CMD OFF/CLD</v>
      </c>
      <c r="E687" s="31">
        <f t="shared" si="52"/>
        <v>38</v>
      </c>
      <c r="F687" s="32" t="str">
        <f t="shared" si="53"/>
        <v>ELECTROLYSIS SYSTEM ELECTROLYSIS ARRAY 1 RECTIFIER SYSTEMS RECTIFIER SYSTEM 1 RECTIFIERS POLARISATION RECTIFIER SYSTEM 1&amp;2 SINAMICS DCM - STO PROTECTION COMMAND OFF/CLOSE</v>
      </c>
      <c r="G687" s="29" t="s">
        <v>1614</v>
      </c>
      <c r="H687" s="29" t="s">
        <v>1615</v>
      </c>
      <c r="I687" s="29" t="str">
        <f t="shared" si="54"/>
        <v>01</v>
      </c>
      <c r="J687" s="29" t="s">
        <v>1616</v>
      </c>
      <c r="K687" s="29" t="s">
        <v>1842</v>
      </c>
      <c r="L687" s="29" t="s">
        <v>1843</v>
      </c>
      <c r="M687" s="29" t="s">
        <v>1619</v>
      </c>
      <c r="N687" s="29" t="s">
        <v>1844</v>
      </c>
      <c r="O687" s="29" t="s">
        <v>3131</v>
      </c>
      <c r="P687" s="29" t="s">
        <v>3132</v>
      </c>
      <c r="Q687" s="29" t="s">
        <v>3165</v>
      </c>
      <c r="R687" s="29" t="s">
        <v>3166</v>
      </c>
      <c r="S687" s="29" t="s">
        <v>3192</v>
      </c>
      <c r="T687" s="29" t="s">
        <v>3186</v>
      </c>
      <c r="U687" s="29" t="s">
        <v>496</v>
      </c>
      <c r="V687" s="29" t="s">
        <v>3973</v>
      </c>
      <c r="W687" s="35" t="s">
        <v>1628</v>
      </c>
      <c r="X687" s="35" t="s">
        <v>1850</v>
      </c>
      <c r="Y687" s="35" t="s">
        <v>3168</v>
      </c>
      <c r="Z687" s="35" t="s">
        <v>3193</v>
      </c>
      <c r="AA687" s="35" t="s">
        <v>3974</v>
      </c>
      <c r="AB687" s="29" t="s">
        <v>3169</v>
      </c>
      <c r="AC687" s="35" t="s">
        <v>1633</v>
      </c>
      <c r="AD687" s="35" t="s">
        <v>1634</v>
      </c>
      <c r="AE687" s="35" t="s">
        <v>1634</v>
      </c>
      <c r="AF687" s="35" t="s">
        <v>1635</v>
      </c>
      <c r="AG687" s="35" t="s">
        <v>1728</v>
      </c>
      <c r="AI687" s="35"/>
      <c r="AJ687" s="35" t="s">
        <v>3340</v>
      </c>
      <c r="AK687" s="35" t="s">
        <v>1638</v>
      </c>
      <c r="AL687" s="29" t="s">
        <v>3975</v>
      </c>
      <c r="AM687" s="35"/>
      <c r="AN687" s="35"/>
      <c r="AO687" s="35"/>
      <c r="AP687" s="35"/>
      <c r="AQ687" s="35"/>
      <c r="AS687" s="35"/>
      <c r="AU687" s="35"/>
      <c r="AW687" s="35"/>
      <c r="AY687" s="35"/>
      <c r="AZ687" s="35"/>
      <c r="BA687" s="35"/>
      <c r="BB687" s="29" t="s">
        <v>2825</v>
      </c>
      <c r="BC687" s="29" t="s">
        <v>3914</v>
      </c>
      <c r="BD687" s="29" t="s">
        <v>3979</v>
      </c>
      <c r="BE687" s="29" t="s">
        <v>3980</v>
      </c>
      <c r="BF687" s="29" t="s">
        <v>1919</v>
      </c>
      <c r="BG687" s="29" t="s">
        <v>3981</v>
      </c>
      <c r="BH687" s="29" t="s">
        <v>1902</v>
      </c>
      <c r="BI687" s="35"/>
      <c r="BJ687" s="35"/>
      <c r="BK687" s="29" t="str" cm="1">
        <f t="array" ref="BK687">_xlfn.UNIQUE(MID(BB687,16,14))</f>
        <v>U012UBB01UC001</v>
      </c>
    </row>
    <row r="688" spans="1:63" hidden="1" x14ac:dyDescent="0.3">
      <c r="A688" s="29" t="s">
        <v>3163</v>
      </c>
      <c r="B688" s="36" t="str">
        <f t="shared" si="50"/>
        <v>G01NHA01TB011-QA03</v>
      </c>
      <c r="C688" s="33" t="s">
        <v>3982</v>
      </c>
      <c r="D688" s="34" t="str">
        <f t="shared" si="51"/>
        <v>ELY1 RECT1 POLR1 SW3 PROT CMD OFF/CLD</v>
      </c>
      <c r="E688" s="31">
        <f t="shared" si="52"/>
        <v>37</v>
      </c>
      <c r="F688" s="32" t="str">
        <f t="shared" si="53"/>
        <v>ELECTROLYSIS SYSTEM ELECTROLYSIS ARRAY 1 RECTIFIER SYSTEMS RECTIFIER SYSTEM 1 RECTIFIERS POLARISATION RECTIFIER SYSTEM 1&amp;2 MAINSWITCH - OFF PROTECTION COMMAND OFF/CLOSE</v>
      </c>
      <c r="G688" s="29" t="s">
        <v>1614</v>
      </c>
      <c r="H688" s="29" t="s">
        <v>1615</v>
      </c>
      <c r="I688" s="29" t="str">
        <f t="shared" si="54"/>
        <v>01</v>
      </c>
      <c r="J688" s="29" t="s">
        <v>1616</v>
      </c>
      <c r="K688" s="29" t="s">
        <v>1842</v>
      </c>
      <c r="L688" s="29" t="s">
        <v>1843</v>
      </c>
      <c r="M688" s="29" t="s">
        <v>1619</v>
      </c>
      <c r="N688" s="29" t="s">
        <v>1844</v>
      </c>
      <c r="O688" s="29" t="s">
        <v>3131</v>
      </c>
      <c r="P688" s="29" t="s">
        <v>3132</v>
      </c>
      <c r="Q688" s="29" t="s">
        <v>3165</v>
      </c>
      <c r="R688" s="29" t="s">
        <v>3166</v>
      </c>
      <c r="S688" s="29" t="s">
        <v>3199</v>
      </c>
      <c r="T688" s="29" t="s">
        <v>3200</v>
      </c>
      <c r="U688" s="29" t="s">
        <v>496</v>
      </c>
      <c r="V688" s="29" t="s">
        <v>3973</v>
      </c>
      <c r="W688" s="35" t="s">
        <v>1628</v>
      </c>
      <c r="X688" s="35" t="s">
        <v>1850</v>
      </c>
      <c r="Y688" s="35" t="s">
        <v>3168</v>
      </c>
      <c r="Z688" s="35" t="s">
        <v>3201</v>
      </c>
      <c r="AA688" s="35" t="s">
        <v>3974</v>
      </c>
      <c r="AB688" s="29" t="s">
        <v>3169</v>
      </c>
      <c r="AC688" s="35" t="s">
        <v>1633</v>
      </c>
      <c r="AD688" s="35" t="s">
        <v>1634</v>
      </c>
      <c r="AE688" s="35" t="s">
        <v>1634</v>
      </c>
      <c r="AF688" s="35" t="s">
        <v>1635</v>
      </c>
      <c r="AG688" s="35" t="s">
        <v>1728</v>
      </c>
      <c r="AI688" s="35"/>
      <c r="AJ688" s="35" t="s">
        <v>3340</v>
      </c>
      <c r="AK688" s="35" t="s">
        <v>1638</v>
      </c>
      <c r="AL688" s="29" t="s">
        <v>3975</v>
      </c>
      <c r="AM688" s="35"/>
      <c r="AN688" s="35"/>
      <c r="AO688" s="35"/>
      <c r="AP688" s="35"/>
      <c r="AQ688" s="35"/>
      <c r="AS688" s="35"/>
      <c r="AU688" s="35"/>
      <c r="AW688" s="35"/>
      <c r="AY688" s="35"/>
      <c r="AZ688" s="35"/>
      <c r="BA688" s="35"/>
      <c r="BB688" s="29" t="s">
        <v>2825</v>
      </c>
      <c r="BC688" s="29" t="s">
        <v>3914</v>
      </c>
      <c r="BD688" s="29" t="s">
        <v>3983</v>
      </c>
      <c r="BE688" s="29" t="s">
        <v>2353</v>
      </c>
      <c r="BF688" s="29" t="s">
        <v>1922</v>
      </c>
      <c r="BG688" s="29" t="s">
        <v>3984</v>
      </c>
      <c r="BI688" s="35"/>
      <c r="BJ688" s="35"/>
      <c r="BK688" s="29" t="str" cm="1">
        <f t="array" ref="BK688">_xlfn.UNIQUE(MID(BB688,16,14))</f>
        <v>U012UBB01UC001</v>
      </c>
    </row>
    <row r="689" spans="1:63" hidden="1" x14ac:dyDescent="0.3">
      <c r="A689" s="29" t="s">
        <v>3163</v>
      </c>
      <c r="B689" s="36" t="str">
        <f t="shared" si="50"/>
        <v>G01NHA01TB011-QA04</v>
      </c>
      <c r="C689" s="33" t="s">
        <v>3985</v>
      </c>
      <c r="D689" s="34" t="str">
        <f t="shared" si="51"/>
        <v>ELY1 RECT1 POLR1 SW4 PROT CMD OFF/CLD</v>
      </c>
      <c r="E689" s="31">
        <f t="shared" si="52"/>
        <v>37</v>
      </c>
      <c r="F689" s="32" t="str">
        <f t="shared" si="53"/>
        <v>ELECTROLYSIS SYSTEM ELECTROLYSIS ARRAY 1 RECTIFIER SYSTEMS RECTIFIER SYSTEM 1 RECTIFIERS POLARISATION RECTIFIER SYSTEM 1&amp;2 MAINSWITCH - OFF PROTECTION COMMAND OFF/CLOSE</v>
      </c>
      <c r="G689" s="29" t="s">
        <v>1614</v>
      </c>
      <c r="H689" s="29" t="s">
        <v>1615</v>
      </c>
      <c r="I689" s="29" t="str">
        <f t="shared" si="54"/>
        <v>01</v>
      </c>
      <c r="J689" s="29" t="s">
        <v>1616</v>
      </c>
      <c r="K689" s="29" t="s">
        <v>1842</v>
      </c>
      <c r="L689" s="29" t="s">
        <v>1843</v>
      </c>
      <c r="M689" s="29" t="s">
        <v>1619</v>
      </c>
      <c r="N689" s="29" t="s">
        <v>1844</v>
      </c>
      <c r="O689" s="29" t="s">
        <v>3131</v>
      </c>
      <c r="P689" s="29" t="s">
        <v>3132</v>
      </c>
      <c r="Q689" s="29" t="s">
        <v>3165</v>
      </c>
      <c r="R689" s="29" t="s">
        <v>3166</v>
      </c>
      <c r="S689" s="29" t="s">
        <v>3206</v>
      </c>
      <c r="T689" s="29" t="s">
        <v>3200</v>
      </c>
      <c r="U689" s="29" t="s">
        <v>496</v>
      </c>
      <c r="V689" s="29" t="s">
        <v>3973</v>
      </c>
      <c r="W689" s="35" t="s">
        <v>1628</v>
      </c>
      <c r="X689" s="35" t="s">
        <v>1850</v>
      </c>
      <c r="Y689" s="35" t="s">
        <v>3168</v>
      </c>
      <c r="Z689" s="35" t="s">
        <v>3207</v>
      </c>
      <c r="AA689" s="35" t="s">
        <v>3974</v>
      </c>
      <c r="AB689" s="29" t="s">
        <v>3169</v>
      </c>
      <c r="AC689" s="35" t="s">
        <v>1633</v>
      </c>
      <c r="AD689" s="35" t="s">
        <v>1634</v>
      </c>
      <c r="AE689" s="35" t="s">
        <v>1634</v>
      </c>
      <c r="AF689" s="35" t="s">
        <v>1635</v>
      </c>
      <c r="AG689" s="35" t="s">
        <v>1728</v>
      </c>
      <c r="AI689" s="35"/>
      <c r="AJ689" s="35" t="s">
        <v>3340</v>
      </c>
      <c r="AK689" s="35" t="s">
        <v>1638</v>
      </c>
      <c r="AL689" s="29" t="s">
        <v>3975</v>
      </c>
      <c r="AM689" s="35"/>
      <c r="AN689" s="35"/>
      <c r="AO689" s="35"/>
      <c r="AP689" s="35"/>
      <c r="AQ689" s="35"/>
      <c r="AS689" s="35"/>
      <c r="AU689" s="35"/>
      <c r="AW689" s="35"/>
      <c r="AY689" s="35"/>
      <c r="AZ689" s="35"/>
      <c r="BA689" s="35"/>
      <c r="BB689" s="29" t="s">
        <v>2825</v>
      </c>
      <c r="BC689" s="29" t="s">
        <v>3914</v>
      </c>
      <c r="BD689" s="29" t="s">
        <v>3986</v>
      </c>
      <c r="BE689" s="29" t="s">
        <v>3987</v>
      </c>
      <c r="BF689" s="29" t="s">
        <v>1931</v>
      </c>
      <c r="BG689" s="29" t="s">
        <v>3988</v>
      </c>
      <c r="BI689" s="35"/>
      <c r="BJ689" s="35"/>
      <c r="BK689" s="29" t="str" cm="1">
        <f t="array" ref="BK689">_xlfn.UNIQUE(MID(BB689,16,14))</f>
        <v>U012UBB01UC001</v>
      </c>
    </row>
    <row r="690" spans="1:63" hidden="1" x14ac:dyDescent="0.3">
      <c r="A690" s="29" t="s">
        <v>3225</v>
      </c>
      <c r="B690" s="36" t="str">
        <f t="shared" si="50"/>
        <v>G01NHA01TB012-KF11</v>
      </c>
      <c r="C690" s="33" t="s">
        <v>3989</v>
      </c>
      <c r="D690" s="34" t="str">
        <f t="shared" si="51"/>
        <v>ELY1 RECT1 POLR2 DCM1 PROT CMD OFF/CLD</v>
      </c>
      <c r="E690" s="31">
        <f t="shared" si="52"/>
        <v>38</v>
      </c>
      <c r="F690" s="32" t="str">
        <f t="shared" si="53"/>
        <v>ELECTROLYSIS SYSTEM ELECTROLYSIS ARRAY 1 RECTIFIER SYSTEMS RECTIFIER SYSTEM 1 RECTIFIERS POLARISATION RECTIFIER SYSTEM 3&amp;4 SINAMICS DCM - STO PROTECTION COMMAND OFF/CLOSE</v>
      </c>
      <c r="G690" s="29" t="s">
        <v>1614</v>
      </c>
      <c r="H690" s="29" t="s">
        <v>1615</v>
      </c>
      <c r="I690" s="29" t="str">
        <f t="shared" si="54"/>
        <v>01</v>
      </c>
      <c r="J690" s="29" t="s">
        <v>1616</v>
      </c>
      <c r="K690" s="29" t="s">
        <v>1842</v>
      </c>
      <c r="L690" s="29" t="s">
        <v>1843</v>
      </c>
      <c r="M690" s="29" t="s">
        <v>1619</v>
      </c>
      <c r="N690" s="29" t="s">
        <v>1844</v>
      </c>
      <c r="O690" s="29" t="s">
        <v>3131</v>
      </c>
      <c r="P690" s="29" t="s">
        <v>3132</v>
      </c>
      <c r="Q690" s="29" t="s">
        <v>3227</v>
      </c>
      <c r="R690" s="29" t="s">
        <v>3228</v>
      </c>
      <c r="S690" s="29" t="s">
        <v>3185</v>
      </c>
      <c r="T690" s="29" t="s">
        <v>3186</v>
      </c>
      <c r="U690" s="29" t="s">
        <v>496</v>
      </c>
      <c r="V690" s="29" t="s">
        <v>3973</v>
      </c>
      <c r="W690" s="35" t="s">
        <v>1628</v>
      </c>
      <c r="X690" s="35" t="s">
        <v>1850</v>
      </c>
      <c r="Y690" s="35" t="s">
        <v>3229</v>
      </c>
      <c r="Z690" s="35" t="s">
        <v>3187</v>
      </c>
      <c r="AA690" s="35" t="s">
        <v>3974</v>
      </c>
      <c r="AB690" s="29" t="s">
        <v>3169</v>
      </c>
      <c r="AC690" s="35" t="s">
        <v>1633</v>
      </c>
      <c r="AD690" s="35" t="s">
        <v>1634</v>
      </c>
      <c r="AE690" s="35" t="s">
        <v>1634</v>
      </c>
      <c r="AF690" s="35" t="s">
        <v>1635</v>
      </c>
      <c r="AG690" s="35" t="s">
        <v>1728</v>
      </c>
      <c r="AI690" s="35"/>
      <c r="AJ690" s="35" t="s">
        <v>3340</v>
      </c>
      <c r="AK690" s="35" t="s">
        <v>1638</v>
      </c>
      <c r="AL690" s="29" t="s">
        <v>3975</v>
      </c>
      <c r="AM690" s="35"/>
      <c r="AN690" s="35"/>
      <c r="AO690" s="35"/>
      <c r="AP690" s="35"/>
      <c r="AQ690" s="35"/>
      <c r="AS690" s="35"/>
      <c r="AU690" s="35"/>
      <c r="AW690" s="35"/>
      <c r="AY690" s="35"/>
      <c r="AZ690" s="35"/>
      <c r="BA690" s="35"/>
      <c r="BB690" s="29" t="s">
        <v>2927</v>
      </c>
      <c r="BC690" s="29" t="s">
        <v>3914</v>
      </c>
      <c r="BD690" s="29" t="s">
        <v>3976</v>
      </c>
      <c r="BE690" s="29" t="s">
        <v>1646</v>
      </c>
      <c r="BF690" s="29" t="s">
        <v>1619</v>
      </c>
      <c r="BG690" s="29" t="s">
        <v>3990</v>
      </c>
      <c r="BH690" s="29" t="s">
        <v>1902</v>
      </c>
      <c r="BI690" s="35"/>
      <c r="BJ690" s="35"/>
      <c r="BK690" s="29" t="str" cm="1">
        <f t="array" ref="BK690">_xlfn.UNIQUE(MID(BB690,16,14))</f>
        <v>U012UBB01UC002</v>
      </c>
    </row>
    <row r="691" spans="1:63" hidden="1" x14ac:dyDescent="0.3">
      <c r="A691" s="29" t="s">
        <v>3225</v>
      </c>
      <c r="B691" s="36" t="str">
        <f t="shared" si="50"/>
        <v>G01NHA01TB012-KF12</v>
      </c>
      <c r="C691" s="33" t="s">
        <v>3991</v>
      </c>
      <c r="D691" s="34" t="str">
        <f t="shared" si="51"/>
        <v>ELY1 RECT1 POLR2 DCM2 PROT CMD OFF/CLD</v>
      </c>
      <c r="E691" s="31">
        <f t="shared" si="52"/>
        <v>38</v>
      </c>
      <c r="F691" s="32" t="str">
        <f t="shared" si="53"/>
        <v>ELECTROLYSIS SYSTEM ELECTROLYSIS ARRAY 1 RECTIFIER SYSTEMS RECTIFIER SYSTEM 1 RECTIFIERS POLARISATION RECTIFIER SYSTEM 3&amp;4 SINAMICS DCM - STO PROTECTION COMMAND OFF/CLOSE</v>
      </c>
      <c r="G691" s="29" t="s">
        <v>1614</v>
      </c>
      <c r="H691" s="29" t="s">
        <v>1615</v>
      </c>
      <c r="I691" s="29" t="str">
        <f t="shared" si="54"/>
        <v>01</v>
      </c>
      <c r="J691" s="29" t="s">
        <v>1616</v>
      </c>
      <c r="K691" s="29" t="s">
        <v>1842</v>
      </c>
      <c r="L691" s="29" t="s">
        <v>1843</v>
      </c>
      <c r="M691" s="29" t="s">
        <v>1619</v>
      </c>
      <c r="N691" s="29" t="s">
        <v>1844</v>
      </c>
      <c r="O691" s="29" t="s">
        <v>3131</v>
      </c>
      <c r="P691" s="29" t="s">
        <v>3132</v>
      </c>
      <c r="Q691" s="29" t="s">
        <v>3227</v>
      </c>
      <c r="R691" s="29" t="s">
        <v>3228</v>
      </c>
      <c r="S691" s="29" t="s">
        <v>3192</v>
      </c>
      <c r="T691" s="29" t="s">
        <v>3186</v>
      </c>
      <c r="U691" s="29" t="s">
        <v>496</v>
      </c>
      <c r="V691" s="29" t="s">
        <v>3973</v>
      </c>
      <c r="W691" s="35" t="s">
        <v>1628</v>
      </c>
      <c r="X691" s="35" t="s">
        <v>1850</v>
      </c>
      <c r="Y691" s="35" t="s">
        <v>3229</v>
      </c>
      <c r="Z691" s="35" t="s">
        <v>3193</v>
      </c>
      <c r="AA691" s="35" t="s">
        <v>3974</v>
      </c>
      <c r="AB691" s="29" t="s">
        <v>3169</v>
      </c>
      <c r="AC691" s="35" t="s">
        <v>1633</v>
      </c>
      <c r="AD691" s="35" t="s">
        <v>1634</v>
      </c>
      <c r="AE691" s="35" t="s">
        <v>1634</v>
      </c>
      <c r="AF691" s="35" t="s">
        <v>1635</v>
      </c>
      <c r="AG691" s="35" t="s">
        <v>1728</v>
      </c>
      <c r="AI691" s="35"/>
      <c r="AJ691" s="35" t="s">
        <v>3340</v>
      </c>
      <c r="AK691" s="35" t="s">
        <v>1638</v>
      </c>
      <c r="AL691" s="29" t="s">
        <v>3975</v>
      </c>
      <c r="AM691" s="35"/>
      <c r="AN691" s="35"/>
      <c r="AO691" s="35"/>
      <c r="AP691" s="35"/>
      <c r="AQ691" s="35"/>
      <c r="AS691" s="35"/>
      <c r="AU691" s="35"/>
      <c r="AW691" s="35"/>
      <c r="AY691" s="35"/>
      <c r="AZ691" s="35"/>
      <c r="BA691" s="35"/>
      <c r="BB691" s="29" t="s">
        <v>2927</v>
      </c>
      <c r="BC691" s="29" t="s">
        <v>3914</v>
      </c>
      <c r="BD691" s="29" t="s">
        <v>3979</v>
      </c>
      <c r="BE691" s="29" t="s">
        <v>3980</v>
      </c>
      <c r="BF691" s="29" t="s">
        <v>1905</v>
      </c>
      <c r="BG691" s="29" t="s">
        <v>3992</v>
      </c>
      <c r="BH691" s="29" t="s">
        <v>1902</v>
      </c>
      <c r="BI691" s="35"/>
      <c r="BJ691" s="35"/>
      <c r="BK691" s="29" t="str" cm="1">
        <f t="array" ref="BK691">_xlfn.UNIQUE(MID(BB691,16,14))</f>
        <v>U012UBB01UC002</v>
      </c>
    </row>
    <row r="692" spans="1:63" hidden="1" x14ac:dyDescent="0.3">
      <c r="A692" s="29" t="s">
        <v>3225</v>
      </c>
      <c r="B692" s="36" t="str">
        <f t="shared" si="50"/>
        <v>G01NHA01TB012-QA03</v>
      </c>
      <c r="C692" s="33" t="s">
        <v>3993</v>
      </c>
      <c r="D692" s="34" t="str">
        <f t="shared" si="51"/>
        <v>ELY1 RECT1 POLR2 SW3 PROT CMD OFF/CLD</v>
      </c>
      <c r="E692" s="31">
        <f t="shared" si="52"/>
        <v>37</v>
      </c>
      <c r="F692" s="32" t="str">
        <f t="shared" si="53"/>
        <v>ELECTROLYSIS SYSTEM ELECTROLYSIS ARRAY 1 RECTIFIER SYSTEMS RECTIFIER SYSTEM 1 RECTIFIERS POLARISATION RECTIFIER SYSTEM 3&amp;4 MAINSWITCH - OFF PROTECTION COMMAND OFF/CLOSE</v>
      </c>
      <c r="G692" s="29" t="s">
        <v>1614</v>
      </c>
      <c r="H692" s="29" t="s">
        <v>1615</v>
      </c>
      <c r="I692" s="29" t="str">
        <f t="shared" si="54"/>
        <v>01</v>
      </c>
      <c r="J692" s="29" t="s">
        <v>1616</v>
      </c>
      <c r="K692" s="29" t="s">
        <v>1842</v>
      </c>
      <c r="L692" s="29" t="s">
        <v>1843</v>
      </c>
      <c r="M692" s="29" t="s">
        <v>1619</v>
      </c>
      <c r="N692" s="29" t="s">
        <v>1844</v>
      </c>
      <c r="O692" s="29" t="s">
        <v>3131</v>
      </c>
      <c r="P692" s="29" t="s">
        <v>3132</v>
      </c>
      <c r="Q692" s="29" t="s">
        <v>3227</v>
      </c>
      <c r="R692" s="29" t="s">
        <v>3228</v>
      </c>
      <c r="S692" s="29" t="s">
        <v>3199</v>
      </c>
      <c r="T692" s="29" t="s">
        <v>3200</v>
      </c>
      <c r="U692" s="29" t="s">
        <v>496</v>
      </c>
      <c r="V692" s="29" t="s">
        <v>3973</v>
      </c>
      <c r="W692" s="35" t="s">
        <v>1628</v>
      </c>
      <c r="X692" s="35" t="s">
        <v>1850</v>
      </c>
      <c r="Y692" s="35" t="s">
        <v>3229</v>
      </c>
      <c r="Z692" s="35" t="s">
        <v>3201</v>
      </c>
      <c r="AA692" s="35" t="s">
        <v>3974</v>
      </c>
      <c r="AB692" s="29" t="s">
        <v>3169</v>
      </c>
      <c r="AC692" s="35" t="s">
        <v>1633</v>
      </c>
      <c r="AD692" s="35" t="s">
        <v>1634</v>
      </c>
      <c r="AE692" s="35" t="s">
        <v>1634</v>
      </c>
      <c r="AF692" s="35" t="s">
        <v>1635</v>
      </c>
      <c r="AG692" s="35" t="s">
        <v>1728</v>
      </c>
      <c r="AI692" s="35"/>
      <c r="AJ692" s="35" t="s">
        <v>3340</v>
      </c>
      <c r="AK692" s="35" t="s">
        <v>1638</v>
      </c>
      <c r="AL692" s="29" t="s">
        <v>3975</v>
      </c>
      <c r="AM692" s="35"/>
      <c r="AN692" s="35"/>
      <c r="AO692" s="35"/>
      <c r="AP692" s="35"/>
      <c r="AQ692" s="35"/>
      <c r="AS692" s="35"/>
      <c r="AU692" s="35"/>
      <c r="AW692" s="35"/>
      <c r="AY692" s="35"/>
      <c r="AZ692" s="35"/>
      <c r="BA692" s="35"/>
      <c r="BB692" s="29" t="s">
        <v>2927</v>
      </c>
      <c r="BC692" s="29" t="s">
        <v>3914</v>
      </c>
      <c r="BD692" s="29" t="s">
        <v>3983</v>
      </c>
      <c r="BE692" s="29" t="s">
        <v>2353</v>
      </c>
      <c r="BF692" s="29" t="s">
        <v>1909</v>
      </c>
      <c r="BG692" s="29" t="s">
        <v>3994</v>
      </c>
      <c r="BI692" s="35"/>
      <c r="BJ692" s="35"/>
      <c r="BK692" s="29" t="str" cm="1">
        <f t="array" ref="BK692">_xlfn.UNIQUE(MID(BB692,16,14))</f>
        <v>U012UBB01UC002</v>
      </c>
    </row>
    <row r="693" spans="1:63" hidden="1" x14ac:dyDescent="0.3">
      <c r="A693" s="29" t="s">
        <v>3225</v>
      </c>
      <c r="B693" s="36" t="str">
        <f t="shared" si="50"/>
        <v>G01NHA01TB012-QA04</v>
      </c>
      <c r="C693" s="33" t="s">
        <v>3995</v>
      </c>
      <c r="D693" s="34" t="str">
        <f t="shared" si="51"/>
        <v>ELY1 RECT1 POLR2 SW4 PROT CMD OFF/CLD</v>
      </c>
      <c r="E693" s="31">
        <f t="shared" si="52"/>
        <v>37</v>
      </c>
      <c r="F693" s="32" t="str">
        <f t="shared" si="53"/>
        <v>ELECTROLYSIS SYSTEM ELECTROLYSIS ARRAY 1 RECTIFIER SYSTEMS RECTIFIER SYSTEM 1 RECTIFIERS POLARISATION RECTIFIER SYSTEM 3&amp;4 MAINSWITCH - OFF PROTECTION COMMAND OFF/CLOSE</v>
      </c>
      <c r="G693" s="29" t="s">
        <v>1614</v>
      </c>
      <c r="H693" s="29" t="s">
        <v>1615</v>
      </c>
      <c r="I693" s="29" t="str">
        <f t="shared" si="54"/>
        <v>01</v>
      </c>
      <c r="J693" s="29" t="s">
        <v>1616</v>
      </c>
      <c r="K693" s="29" t="s">
        <v>1842</v>
      </c>
      <c r="L693" s="29" t="s">
        <v>1843</v>
      </c>
      <c r="M693" s="29" t="s">
        <v>1619</v>
      </c>
      <c r="N693" s="29" t="s">
        <v>1844</v>
      </c>
      <c r="O693" s="29" t="s">
        <v>3131</v>
      </c>
      <c r="P693" s="29" t="s">
        <v>3132</v>
      </c>
      <c r="Q693" s="29" t="s">
        <v>3227</v>
      </c>
      <c r="R693" s="29" t="s">
        <v>3228</v>
      </c>
      <c r="S693" s="29" t="s">
        <v>3206</v>
      </c>
      <c r="T693" s="29" t="s">
        <v>3200</v>
      </c>
      <c r="U693" s="29" t="s">
        <v>496</v>
      </c>
      <c r="V693" s="29" t="s">
        <v>3973</v>
      </c>
      <c r="W693" s="35" t="s">
        <v>1628</v>
      </c>
      <c r="X693" s="35" t="s">
        <v>1850</v>
      </c>
      <c r="Y693" s="35" t="s">
        <v>3229</v>
      </c>
      <c r="Z693" s="35" t="s">
        <v>3207</v>
      </c>
      <c r="AA693" s="35" t="s">
        <v>3974</v>
      </c>
      <c r="AB693" s="29" t="s">
        <v>3169</v>
      </c>
      <c r="AC693" s="35" t="s">
        <v>1633</v>
      </c>
      <c r="AD693" s="35" t="s">
        <v>1634</v>
      </c>
      <c r="AE693" s="35" t="s">
        <v>1634</v>
      </c>
      <c r="AF693" s="35" t="s">
        <v>1635</v>
      </c>
      <c r="AG693" s="35" t="s">
        <v>1728</v>
      </c>
      <c r="AI693" s="35"/>
      <c r="AJ693" s="35" t="s">
        <v>3340</v>
      </c>
      <c r="AK693" s="35" t="s">
        <v>1638</v>
      </c>
      <c r="AL693" s="29" t="s">
        <v>3975</v>
      </c>
      <c r="AM693" s="35"/>
      <c r="AN693" s="35"/>
      <c r="AO693" s="35"/>
      <c r="AP693" s="35"/>
      <c r="AQ693" s="35"/>
      <c r="AS693" s="35"/>
      <c r="AU693" s="35"/>
      <c r="AW693" s="35"/>
      <c r="AY693" s="35"/>
      <c r="AZ693" s="35"/>
      <c r="BA693" s="35"/>
      <c r="BB693" s="29" t="s">
        <v>2927</v>
      </c>
      <c r="BC693" s="29" t="s">
        <v>3914</v>
      </c>
      <c r="BD693" s="29" t="s">
        <v>3986</v>
      </c>
      <c r="BE693" s="29" t="s">
        <v>3987</v>
      </c>
      <c r="BF693" s="29" t="s">
        <v>1915</v>
      </c>
      <c r="BG693" s="29" t="s">
        <v>3996</v>
      </c>
      <c r="BI693" s="35"/>
      <c r="BJ693" s="35"/>
      <c r="BK693" s="29" t="str" cm="1">
        <f t="array" ref="BK693">_xlfn.UNIQUE(MID(BB693,16,14))</f>
        <v>U012UBB01UC002</v>
      </c>
    </row>
    <row r="694" spans="1:63" hidden="1" x14ac:dyDescent="0.3">
      <c r="A694" s="29" t="s">
        <v>2053</v>
      </c>
      <c r="B694" s="36" t="str">
        <f t="shared" si="50"/>
        <v>G01NHB01KF001-BA01</v>
      </c>
      <c r="C694" s="33" t="s">
        <v>3997</v>
      </c>
      <c r="D694" s="34" t="str">
        <f t="shared" si="51"/>
        <v>ELY1 GRP1 CTRL U1 CELL VOLT1 CHAN TRF</v>
      </c>
      <c r="E694" s="31">
        <f t="shared" si="52"/>
        <v>37</v>
      </c>
      <c r="F694" s="32" t="str">
        <f t="shared" si="53"/>
        <v>ELECTROLYSIS SYSTEM ELECTROLYSIS ARRAY 1 ELECTROLYZER SYSTEM MODULE GROUP 1 CONTROL UNITS CELL VOLTAGE MEASUREMENT CELL-VOLTAGE-MEASUREMENT - MODULE 1 COMMAND - CHANNEL ADRESS TRANSFER</v>
      </c>
      <c r="G694" s="29" t="s">
        <v>1614</v>
      </c>
      <c r="H694" s="29" t="s">
        <v>1615</v>
      </c>
      <c r="I694" s="29" t="str">
        <f t="shared" si="54"/>
        <v>01</v>
      </c>
      <c r="J694" s="29" t="s">
        <v>1616</v>
      </c>
      <c r="K694" s="29" t="s">
        <v>1976</v>
      </c>
      <c r="L694" s="29" t="s">
        <v>1977</v>
      </c>
      <c r="M694" s="29" t="s">
        <v>1619</v>
      </c>
      <c r="N694" s="29" t="s">
        <v>1978</v>
      </c>
      <c r="O694" s="29" t="s">
        <v>1771</v>
      </c>
      <c r="P694" s="29" t="s">
        <v>2055</v>
      </c>
      <c r="Q694" s="29" t="s">
        <v>1623</v>
      </c>
      <c r="R694" s="29" t="s">
        <v>2056</v>
      </c>
      <c r="S694" s="29" t="s">
        <v>2057</v>
      </c>
      <c r="T694" s="29" t="s">
        <v>2058</v>
      </c>
      <c r="U694" s="29" t="s">
        <v>3998</v>
      </c>
      <c r="V694" s="29" t="s">
        <v>3999</v>
      </c>
      <c r="W694" s="35" t="s">
        <v>1628</v>
      </c>
      <c r="X694" s="35" t="s">
        <v>1982</v>
      </c>
      <c r="Y694" s="35" t="s">
        <v>1775</v>
      </c>
      <c r="Z694" s="35" t="s">
        <v>2060</v>
      </c>
      <c r="AA694" s="35" t="s">
        <v>4000</v>
      </c>
      <c r="AB694" s="29" t="s">
        <v>2061</v>
      </c>
      <c r="AC694" s="35" t="s">
        <v>1633</v>
      </c>
      <c r="AD694" s="35" t="s">
        <v>1634</v>
      </c>
      <c r="AE694" s="35" t="s">
        <v>1634</v>
      </c>
      <c r="AF694" s="35" t="s">
        <v>1669</v>
      </c>
      <c r="AG694" s="35" t="s">
        <v>1728</v>
      </c>
      <c r="AI694" s="35"/>
      <c r="AJ694" s="35" t="s">
        <v>3340</v>
      </c>
      <c r="AK694" s="35" t="s">
        <v>1672</v>
      </c>
      <c r="AL694" s="29" t="s">
        <v>2063</v>
      </c>
      <c r="AM694" s="35"/>
      <c r="AN694" s="35"/>
      <c r="AO694" s="35"/>
      <c r="AP694" s="35"/>
      <c r="AQ694" s="35"/>
      <c r="AR694" s="29" t="s">
        <v>1756</v>
      </c>
      <c r="AS694" s="35"/>
      <c r="AT694" s="29" t="s">
        <v>1640</v>
      </c>
      <c r="AU694" s="35"/>
      <c r="AV694" s="29" t="s">
        <v>1641</v>
      </c>
      <c r="AW694" s="35"/>
      <c r="AX694" s="29" t="s">
        <v>1674</v>
      </c>
      <c r="AY694" s="35"/>
      <c r="AZ694" s="35"/>
      <c r="BA694" s="35"/>
      <c r="BB694" s="29" t="s">
        <v>4001</v>
      </c>
      <c r="BC694" s="29" t="s">
        <v>4002</v>
      </c>
      <c r="BF694" s="29" t="s">
        <v>1619</v>
      </c>
      <c r="BG694" s="29" t="s">
        <v>4003</v>
      </c>
      <c r="BH694" s="29" t="s">
        <v>1986</v>
      </c>
      <c r="BI694" s="35"/>
      <c r="BJ694" s="35"/>
      <c r="BK694" s="29" t="str" cm="1">
        <f t="array" ref="BK694">_xlfn.UNIQUE(MID(BB694,16,14))</f>
        <v>U012UNA01UH112</v>
      </c>
    </row>
    <row r="695" spans="1:63" hidden="1" x14ac:dyDescent="0.3">
      <c r="A695" s="29" t="s">
        <v>2053</v>
      </c>
      <c r="B695" s="36" t="str">
        <f t="shared" si="50"/>
        <v>G01NHB01KF001-BA01</v>
      </c>
      <c r="C695" s="33" t="s">
        <v>4004</v>
      </c>
      <c r="D695" s="34" t="str">
        <f t="shared" si="51"/>
        <v>ELY1 GRP1 CTRL U1 CELL VOLT1 CHAN ADR</v>
      </c>
      <c r="E695" s="31">
        <f t="shared" si="52"/>
        <v>37</v>
      </c>
      <c r="F695" s="32" t="str">
        <f t="shared" si="53"/>
        <v>ELECTROLYSIS SYSTEM ELECTROLYSIS ARRAY 1 ELECTROLYZER SYSTEM MODULE GROUP 1 CONTROL UNITS CELL VOLTAGE MEASUREMENT CELL-VOLTAGE-MEASUREMENT - MODULE 1 COMMAND - CHANNEL ADRESS ACTIVE</v>
      </c>
      <c r="G695" s="29" t="s">
        <v>1614</v>
      </c>
      <c r="H695" s="29" t="s">
        <v>1615</v>
      </c>
      <c r="I695" s="29" t="str">
        <f t="shared" si="54"/>
        <v>01</v>
      </c>
      <c r="J695" s="29" t="s">
        <v>1616</v>
      </c>
      <c r="K695" s="29" t="s">
        <v>1976</v>
      </c>
      <c r="L695" s="29" t="s">
        <v>1977</v>
      </c>
      <c r="M695" s="29" t="s">
        <v>1619</v>
      </c>
      <c r="N695" s="29" t="s">
        <v>1978</v>
      </c>
      <c r="O695" s="29" t="s">
        <v>1771</v>
      </c>
      <c r="P695" s="29" t="s">
        <v>2055</v>
      </c>
      <c r="Q695" s="29" t="s">
        <v>1623</v>
      </c>
      <c r="R695" s="29" t="s">
        <v>2056</v>
      </c>
      <c r="S695" s="29" t="s">
        <v>2057</v>
      </c>
      <c r="T695" s="29" t="s">
        <v>2058</v>
      </c>
      <c r="U695" s="29" t="s">
        <v>4005</v>
      </c>
      <c r="V695" s="29" t="s">
        <v>4006</v>
      </c>
      <c r="W695" s="35" t="s">
        <v>1628</v>
      </c>
      <c r="X695" s="35" t="s">
        <v>1982</v>
      </c>
      <c r="Y695" s="35" t="s">
        <v>1775</v>
      </c>
      <c r="Z695" s="35" t="s">
        <v>2060</v>
      </c>
      <c r="AA695" s="35" t="s">
        <v>4007</v>
      </c>
      <c r="AB695" s="29" t="s">
        <v>2061</v>
      </c>
      <c r="AC695" s="35" t="s">
        <v>1633</v>
      </c>
      <c r="AD695" s="35" t="s">
        <v>1634</v>
      </c>
      <c r="AE695" s="35" t="s">
        <v>1634</v>
      </c>
      <c r="AF695" s="35" t="s">
        <v>1669</v>
      </c>
      <c r="AG695" s="35" t="s">
        <v>1728</v>
      </c>
      <c r="AI695" s="35"/>
      <c r="AJ695" s="35" t="s">
        <v>3340</v>
      </c>
      <c r="AK695" s="35" t="s">
        <v>1672</v>
      </c>
      <c r="AL695" s="29" t="s">
        <v>2063</v>
      </c>
      <c r="AM695" s="35"/>
      <c r="AN695" s="35"/>
      <c r="AO695" s="35"/>
      <c r="AP695" s="35"/>
      <c r="AQ695" s="35"/>
      <c r="AR695" s="29" t="s">
        <v>1756</v>
      </c>
      <c r="AS695" s="35"/>
      <c r="AT695" s="29" t="s">
        <v>1640</v>
      </c>
      <c r="AU695" s="35"/>
      <c r="AV695" s="29" t="s">
        <v>1641</v>
      </c>
      <c r="AW695" s="35"/>
      <c r="AX695" s="29" t="s">
        <v>1674</v>
      </c>
      <c r="AY695" s="35"/>
      <c r="AZ695" s="35"/>
      <c r="BA695" s="35"/>
      <c r="BB695" s="29" t="s">
        <v>4001</v>
      </c>
      <c r="BC695" s="29" t="s">
        <v>4002</v>
      </c>
      <c r="BF695" s="29" t="s">
        <v>1905</v>
      </c>
      <c r="BG695" s="29" t="s">
        <v>4003</v>
      </c>
      <c r="BH695" s="29" t="s">
        <v>1986</v>
      </c>
      <c r="BI695" s="35"/>
      <c r="BJ695" s="35"/>
      <c r="BK695" s="29" t="str" cm="1">
        <f t="array" ref="BK695">_xlfn.UNIQUE(MID(BB695,16,14))</f>
        <v>U012UNA01UH112</v>
      </c>
    </row>
    <row r="696" spans="1:63" hidden="1" x14ac:dyDescent="0.3">
      <c r="A696" s="29" t="s">
        <v>2053</v>
      </c>
      <c r="B696" s="36" t="str">
        <f t="shared" si="50"/>
        <v>G01NHB01KF001-BA01</v>
      </c>
      <c r="C696" s="33" t="s">
        <v>4008</v>
      </c>
      <c r="D696" s="34" t="str">
        <f t="shared" si="51"/>
        <v>ELY1 GRP1 CTRL U1 CELL VOLT1 CHAN BIT1</v>
      </c>
      <c r="E696" s="31">
        <f t="shared" si="52"/>
        <v>38</v>
      </c>
      <c r="F696" s="32" t="str">
        <f t="shared" si="53"/>
        <v>ELECTROLYSIS SYSTEM ELECTROLYSIS ARRAY 1 ELECTROLYZER SYSTEM MODULE GROUP 1 CONTROL UNITS CELL VOLTAGE MEASUREMENT CELL-VOLTAGE-MEASUREMENT - MODULE 1 COMMAND - CHANNEL ADRESS BIT 1</v>
      </c>
      <c r="G696" s="29" t="s">
        <v>1614</v>
      </c>
      <c r="H696" s="29" t="s">
        <v>1615</v>
      </c>
      <c r="I696" s="29" t="str">
        <f t="shared" si="54"/>
        <v>01</v>
      </c>
      <c r="J696" s="29" t="s">
        <v>1616</v>
      </c>
      <c r="K696" s="29" t="s">
        <v>1976</v>
      </c>
      <c r="L696" s="29" t="s">
        <v>1977</v>
      </c>
      <c r="M696" s="29" t="s">
        <v>1619</v>
      </c>
      <c r="N696" s="29" t="s">
        <v>1978</v>
      </c>
      <c r="O696" s="29" t="s">
        <v>1771</v>
      </c>
      <c r="P696" s="29" t="s">
        <v>2055</v>
      </c>
      <c r="Q696" s="29" t="s">
        <v>1623</v>
      </c>
      <c r="R696" s="29" t="s">
        <v>2056</v>
      </c>
      <c r="S696" s="29" t="s">
        <v>2057</v>
      </c>
      <c r="T696" s="29" t="s">
        <v>2058</v>
      </c>
      <c r="U696" s="29" t="s">
        <v>4009</v>
      </c>
      <c r="V696" s="29" t="s">
        <v>4010</v>
      </c>
      <c r="W696" s="35" t="s">
        <v>1628</v>
      </c>
      <c r="X696" s="35" t="s">
        <v>1982</v>
      </c>
      <c r="Y696" s="35" t="s">
        <v>1775</v>
      </c>
      <c r="Z696" s="35" t="s">
        <v>2060</v>
      </c>
      <c r="AA696" s="35" t="s">
        <v>4011</v>
      </c>
      <c r="AB696" s="29" t="s">
        <v>2061</v>
      </c>
      <c r="AC696" s="35" t="s">
        <v>1633</v>
      </c>
      <c r="AD696" s="35" t="s">
        <v>1634</v>
      </c>
      <c r="AE696" s="35" t="s">
        <v>1634</v>
      </c>
      <c r="AF696" s="35" t="s">
        <v>1669</v>
      </c>
      <c r="AG696" s="35" t="s">
        <v>1728</v>
      </c>
      <c r="AI696" s="35"/>
      <c r="AJ696" s="35" t="s">
        <v>3340</v>
      </c>
      <c r="AK696" s="35" t="s">
        <v>1672</v>
      </c>
      <c r="AL696" s="29" t="s">
        <v>2063</v>
      </c>
      <c r="AM696" s="35"/>
      <c r="AN696" s="35"/>
      <c r="AO696" s="35"/>
      <c r="AP696" s="35"/>
      <c r="AQ696" s="35"/>
      <c r="AR696" s="29" t="s">
        <v>1756</v>
      </c>
      <c r="AS696" s="35"/>
      <c r="AT696" s="29" t="s">
        <v>1640</v>
      </c>
      <c r="AU696" s="35"/>
      <c r="AV696" s="29" t="s">
        <v>1641</v>
      </c>
      <c r="AW696" s="35"/>
      <c r="AX696" s="29" t="s">
        <v>1674</v>
      </c>
      <c r="AY696" s="35"/>
      <c r="AZ696" s="35"/>
      <c r="BA696" s="35"/>
      <c r="BB696" s="29" t="s">
        <v>4001</v>
      </c>
      <c r="BC696" s="29" t="s">
        <v>4002</v>
      </c>
      <c r="BF696" s="29" t="s">
        <v>1909</v>
      </c>
      <c r="BG696" s="29" t="s">
        <v>4003</v>
      </c>
      <c r="BH696" s="29" t="s">
        <v>1986</v>
      </c>
      <c r="BI696" s="35"/>
      <c r="BJ696" s="35"/>
      <c r="BK696" s="29" t="str" cm="1">
        <f t="array" ref="BK696">_xlfn.UNIQUE(MID(BB696,16,14))</f>
        <v>U012UNA01UH112</v>
      </c>
    </row>
    <row r="697" spans="1:63" hidden="1" x14ac:dyDescent="0.3">
      <c r="A697" s="29" t="s">
        <v>2053</v>
      </c>
      <c r="B697" s="36" t="str">
        <f t="shared" si="50"/>
        <v>G01NHB01KF001-BA01</v>
      </c>
      <c r="C697" s="33" t="s">
        <v>4012</v>
      </c>
      <c r="D697" s="34" t="str">
        <f t="shared" si="51"/>
        <v>ELY1 GRP1 CTRL U1 CELL VOLT1 CHAN BIT2</v>
      </c>
      <c r="E697" s="31">
        <f t="shared" si="52"/>
        <v>38</v>
      </c>
      <c r="F697" s="32" t="str">
        <f t="shared" si="53"/>
        <v>ELECTROLYSIS SYSTEM ELECTROLYSIS ARRAY 1 ELECTROLYZER SYSTEM MODULE GROUP 1 CONTROL UNITS CELL VOLTAGE MEASUREMENT CELL-VOLTAGE-MEASUREMENT - MODULE 1 COMMAND - CHANNEL ADRESS BIT 2</v>
      </c>
      <c r="G697" s="29" t="s">
        <v>1614</v>
      </c>
      <c r="H697" s="29" t="s">
        <v>1615</v>
      </c>
      <c r="I697" s="29" t="str">
        <f t="shared" si="54"/>
        <v>01</v>
      </c>
      <c r="J697" s="29" t="s">
        <v>1616</v>
      </c>
      <c r="K697" s="29" t="s">
        <v>1976</v>
      </c>
      <c r="L697" s="29" t="s">
        <v>1977</v>
      </c>
      <c r="M697" s="29" t="s">
        <v>1619</v>
      </c>
      <c r="N697" s="29" t="s">
        <v>1978</v>
      </c>
      <c r="O697" s="29" t="s">
        <v>1771</v>
      </c>
      <c r="P697" s="29" t="s">
        <v>2055</v>
      </c>
      <c r="Q697" s="29" t="s">
        <v>1623</v>
      </c>
      <c r="R697" s="29" t="s">
        <v>2056</v>
      </c>
      <c r="S697" s="29" t="s">
        <v>2057</v>
      </c>
      <c r="T697" s="29" t="s">
        <v>2058</v>
      </c>
      <c r="U697" s="29" t="s">
        <v>4013</v>
      </c>
      <c r="V697" s="29" t="s">
        <v>4014</v>
      </c>
      <c r="W697" s="35" t="s">
        <v>1628</v>
      </c>
      <c r="X697" s="35" t="s">
        <v>1982</v>
      </c>
      <c r="Y697" s="35" t="s">
        <v>1775</v>
      </c>
      <c r="Z697" s="35" t="s">
        <v>2060</v>
      </c>
      <c r="AA697" s="35" t="s">
        <v>4015</v>
      </c>
      <c r="AB697" s="29" t="s">
        <v>2061</v>
      </c>
      <c r="AC697" s="35" t="s">
        <v>1633</v>
      </c>
      <c r="AD697" s="35" t="s">
        <v>1634</v>
      </c>
      <c r="AE697" s="35" t="s">
        <v>1634</v>
      </c>
      <c r="AF697" s="35" t="s">
        <v>1669</v>
      </c>
      <c r="AG697" s="35" t="s">
        <v>1728</v>
      </c>
      <c r="AI697" s="35"/>
      <c r="AJ697" s="35" t="s">
        <v>3340</v>
      </c>
      <c r="AK697" s="35" t="s">
        <v>1672</v>
      </c>
      <c r="AL697" s="29" t="s">
        <v>2063</v>
      </c>
      <c r="AM697" s="35"/>
      <c r="AN697" s="35"/>
      <c r="AO697" s="35"/>
      <c r="AP697" s="35"/>
      <c r="AQ697" s="35"/>
      <c r="AR697" s="29" t="s">
        <v>1756</v>
      </c>
      <c r="AS697" s="35"/>
      <c r="AT697" s="29" t="s">
        <v>1640</v>
      </c>
      <c r="AU697" s="35"/>
      <c r="AV697" s="29" t="s">
        <v>1641</v>
      </c>
      <c r="AW697" s="35"/>
      <c r="AX697" s="29" t="s">
        <v>1674</v>
      </c>
      <c r="AY697" s="35"/>
      <c r="AZ697" s="35"/>
      <c r="BA697" s="35"/>
      <c r="BB697" s="29" t="s">
        <v>4001</v>
      </c>
      <c r="BC697" s="29" t="s">
        <v>4002</v>
      </c>
      <c r="BF697" s="29" t="s">
        <v>1915</v>
      </c>
      <c r="BG697" s="29" t="s">
        <v>4003</v>
      </c>
      <c r="BH697" s="29" t="s">
        <v>1986</v>
      </c>
      <c r="BI697" s="35"/>
      <c r="BJ697" s="35"/>
      <c r="BK697" s="29" t="str" cm="1">
        <f t="array" ref="BK697">_xlfn.UNIQUE(MID(BB697,16,14))</f>
        <v>U012UNA01UH112</v>
      </c>
    </row>
    <row r="698" spans="1:63" hidden="1" x14ac:dyDescent="0.3">
      <c r="A698" s="29" t="s">
        <v>2053</v>
      </c>
      <c r="B698" s="36" t="str">
        <f t="shared" si="50"/>
        <v>G01NHB01KF001-BA01</v>
      </c>
      <c r="C698" s="33" t="s">
        <v>4016</v>
      </c>
      <c r="D698" s="34" t="str">
        <f t="shared" si="51"/>
        <v>ELY1 GRP1 CTRL U1 CELL VOLT1 CHAN BIT3</v>
      </c>
      <c r="E698" s="31">
        <f t="shared" si="52"/>
        <v>38</v>
      </c>
      <c r="F698" s="32" t="str">
        <f t="shared" si="53"/>
        <v>ELECTROLYSIS SYSTEM ELECTROLYSIS ARRAY 1 ELECTROLYZER SYSTEM MODULE GROUP 1 CONTROL UNITS CELL VOLTAGE MEASUREMENT CELL-VOLTAGE-MEASUREMENT - MODULE 1 COMMAND - CHANNEL ADRESS BIT 3</v>
      </c>
      <c r="G698" s="29" t="s">
        <v>1614</v>
      </c>
      <c r="H698" s="29" t="s">
        <v>1615</v>
      </c>
      <c r="I698" s="29" t="str">
        <f t="shared" si="54"/>
        <v>01</v>
      </c>
      <c r="J698" s="29" t="s">
        <v>1616</v>
      </c>
      <c r="K698" s="29" t="s">
        <v>1976</v>
      </c>
      <c r="L698" s="29" t="s">
        <v>1977</v>
      </c>
      <c r="M698" s="29" t="s">
        <v>1619</v>
      </c>
      <c r="N698" s="29" t="s">
        <v>1978</v>
      </c>
      <c r="O698" s="29" t="s">
        <v>1771</v>
      </c>
      <c r="P698" s="29" t="s">
        <v>2055</v>
      </c>
      <c r="Q698" s="29" t="s">
        <v>1623</v>
      </c>
      <c r="R698" s="29" t="s">
        <v>2056</v>
      </c>
      <c r="S698" s="29" t="s">
        <v>2057</v>
      </c>
      <c r="T698" s="29" t="s">
        <v>2058</v>
      </c>
      <c r="U698" s="29" t="s">
        <v>4017</v>
      </c>
      <c r="V698" s="29" t="s">
        <v>4018</v>
      </c>
      <c r="W698" s="35" t="s">
        <v>1628</v>
      </c>
      <c r="X698" s="35" t="s">
        <v>1982</v>
      </c>
      <c r="Y698" s="35" t="s">
        <v>1775</v>
      </c>
      <c r="Z698" s="35" t="s">
        <v>2060</v>
      </c>
      <c r="AA698" s="35" t="s">
        <v>4019</v>
      </c>
      <c r="AB698" s="29" t="s">
        <v>2061</v>
      </c>
      <c r="AC698" s="35" t="s">
        <v>1633</v>
      </c>
      <c r="AD698" s="35" t="s">
        <v>1634</v>
      </c>
      <c r="AE698" s="35" t="s">
        <v>1634</v>
      </c>
      <c r="AF698" s="35" t="s">
        <v>1669</v>
      </c>
      <c r="AG698" s="35" t="s">
        <v>1728</v>
      </c>
      <c r="AI698" s="35"/>
      <c r="AJ698" s="35" t="s">
        <v>3340</v>
      </c>
      <c r="AK698" s="35" t="s">
        <v>1672</v>
      </c>
      <c r="AL698" s="29" t="s">
        <v>2063</v>
      </c>
      <c r="AM698" s="35"/>
      <c r="AN698" s="35"/>
      <c r="AO698" s="35"/>
      <c r="AP698" s="35"/>
      <c r="AQ698" s="35"/>
      <c r="AR698" s="29" t="s">
        <v>1756</v>
      </c>
      <c r="AS698" s="35"/>
      <c r="AT698" s="29" t="s">
        <v>1640</v>
      </c>
      <c r="AU698" s="35"/>
      <c r="AV698" s="29" t="s">
        <v>1641</v>
      </c>
      <c r="AW698" s="35"/>
      <c r="AX698" s="29" t="s">
        <v>1674</v>
      </c>
      <c r="AY698" s="35"/>
      <c r="AZ698" s="35"/>
      <c r="BA698" s="35"/>
      <c r="BB698" s="29" t="s">
        <v>4001</v>
      </c>
      <c r="BC698" s="29" t="s">
        <v>4002</v>
      </c>
      <c r="BF698" s="29" t="s">
        <v>1919</v>
      </c>
      <c r="BG698" s="29" t="s">
        <v>4020</v>
      </c>
      <c r="BH698" s="29" t="s">
        <v>1986</v>
      </c>
      <c r="BI698" s="35"/>
      <c r="BJ698" s="35"/>
      <c r="BK698" s="29" t="str" cm="1">
        <f t="array" ref="BK698">_xlfn.UNIQUE(MID(BB698,16,14))</f>
        <v>U012UNA01UH112</v>
      </c>
    </row>
    <row r="699" spans="1:63" hidden="1" x14ac:dyDescent="0.3">
      <c r="A699" s="29" t="s">
        <v>2053</v>
      </c>
      <c r="B699" s="36" t="str">
        <f t="shared" si="50"/>
        <v>G01NHB01KF001-BA01</v>
      </c>
      <c r="C699" s="33" t="s">
        <v>4021</v>
      </c>
      <c r="D699" s="34" t="str">
        <f t="shared" si="51"/>
        <v>ELY1 GRP1 CTRL U1 CELL VOLT1 CHAN BIT4</v>
      </c>
      <c r="E699" s="31">
        <f t="shared" si="52"/>
        <v>38</v>
      </c>
      <c r="F699" s="32" t="str">
        <f t="shared" si="53"/>
        <v>ELECTROLYSIS SYSTEM ELECTROLYSIS ARRAY 1 ELECTROLYZER SYSTEM MODULE GROUP 1 CONTROL UNITS CELL VOLTAGE MEASUREMENT CELL-VOLTAGE-MEASUREMENT - MODULE 1 COMMAND - CHANNEL ADRESS BIT 4</v>
      </c>
      <c r="G699" s="29" t="s">
        <v>1614</v>
      </c>
      <c r="H699" s="29" t="s">
        <v>1615</v>
      </c>
      <c r="I699" s="29" t="str">
        <f t="shared" si="54"/>
        <v>01</v>
      </c>
      <c r="J699" s="29" t="s">
        <v>1616</v>
      </c>
      <c r="K699" s="29" t="s">
        <v>1976</v>
      </c>
      <c r="L699" s="29" t="s">
        <v>1977</v>
      </c>
      <c r="M699" s="29" t="s">
        <v>1619</v>
      </c>
      <c r="N699" s="29" t="s">
        <v>1978</v>
      </c>
      <c r="O699" s="29" t="s">
        <v>1771</v>
      </c>
      <c r="P699" s="29" t="s">
        <v>2055</v>
      </c>
      <c r="Q699" s="29" t="s">
        <v>1623</v>
      </c>
      <c r="R699" s="29" t="s">
        <v>2056</v>
      </c>
      <c r="S699" s="29" t="s">
        <v>2057</v>
      </c>
      <c r="T699" s="29" t="s">
        <v>2058</v>
      </c>
      <c r="U699" s="29" t="s">
        <v>4022</v>
      </c>
      <c r="V699" s="29" t="s">
        <v>4023</v>
      </c>
      <c r="W699" s="35" t="s">
        <v>1628</v>
      </c>
      <c r="X699" s="35" t="s">
        <v>1982</v>
      </c>
      <c r="Y699" s="35" t="s">
        <v>1775</v>
      </c>
      <c r="Z699" s="35" t="s">
        <v>2060</v>
      </c>
      <c r="AA699" s="35" t="s">
        <v>4024</v>
      </c>
      <c r="AB699" s="29" t="s">
        <v>2061</v>
      </c>
      <c r="AC699" s="35" t="s">
        <v>1633</v>
      </c>
      <c r="AD699" s="35" t="s">
        <v>1634</v>
      </c>
      <c r="AE699" s="35" t="s">
        <v>1634</v>
      </c>
      <c r="AF699" s="35" t="s">
        <v>1669</v>
      </c>
      <c r="AG699" s="35" t="s">
        <v>1728</v>
      </c>
      <c r="AI699" s="35"/>
      <c r="AJ699" s="35" t="s">
        <v>3340</v>
      </c>
      <c r="AK699" s="35" t="s">
        <v>1672</v>
      </c>
      <c r="AL699" s="29" t="s">
        <v>2063</v>
      </c>
      <c r="AM699" s="35"/>
      <c r="AN699" s="35"/>
      <c r="AO699" s="35"/>
      <c r="AP699" s="35"/>
      <c r="AQ699" s="35"/>
      <c r="AR699" s="29" t="s">
        <v>1756</v>
      </c>
      <c r="AS699" s="35"/>
      <c r="AT699" s="29" t="s">
        <v>1640</v>
      </c>
      <c r="AU699" s="35"/>
      <c r="AV699" s="29" t="s">
        <v>1641</v>
      </c>
      <c r="AW699" s="35"/>
      <c r="AX699" s="29" t="s">
        <v>1674</v>
      </c>
      <c r="AY699" s="35"/>
      <c r="AZ699" s="35"/>
      <c r="BA699" s="35"/>
      <c r="BB699" s="29" t="s">
        <v>4001</v>
      </c>
      <c r="BC699" s="29" t="s">
        <v>4002</v>
      </c>
      <c r="BF699" s="29" t="s">
        <v>1922</v>
      </c>
      <c r="BG699" s="29" t="s">
        <v>4020</v>
      </c>
      <c r="BH699" s="29" t="s">
        <v>1986</v>
      </c>
      <c r="BI699" s="35"/>
      <c r="BJ699" s="35"/>
      <c r="BK699" s="29" t="str" cm="1">
        <f t="array" ref="BK699">_xlfn.UNIQUE(MID(BB699,16,14))</f>
        <v>U012UNA01UH112</v>
      </c>
    </row>
    <row r="700" spans="1:63" hidden="1" x14ac:dyDescent="0.3">
      <c r="A700" s="29" t="s">
        <v>2053</v>
      </c>
      <c r="B700" s="36" t="str">
        <f t="shared" si="50"/>
        <v>G01NHB01KF001-BA01</v>
      </c>
      <c r="C700" s="33" t="s">
        <v>4025</v>
      </c>
      <c r="D700" s="34" t="str">
        <f t="shared" si="51"/>
        <v>ELY1 GRP1 CTRL U1 CELL VOLT1 CHAN BIT5</v>
      </c>
      <c r="E700" s="31">
        <f t="shared" si="52"/>
        <v>38</v>
      </c>
      <c r="F700" s="32" t="str">
        <f t="shared" si="53"/>
        <v>ELECTROLYSIS SYSTEM ELECTROLYSIS ARRAY 1 ELECTROLYZER SYSTEM MODULE GROUP 1 CONTROL UNITS CELL VOLTAGE MEASUREMENT CELL-VOLTAGE-MEASUREMENT - MODULE 1 COMMAND - CHANNEL ADRESS BIT 5</v>
      </c>
      <c r="G700" s="29" t="s">
        <v>1614</v>
      </c>
      <c r="H700" s="29" t="s">
        <v>1615</v>
      </c>
      <c r="I700" s="29" t="str">
        <f t="shared" si="54"/>
        <v>01</v>
      </c>
      <c r="J700" s="29" t="s">
        <v>1616</v>
      </c>
      <c r="K700" s="29" t="s">
        <v>1976</v>
      </c>
      <c r="L700" s="29" t="s">
        <v>1977</v>
      </c>
      <c r="M700" s="29" t="s">
        <v>1619</v>
      </c>
      <c r="N700" s="29" t="s">
        <v>1978</v>
      </c>
      <c r="O700" s="29" t="s">
        <v>1771</v>
      </c>
      <c r="P700" s="29" t="s">
        <v>2055</v>
      </c>
      <c r="Q700" s="29" t="s">
        <v>1623</v>
      </c>
      <c r="R700" s="29" t="s">
        <v>2056</v>
      </c>
      <c r="S700" s="29" t="s">
        <v>2057</v>
      </c>
      <c r="T700" s="29" t="s">
        <v>2058</v>
      </c>
      <c r="U700" s="29" t="s">
        <v>4026</v>
      </c>
      <c r="V700" s="29" t="s">
        <v>4027</v>
      </c>
      <c r="W700" s="35" t="s">
        <v>1628</v>
      </c>
      <c r="X700" s="35" t="s">
        <v>1982</v>
      </c>
      <c r="Y700" s="35" t="s">
        <v>1775</v>
      </c>
      <c r="Z700" s="35" t="s">
        <v>2060</v>
      </c>
      <c r="AA700" s="35" t="s">
        <v>4028</v>
      </c>
      <c r="AB700" s="29" t="s">
        <v>2061</v>
      </c>
      <c r="AC700" s="35" t="s">
        <v>1633</v>
      </c>
      <c r="AD700" s="35" t="s">
        <v>1634</v>
      </c>
      <c r="AE700" s="35" t="s">
        <v>1634</v>
      </c>
      <c r="AF700" s="35" t="s">
        <v>1669</v>
      </c>
      <c r="AG700" s="35" t="s">
        <v>1728</v>
      </c>
      <c r="AI700" s="35"/>
      <c r="AJ700" s="35" t="s">
        <v>3340</v>
      </c>
      <c r="AK700" s="35" t="s">
        <v>1672</v>
      </c>
      <c r="AL700" s="29" t="s">
        <v>2063</v>
      </c>
      <c r="AM700" s="35"/>
      <c r="AN700" s="35"/>
      <c r="AO700" s="35"/>
      <c r="AP700" s="35"/>
      <c r="AQ700" s="35"/>
      <c r="AR700" s="29" t="s">
        <v>1756</v>
      </c>
      <c r="AS700" s="35"/>
      <c r="AT700" s="29" t="s">
        <v>1640</v>
      </c>
      <c r="AU700" s="35"/>
      <c r="AV700" s="29" t="s">
        <v>1641</v>
      </c>
      <c r="AW700" s="35"/>
      <c r="AX700" s="29" t="s">
        <v>1674</v>
      </c>
      <c r="AY700" s="35"/>
      <c r="AZ700" s="35"/>
      <c r="BA700" s="35"/>
      <c r="BB700" s="29" t="s">
        <v>4001</v>
      </c>
      <c r="BC700" s="29" t="s">
        <v>4002</v>
      </c>
      <c r="BF700" s="29" t="s">
        <v>1931</v>
      </c>
      <c r="BG700" s="29" t="s">
        <v>4020</v>
      </c>
      <c r="BH700" s="29" t="s">
        <v>1986</v>
      </c>
      <c r="BI700" s="35"/>
      <c r="BJ700" s="35"/>
      <c r="BK700" s="29" t="str" cm="1">
        <f t="array" ref="BK700">_xlfn.UNIQUE(MID(BB700,16,14))</f>
        <v>U012UNA01UH112</v>
      </c>
    </row>
    <row r="701" spans="1:63" hidden="1" x14ac:dyDescent="0.3">
      <c r="A701" s="29" t="s">
        <v>2053</v>
      </c>
      <c r="B701" s="36" t="str">
        <f t="shared" si="50"/>
        <v>G01NHB01KF001-BA01</v>
      </c>
      <c r="C701" s="33" t="s">
        <v>4029</v>
      </c>
      <c r="D701" s="34" t="str">
        <f t="shared" si="51"/>
        <v>ELY1 GRP1 CTRL U1 CELL VOLT1 CHAN BIT6</v>
      </c>
      <c r="E701" s="31">
        <f t="shared" si="52"/>
        <v>38</v>
      </c>
      <c r="F701" s="32" t="str">
        <f t="shared" si="53"/>
        <v>ELECTROLYSIS SYSTEM ELECTROLYSIS ARRAY 1 ELECTROLYZER SYSTEM MODULE GROUP 1 CONTROL UNITS CELL VOLTAGE MEASUREMENT CELL-VOLTAGE-MEASUREMENT - MODULE 1 COMMAND - CHANNEL ADRESS BIT 6</v>
      </c>
      <c r="G701" s="29" t="s">
        <v>1614</v>
      </c>
      <c r="H701" s="29" t="s">
        <v>1615</v>
      </c>
      <c r="I701" s="29" t="str">
        <f t="shared" si="54"/>
        <v>01</v>
      </c>
      <c r="J701" s="29" t="s">
        <v>1616</v>
      </c>
      <c r="K701" s="29" t="s">
        <v>1976</v>
      </c>
      <c r="L701" s="29" t="s">
        <v>1977</v>
      </c>
      <c r="M701" s="29" t="s">
        <v>1619</v>
      </c>
      <c r="N701" s="29" t="s">
        <v>1978</v>
      </c>
      <c r="O701" s="29" t="s">
        <v>1771</v>
      </c>
      <c r="P701" s="29" t="s">
        <v>2055</v>
      </c>
      <c r="Q701" s="29" t="s">
        <v>1623</v>
      </c>
      <c r="R701" s="29" t="s">
        <v>2056</v>
      </c>
      <c r="S701" s="29" t="s">
        <v>2057</v>
      </c>
      <c r="T701" s="29" t="s">
        <v>2058</v>
      </c>
      <c r="U701" s="29" t="s">
        <v>4030</v>
      </c>
      <c r="V701" s="29" t="s">
        <v>4031</v>
      </c>
      <c r="W701" s="35" t="s">
        <v>1628</v>
      </c>
      <c r="X701" s="35" t="s">
        <v>1982</v>
      </c>
      <c r="Y701" s="35" t="s">
        <v>1775</v>
      </c>
      <c r="Z701" s="35" t="s">
        <v>2060</v>
      </c>
      <c r="AA701" s="35" t="s">
        <v>4032</v>
      </c>
      <c r="AB701" s="29" t="s">
        <v>2061</v>
      </c>
      <c r="AC701" s="35" t="s">
        <v>1633</v>
      </c>
      <c r="AD701" s="35" t="s">
        <v>1634</v>
      </c>
      <c r="AE701" s="35" t="s">
        <v>1634</v>
      </c>
      <c r="AF701" s="35" t="s">
        <v>1669</v>
      </c>
      <c r="AG701" s="35" t="s">
        <v>1728</v>
      </c>
      <c r="AI701" s="35"/>
      <c r="AJ701" s="35" t="s">
        <v>3340</v>
      </c>
      <c r="AK701" s="35" t="s">
        <v>1672</v>
      </c>
      <c r="AL701" s="29" t="s">
        <v>2063</v>
      </c>
      <c r="AM701" s="35"/>
      <c r="AN701" s="35"/>
      <c r="AO701" s="35"/>
      <c r="AP701" s="35"/>
      <c r="AQ701" s="35"/>
      <c r="AR701" s="29" t="s">
        <v>1756</v>
      </c>
      <c r="AS701" s="35"/>
      <c r="AT701" s="29" t="s">
        <v>1640</v>
      </c>
      <c r="AU701" s="35"/>
      <c r="AV701" s="29" t="s">
        <v>1641</v>
      </c>
      <c r="AW701" s="35"/>
      <c r="AX701" s="29" t="s">
        <v>1674</v>
      </c>
      <c r="AY701" s="35"/>
      <c r="AZ701" s="35"/>
      <c r="BA701" s="35"/>
      <c r="BB701" s="29" t="s">
        <v>4001</v>
      </c>
      <c r="BC701" s="29" t="s">
        <v>4002</v>
      </c>
      <c r="BF701" s="29" t="s">
        <v>1936</v>
      </c>
      <c r="BG701" s="29" t="s">
        <v>4020</v>
      </c>
      <c r="BH701" s="29" t="s">
        <v>1986</v>
      </c>
      <c r="BI701" s="35"/>
      <c r="BJ701" s="35"/>
      <c r="BK701" s="29" t="str" cm="1">
        <f t="array" ref="BK701">_xlfn.UNIQUE(MID(BB701,16,14))</f>
        <v>U012UNA01UH112</v>
      </c>
    </row>
    <row r="702" spans="1:63" hidden="1" x14ac:dyDescent="0.3">
      <c r="A702" s="29" t="s">
        <v>2126</v>
      </c>
      <c r="B702" s="36" t="str">
        <f t="shared" si="50"/>
        <v>G01NHB02KF001-BA01</v>
      </c>
      <c r="C702" s="33" t="s">
        <v>4033</v>
      </c>
      <c r="D702" s="34" t="str">
        <f t="shared" si="51"/>
        <v>ELY1 GRP2 CTRL U1 CELL VOLT1 CHAN TRF</v>
      </c>
      <c r="E702" s="31">
        <f t="shared" si="52"/>
        <v>37</v>
      </c>
      <c r="F702" s="32" t="str">
        <f t="shared" si="53"/>
        <v>ELECTROLYSIS SYSTEM ELECTROLYSIS ARRAY 1 ELECTROLYZER SYSTEM MODULE GROUP 2 CONTROL UNITS CELL VOLTAGE MEASUREMENT CELL-VOLTAGE-MEASUREMENT - MODULE 1 COMMAND - CHANNEL ADRESS TRANSFER</v>
      </c>
      <c r="G702" s="29" t="s">
        <v>1614</v>
      </c>
      <c r="H702" s="29" t="s">
        <v>1615</v>
      </c>
      <c r="I702" s="29" t="str">
        <f t="shared" si="54"/>
        <v>01</v>
      </c>
      <c r="J702" s="29" t="s">
        <v>1616</v>
      </c>
      <c r="K702" s="29" t="s">
        <v>1976</v>
      </c>
      <c r="L702" s="29" t="s">
        <v>1977</v>
      </c>
      <c r="M702" s="29" t="s">
        <v>1905</v>
      </c>
      <c r="N702" s="29" t="s">
        <v>2089</v>
      </c>
      <c r="O702" s="29" t="s">
        <v>1771</v>
      </c>
      <c r="P702" s="29" t="s">
        <v>2055</v>
      </c>
      <c r="Q702" s="29" t="s">
        <v>1623</v>
      </c>
      <c r="R702" s="29" t="s">
        <v>2056</v>
      </c>
      <c r="S702" s="29" t="s">
        <v>2057</v>
      </c>
      <c r="T702" s="29" t="s">
        <v>2058</v>
      </c>
      <c r="U702" s="29" t="s">
        <v>3998</v>
      </c>
      <c r="V702" s="29" t="s">
        <v>3999</v>
      </c>
      <c r="W702" s="35" t="s">
        <v>1628</v>
      </c>
      <c r="X702" s="35" t="s">
        <v>2090</v>
      </c>
      <c r="Y702" s="35" t="s">
        <v>1775</v>
      </c>
      <c r="Z702" s="35" t="s">
        <v>2060</v>
      </c>
      <c r="AA702" s="35" t="s">
        <v>4000</v>
      </c>
      <c r="AB702" s="29" t="s">
        <v>2061</v>
      </c>
      <c r="AC702" s="35" t="s">
        <v>1633</v>
      </c>
      <c r="AD702" s="35" t="s">
        <v>1634</v>
      </c>
      <c r="AE702" s="35" t="s">
        <v>1634</v>
      </c>
      <c r="AF702" s="35" t="s">
        <v>1669</v>
      </c>
      <c r="AG702" s="35" t="s">
        <v>1728</v>
      </c>
      <c r="AI702" s="35"/>
      <c r="AJ702" s="35" t="s">
        <v>3340</v>
      </c>
      <c r="AK702" s="35" t="s">
        <v>1672</v>
      </c>
      <c r="AL702" s="29" t="s">
        <v>2063</v>
      </c>
      <c r="AM702" s="35"/>
      <c r="AN702" s="35"/>
      <c r="AO702" s="35"/>
      <c r="AP702" s="35"/>
      <c r="AQ702" s="35"/>
      <c r="AR702" s="29" t="s">
        <v>1756</v>
      </c>
      <c r="AS702" s="35"/>
      <c r="AT702" s="29" t="s">
        <v>1640</v>
      </c>
      <c r="AU702" s="35"/>
      <c r="AV702" s="29" t="s">
        <v>1641</v>
      </c>
      <c r="AW702" s="35"/>
      <c r="AX702" s="29" t="s">
        <v>1674</v>
      </c>
      <c r="AY702" s="35"/>
      <c r="AZ702" s="35"/>
      <c r="BA702" s="35"/>
      <c r="BB702" s="29" t="s">
        <v>4034</v>
      </c>
      <c r="BC702" s="29" t="s">
        <v>4002</v>
      </c>
      <c r="BF702" s="29" t="s">
        <v>1931</v>
      </c>
      <c r="BG702" s="29" t="s">
        <v>4035</v>
      </c>
      <c r="BH702" s="29" t="s">
        <v>2093</v>
      </c>
      <c r="BI702" s="35"/>
      <c r="BJ702" s="35"/>
      <c r="BK702" s="29" t="str" cm="1">
        <f t="array" ref="BK702">_xlfn.UNIQUE(MID(BB702,16,14))</f>
        <v>U012UNA01UH122</v>
      </c>
    </row>
    <row r="703" spans="1:63" hidden="1" x14ac:dyDescent="0.3">
      <c r="A703" s="29" t="s">
        <v>2126</v>
      </c>
      <c r="B703" s="36" t="str">
        <f t="shared" si="50"/>
        <v>G01NHB02KF001-BA01</v>
      </c>
      <c r="C703" s="33" t="s">
        <v>4036</v>
      </c>
      <c r="D703" s="34" t="str">
        <f t="shared" si="51"/>
        <v>ELY1 GRP2 CTRL U1 CELL VOLT1 CHAN ADR</v>
      </c>
      <c r="E703" s="31">
        <f t="shared" si="52"/>
        <v>37</v>
      </c>
      <c r="F703" s="32" t="str">
        <f t="shared" si="53"/>
        <v>ELECTROLYSIS SYSTEM ELECTROLYSIS ARRAY 1 ELECTROLYZER SYSTEM MODULE GROUP 2 CONTROL UNITS CELL VOLTAGE MEASUREMENT CELL-VOLTAGE-MEASUREMENT - MODULE 1 COMMAND - CHANNEL ADRESS ACTIVE</v>
      </c>
      <c r="G703" s="29" t="s">
        <v>1614</v>
      </c>
      <c r="H703" s="29" t="s">
        <v>1615</v>
      </c>
      <c r="I703" s="29" t="str">
        <f t="shared" si="54"/>
        <v>01</v>
      </c>
      <c r="J703" s="29" t="s">
        <v>1616</v>
      </c>
      <c r="K703" s="29" t="s">
        <v>1976</v>
      </c>
      <c r="L703" s="29" t="s">
        <v>1977</v>
      </c>
      <c r="M703" s="29" t="s">
        <v>1905</v>
      </c>
      <c r="N703" s="29" t="s">
        <v>2089</v>
      </c>
      <c r="O703" s="29" t="s">
        <v>1771</v>
      </c>
      <c r="P703" s="29" t="s">
        <v>2055</v>
      </c>
      <c r="Q703" s="29" t="s">
        <v>1623</v>
      </c>
      <c r="R703" s="29" t="s">
        <v>2056</v>
      </c>
      <c r="S703" s="29" t="s">
        <v>2057</v>
      </c>
      <c r="T703" s="29" t="s">
        <v>2058</v>
      </c>
      <c r="U703" s="29" t="s">
        <v>4005</v>
      </c>
      <c r="V703" s="29" t="s">
        <v>4006</v>
      </c>
      <c r="W703" s="35" t="s">
        <v>1628</v>
      </c>
      <c r="X703" s="35" t="s">
        <v>2090</v>
      </c>
      <c r="Y703" s="35" t="s">
        <v>1775</v>
      </c>
      <c r="Z703" s="35" t="s">
        <v>2060</v>
      </c>
      <c r="AA703" s="35" t="s">
        <v>4007</v>
      </c>
      <c r="AB703" s="29" t="s">
        <v>2061</v>
      </c>
      <c r="AC703" s="35" t="s">
        <v>1633</v>
      </c>
      <c r="AD703" s="35" t="s">
        <v>1634</v>
      </c>
      <c r="AE703" s="35" t="s">
        <v>1634</v>
      </c>
      <c r="AF703" s="35" t="s">
        <v>1669</v>
      </c>
      <c r="AG703" s="35" t="s">
        <v>1728</v>
      </c>
      <c r="AI703" s="35"/>
      <c r="AJ703" s="35" t="s">
        <v>3340</v>
      </c>
      <c r="AK703" s="35" t="s">
        <v>1672</v>
      </c>
      <c r="AL703" s="29" t="s">
        <v>2063</v>
      </c>
      <c r="AM703" s="35"/>
      <c r="AN703" s="35"/>
      <c r="AO703" s="35"/>
      <c r="AP703" s="35"/>
      <c r="AQ703" s="35"/>
      <c r="AR703" s="29" t="s">
        <v>1756</v>
      </c>
      <c r="AS703" s="35"/>
      <c r="AT703" s="29" t="s">
        <v>1640</v>
      </c>
      <c r="AU703" s="35"/>
      <c r="AV703" s="29" t="s">
        <v>1641</v>
      </c>
      <c r="AW703" s="35"/>
      <c r="AX703" s="29" t="s">
        <v>1674</v>
      </c>
      <c r="AY703" s="35"/>
      <c r="AZ703" s="35"/>
      <c r="BA703" s="35"/>
      <c r="BB703" s="29" t="s">
        <v>4034</v>
      </c>
      <c r="BC703" s="29" t="s">
        <v>4002</v>
      </c>
      <c r="BF703" s="29" t="s">
        <v>1936</v>
      </c>
      <c r="BG703" s="29" t="s">
        <v>4035</v>
      </c>
      <c r="BH703" s="29" t="s">
        <v>2093</v>
      </c>
      <c r="BI703" s="35"/>
      <c r="BJ703" s="35"/>
      <c r="BK703" s="29" t="str" cm="1">
        <f t="array" ref="BK703">_xlfn.UNIQUE(MID(BB703,16,14))</f>
        <v>U012UNA01UH122</v>
      </c>
    </row>
    <row r="704" spans="1:63" hidden="1" x14ac:dyDescent="0.3">
      <c r="A704" s="29" t="s">
        <v>2126</v>
      </c>
      <c r="B704" s="36" t="str">
        <f t="shared" si="50"/>
        <v>G01NHB02KF001-BA01</v>
      </c>
      <c r="C704" s="33" t="s">
        <v>4037</v>
      </c>
      <c r="D704" s="34" t="str">
        <f t="shared" si="51"/>
        <v>ELY1 GRP2 CTRL U1 CELL VOLT1 CHAN BIT1</v>
      </c>
      <c r="E704" s="31">
        <f t="shared" si="52"/>
        <v>38</v>
      </c>
      <c r="F704" s="32" t="str">
        <f t="shared" si="53"/>
        <v>ELECTROLYSIS SYSTEM ELECTROLYSIS ARRAY 1 ELECTROLYZER SYSTEM MODULE GROUP 2 CONTROL UNITS CELL VOLTAGE MEASUREMENT CELL-VOLTAGE-MEASUREMENT - MODULE 1 COMMAND - CHANNEL ADRESS BIT 1</v>
      </c>
      <c r="G704" s="29" t="s">
        <v>1614</v>
      </c>
      <c r="H704" s="29" t="s">
        <v>1615</v>
      </c>
      <c r="I704" s="29" t="str">
        <f t="shared" si="54"/>
        <v>01</v>
      </c>
      <c r="J704" s="29" t="s">
        <v>1616</v>
      </c>
      <c r="K704" s="29" t="s">
        <v>1976</v>
      </c>
      <c r="L704" s="29" t="s">
        <v>1977</v>
      </c>
      <c r="M704" s="29" t="s">
        <v>1905</v>
      </c>
      <c r="N704" s="29" t="s">
        <v>2089</v>
      </c>
      <c r="O704" s="29" t="s">
        <v>1771</v>
      </c>
      <c r="P704" s="29" t="s">
        <v>2055</v>
      </c>
      <c r="Q704" s="29" t="s">
        <v>1623</v>
      </c>
      <c r="R704" s="29" t="s">
        <v>2056</v>
      </c>
      <c r="S704" s="29" t="s">
        <v>2057</v>
      </c>
      <c r="T704" s="29" t="s">
        <v>2058</v>
      </c>
      <c r="U704" s="29" t="s">
        <v>4009</v>
      </c>
      <c r="V704" s="29" t="s">
        <v>4010</v>
      </c>
      <c r="W704" s="35" t="s">
        <v>1628</v>
      </c>
      <c r="X704" s="35" t="s">
        <v>2090</v>
      </c>
      <c r="Y704" s="35" t="s">
        <v>1775</v>
      </c>
      <c r="Z704" s="35" t="s">
        <v>2060</v>
      </c>
      <c r="AA704" s="35" t="s">
        <v>4011</v>
      </c>
      <c r="AB704" s="29" t="s">
        <v>2061</v>
      </c>
      <c r="AC704" s="35" t="s">
        <v>1633</v>
      </c>
      <c r="AD704" s="35" t="s">
        <v>1634</v>
      </c>
      <c r="AE704" s="35" t="s">
        <v>1634</v>
      </c>
      <c r="AF704" s="35" t="s">
        <v>1669</v>
      </c>
      <c r="AG704" s="35" t="s">
        <v>1728</v>
      </c>
      <c r="AI704" s="35"/>
      <c r="AJ704" s="35" t="s">
        <v>3340</v>
      </c>
      <c r="AK704" s="35" t="s">
        <v>1672</v>
      </c>
      <c r="AL704" s="29" t="s">
        <v>2063</v>
      </c>
      <c r="AM704" s="35"/>
      <c r="AN704" s="35"/>
      <c r="AO704" s="35"/>
      <c r="AP704" s="35"/>
      <c r="AQ704" s="35"/>
      <c r="AR704" s="29" t="s">
        <v>1756</v>
      </c>
      <c r="AS704" s="35"/>
      <c r="AT704" s="29" t="s">
        <v>1640</v>
      </c>
      <c r="AU704" s="35"/>
      <c r="AV704" s="29" t="s">
        <v>1641</v>
      </c>
      <c r="AW704" s="35"/>
      <c r="AX704" s="29" t="s">
        <v>1674</v>
      </c>
      <c r="AY704" s="35"/>
      <c r="AZ704" s="35"/>
      <c r="BA704" s="35"/>
      <c r="BB704" s="29" t="s">
        <v>4034</v>
      </c>
      <c r="BC704" s="29" t="s">
        <v>4002</v>
      </c>
      <c r="BF704" s="29" t="s">
        <v>1619</v>
      </c>
      <c r="BG704" s="29" t="s">
        <v>4038</v>
      </c>
      <c r="BH704" s="29" t="s">
        <v>2093</v>
      </c>
      <c r="BI704" s="35"/>
      <c r="BJ704" s="35"/>
      <c r="BK704" s="29" t="str" cm="1">
        <f t="array" ref="BK704">_xlfn.UNIQUE(MID(BB704,16,14))</f>
        <v>U012UNA01UH122</v>
      </c>
    </row>
    <row r="705" spans="1:63" hidden="1" x14ac:dyDescent="0.3">
      <c r="A705" s="29" t="s">
        <v>2126</v>
      </c>
      <c r="B705" s="36" t="str">
        <f t="shared" si="50"/>
        <v>G01NHB02KF001-BA01</v>
      </c>
      <c r="C705" s="33" t="s">
        <v>4039</v>
      </c>
      <c r="D705" s="34" t="str">
        <f t="shared" si="51"/>
        <v>ELY1 GRP2 CTRL U1 CELL VOLT1 CHAN BIT2</v>
      </c>
      <c r="E705" s="31">
        <f t="shared" si="52"/>
        <v>38</v>
      </c>
      <c r="F705" s="32" t="str">
        <f t="shared" si="53"/>
        <v>ELECTROLYSIS SYSTEM ELECTROLYSIS ARRAY 1 ELECTROLYZER SYSTEM MODULE GROUP 2 CONTROL UNITS CELL VOLTAGE MEASUREMENT CELL-VOLTAGE-MEASUREMENT - MODULE 1 COMMAND - CHANNEL ADRESS BIT 2</v>
      </c>
      <c r="G705" s="29" t="s">
        <v>1614</v>
      </c>
      <c r="H705" s="29" t="s">
        <v>1615</v>
      </c>
      <c r="I705" s="29" t="str">
        <f t="shared" si="54"/>
        <v>01</v>
      </c>
      <c r="J705" s="29" t="s">
        <v>1616</v>
      </c>
      <c r="K705" s="29" t="s">
        <v>1976</v>
      </c>
      <c r="L705" s="29" t="s">
        <v>1977</v>
      </c>
      <c r="M705" s="29" t="s">
        <v>1905</v>
      </c>
      <c r="N705" s="29" t="s">
        <v>2089</v>
      </c>
      <c r="O705" s="29" t="s">
        <v>1771</v>
      </c>
      <c r="P705" s="29" t="s">
        <v>2055</v>
      </c>
      <c r="Q705" s="29" t="s">
        <v>1623</v>
      </c>
      <c r="R705" s="29" t="s">
        <v>2056</v>
      </c>
      <c r="S705" s="29" t="s">
        <v>2057</v>
      </c>
      <c r="T705" s="29" t="s">
        <v>2058</v>
      </c>
      <c r="U705" s="29" t="s">
        <v>4013</v>
      </c>
      <c r="V705" s="29" t="s">
        <v>4014</v>
      </c>
      <c r="W705" s="35" t="s">
        <v>1628</v>
      </c>
      <c r="X705" s="35" t="s">
        <v>2090</v>
      </c>
      <c r="Y705" s="35" t="s">
        <v>1775</v>
      </c>
      <c r="Z705" s="35" t="s">
        <v>2060</v>
      </c>
      <c r="AA705" s="35" t="s">
        <v>4015</v>
      </c>
      <c r="AB705" s="29" t="s">
        <v>2061</v>
      </c>
      <c r="AC705" s="35" t="s">
        <v>1633</v>
      </c>
      <c r="AD705" s="35" t="s">
        <v>1634</v>
      </c>
      <c r="AE705" s="35" t="s">
        <v>1634</v>
      </c>
      <c r="AF705" s="35" t="s">
        <v>1669</v>
      </c>
      <c r="AG705" s="35" t="s">
        <v>1728</v>
      </c>
      <c r="AI705" s="35"/>
      <c r="AJ705" s="35" t="s">
        <v>3340</v>
      </c>
      <c r="AK705" s="35" t="s">
        <v>1672</v>
      </c>
      <c r="AL705" s="29" t="s">
        <v>2063</v>
      </c>
      <c r="AM705" s="35"/>
      <c r="AN705" s="35"/>
      <c r="AO705" s="35"/>
      <c r="AP705" s="35"/>
      <c r="AQ705" s="35"/>
      <c r="AR705" s="29" t="s">
        <v>1756</v>
      </c>
      <c r="AS705" s="35"/>
      <c r="AT705" s="29" t="s">
        <v>1640</v>
      </c>
      <c r="AU705" s="35"/>
      <c r="AV705" s="29" t="s">
        <v>1641</v>
      </c>
      <c r="AW705" s="35"/>
      <c r="AX705" s="29" t="s">
        <v>1674</v>
      </c>
      <c r="AY705" s="35"/>
      <c r="AZ705" s="35"/>
      <c r="BA705" s="35"/>
      <c r="BB705" s="29" t="s">
        <v>4034</v>
      </c>
      <c r="BC705" s="29" t="s">
        <v>4002</v>
      </c>
      <c r="BF705" s="29" t="s">
        <v>1905</v>
      </c>
      <c r="BG705" s="29" t="s">
        <v>4038</v>
      </c>
      <c r="BH705" s="29" t="s">
        <v>2093</v>
      </c>
      <c r="BI705" s="35"/>
      <c r="BJ705" s="35"/>
      <c r="BK705" s="29" t="str" cm="1">
        <f t="array" ref="BK705">_xlfn.UNIQUE(MID(BB705,16,14))</f>
        <v>U012UNA01UH122</v>
      </c>
    </row>
    <row r="706" spans="1:63" hidden="1" x14ac:dyDescent="0.3">
      <c r="A706" s="29" t="s">
        <v>2126</v>
      </c>
      <c r="B706" s="36" t="str">
        <f t="shared" ref="B706:B769" si="55">RIGHT(A706,LEN(A706)-1)&amp;S706</f>
        <v>G01NHB02KF001-BA01</v>
      </c>
      <c r="C706" s="33" t="s">
        <v>4040</v>
      </c>
      <c r="D706" s="34" t="str">
        <f t="shared" ref="D706:D769" si="56">UPPER(W706&amp;" "&amp;X706&amp;" "&amp;Y706&amp;" "&amp;Z706&amp;" "&amp;AA706)</f>
        <v>ELY1 GRP2 CTRL U1 CELL VOLT1 CHAN BIT3</v>
      </c>
      <c r="E706" s="31">
        <f t="shared" ref="E706:E769" si="57">LEN(D706)</f>
        <v>38</v>
      </c>
      <c r="F706" s="32" t="str">
        <f t="shared" ref="F706:F769" si="58">UPPER(H706&amp;" "&amp;J706&amp;" "&amp;L706&amp;" "&amp;N706&amp;" "&amp;P706&amp;" "&amp;R706&amp;" "&amp;T706&amp;" "&amp;V706)</f>
        <v>ELECTROLYSIS SYSTEM ELECTROLYSIS ARRAY 1 ELECTROLYZER SYSTEM MODULE GROUP 2 CONTROL UNITS CELL VOLTAGE MEASUREMENT CELL-VOLTAGE-MEASUREMENT - MODULE 1 COMMAND - CHANNEL ADRESS BIT 3</v>
      </c>
      <c r="G706" s="29" t="s">
        <v>1614</v>
      </c>
      <c r="H706" s="29" t="s">
        <v>1615</v>
      </c>
      <c r="I706" s="29" t="str">
        <f t="shared" ref="I706:I769" si="59">RIGHT(LEFT(A706,4),2)</f>
        <v>01</v>
      </c>
      <c r="J706" s="29" t="s">
        <v>1616</v>
      </c>
      <c r="K706" s="29" t="s">
        <v>1976</v>
      </c>
      <c r="L706" s="29" t="s">
        <v>1977</v>
      </c>
      <c r="M706" s="29" t="s">
        <v>1905</v>
      </c>
      <c r="N706" s="29" t="s">
        <v>2089</v>
      </c>
      <c r="O706" s="29" t="s">
        <v>1771</v>
      </c>
      <c r="P706" s="29" t="s">
        <v>2055</v>
      </c>
      <c r="Q706" s="29" t="s">
        <v>1623</v>
      </c>
      <c r="R706" s="29" t="s">
        <v>2056</v>
      </c>
      <c r="S706" s="29" t="s">
        <v>2057</v>
      </c>
      <c r="T706" s="29" t="s">
        <v>2058</v>
      </c>
      <c r="U706" s="29" t="s">
        <v>4017</v>
      </c>
      <c r="V706" s="29" t="s">
        <v>4018</v>
      </c>
      <c r="W706" s="35" t="s">
        <v>1628</v>
      </c>
      <c r="X706" s="35" t="s">
        <v>2090</v>
      </c>
      <c r="Y706" s="35" t="s">
        <v>1775</v>
      </c>
      <c r="Z706" s="35" t="s">
        <v>2060</v>
      </c>
      <c r="AA706" s="35" t="s">
        <v>4019</v>
      </c>
      <c r="AB706" s="29" t="s">
        <v>2061</v>
      </c>
      <c r="AC706" s="35" t="s">
        <v>1633</v>
      </c>
      <c r="AD706" s="35" t="s">
        <v>1634</v>
      </c>
      <c r="AE706" s="35" t="s">
        <v>1634</v>
      </c>
      <c r="AF706" s="35" t="s">
        <v>1669</v>
      </c>
      <c r="AG706" s="35" t="s">
        <v>1728</v>
      </c>
      <c r="AI706" s="35"/>
      <c r="AJ706" s="35" t="s">
        <v>3340</v>
      </c>
      <c r="AK706" s="35" t="s">
        <v>1672</v>
      </c>
      <c r="AL706" s="29" t="s">
        <v>2063</v>
      </c>
      <c r="AM706" s="35"/>
      <c r="AN706" s="35"/>
      <c r="AO706" s="35"/>
      <c r="AP706" s="35"/>
      <c r="AQ706" s="35"/>
      <c r="AR706" s="29" t="s">
        <v>1756</v>
      </c>
      <c r="AS706" s="35"/>
      <c r="AT706" s="29" t="s">
        <v>1640</v>
      </c>
      <c r="AU706" s="35"/>
      <c r="AV706" s="29" t="s">
        <v>1641</v>
      </c>
      <c r="AW706" s="35"/>
      <c r="AX706" s="29" t="s">
        <v>1674</v>
      </c>
      <c r="AY706" s="35"/>
      <c r="AZ706" s="35"/>
      <c r="BA706" s="35"/>
      <c r="BB706" s="29" t="s">
        <v>4034</v>
      </c>
      <c r="BC706" s="29" t="s">
        <v>4002</v>
      </c>
      <c r="BF706" s="29" t="s">
        <v>1909</v>
      </c>
      <c r="BG706" s="29" t="s">
        <v>4038</v>
      </c>
      <c r="BH706" s="29" t="s">
        <v>2093</v>
      </c>
      <c r="BI706" s="35"/>
      <c r="BJ706" s="35"/>
      <c r="BK706" s="29" t="str" cm="1">
        <f t="array" ref="BK706">_xlfn.UNIQUE(MID(BB706,16,14))</f>
        <v>U012UNA01UH122</v>
      </c>
    </row>
    <row r="707" spans="1:63" hidden="1" x14ac:dyDescent="0.3">
      <c r="A707" s="29" t="s">
        <v>2126</v>
      </c>
      <c r="B707" s="36" t="str">
        <f t="shared" si="55"/>
        <v>G01NHB02KF001-BA01</v>
      </c>
      <c r="C707" s="33" t="s">
        <v>4041</v>
      </c>
      <c r="D707" s="34" t="str">
        <f t="shared" si="56"/>
        <v>ELY1 GRP2 CTRL U1 CELL VOLT1 CHAN BIT4</v>
      </c>
      <c r="E707" s="31">
        <f t="shared" si="57"/>
        <v>38</v>
      </c>
      <c r="F707" s="32" t="str">
        <f t="shared" si="58"/>
        <v>ELECTROLYSIS SYSTEM ELECTROLYSIS ARRAY 1 ELECTROLYZER SYSTEM MODULE GROUP 2 CONTROL UNITS CELL VOLTAGE MEASUREMENT CELL-VOLTAGE-MEASUREMENT - MODULE 1 COMMAND - CHANNEL ADRESS BIT 4</v>
      </c>
      <c r="G707" s="29" t="s">
        <v>1614</v>
      </c>
      <c r="H707" s="29" t="s">
        <v>1615</v>
      </c>
      <c r="I707" s="29" t="str">
        <f t="shared" si="59"/>
        <v>01</v>
      </c>
      <c r="J707" s="29" t="s">
        <v>1616</v>
      </c>
      <c r="K707" s="29" t="s">
        <v>1976</v>
      </c>
      <c r="L707" s="29" t="s">
        <v>1977</v>
      </c>
      <c r="M707" s="29" t="s">
        <v>1905</v>
      </c>
      <c r="N707" s="29" t="s">
        <v>2089</v>
      </c>
      <c r="O707" s="29" t="s">
        <v>1771</v>
      </c>
      <c r="P707" s="29" t="s">
        <v>2055</v>
      </c>
      <c r="Q707" s="29" t="s">
        <v>1623</v>
      </c>
      <c r="R707" s="29" t="s">
        <v>2056</v>
      </c>
      <c r="S707" s="29" t="s">
        <v>2057</v>
      </c>
      <c r="T707" s="29" t="s">
        <v>2058</v>
      </c>
      <c r="U707" s="29" t="s">
        <v>4022</v>
      </c>
      <c r="V707" s="29" t="s">
        <v>4023</v>
      </c>
      <c r="W707" s="35" t="s">
        <v>1628</v>
      </c>
      <c r="X707" s="35" t="s">
        <v>2090</v>
      </c>
      <c r="Y707" s="35" t="s">
        <v>1775</v>
      </c>
      <c r="Z707" s="35" t="s">
        <v>2060</v>
      </c>
      <c r="AA707" s="35" t="s">
        <v>4024</v>
      </c>
      <c r="AB707" s="29" t="s">
        <v>2061</v>
      </c>
      <c r="AC707" s="35" t="s">
        <v>1633</v>
      </c>
      <c r="AD707" s="35" t="s">
        <v>1634</v>
      </c>
      <c r="AE707" s="35" t="s">
        <v>1634</v>
      </c>
      <c r="AF707" s="35" t="s">
        <v>1669</v>
      </c>
      <c r="AG707" s="35" t="s">
        <v>1728</v>
      </c>
      <c r="AI707" s="35"/>
      <c r="AJ707" s="35" t="s">
        <v>3340</v>
      </c>
      <c r="AK707" s="35" t="s">
        <v>1672</v>
      </c>
      <c r="AL707" s="29" t="s">
        <v>2063</v>
      </c>
      <c r="AM707" s="35"/>
      <c r="AN707" s="35"/>
      <c r="AO707" s="35"/>
      <c r="AP707" s="35"/>
      <c r="AQ707" s="35"/>
      <c r="AR707" s="29" t="s">
        <v>1756</v>
      </c>
      <c r="AS707" s="35"/>
      <c r="AT707" s="29" t="s">
        <v>1640</v>
      </c>
      <c r="AU707" s="35"/>
      <c r="AV707" s="29" t="s">
        <v>1641</v>
      </c>
      <c r="AW707" s="35"/>
      <c r="AX707" s="29" t="s">
        <v>1674</v>
      </c>
      <c r="AY707" s="35"/>
      <c r="AZ707" s="35"/>
      <c r="BA707" s="35"/>
      <c r="BB707" s="29" t="s">
        <v>4034</v>
      </c>
      <c r="BC707" s="29" t="s">
        <v>4002</v>
      </c>
      <c r="BF707" s="29" t="s">
        <v>1915</v>
      </c>
      <c r="BG707" s="29" t="s">
        <v>4038</v>
      </c>
      <c r="BH707" s="29" t="s">
        <v>2093</v>
      </c>
      <c r="BI707" s="35"/>
      <c r="BJ707" s="35"/>
      <c r="BK707" s="29" t="str" cm="1">
        <f t="array" ref="BK707">_xlfn.UNIQUE(MID(BB707,16,14))</f>
        <v>U012UNA01UH122</v>
      </c>
    </row>
    <row r="708" spans="1:63" hidden="1" x14ac:dyDescent="0.3">
      <c r="A708" s="29" t="s">
        <v>2126</v>
      </c>
      <c r="B708" s="36" t="str">
        <f t="shared" si="55"/>
        <v>G01NHB02KF001-BA01</v>
      </c>
      <c r="C708" s="33" t="s">
        <v>4042</v>
      </c>
      <c r="D708" s="34" t="str">
        <f t="shared" si="56"/>
        <v>ELY1 GRP2 CTRL U1 CELL VOLT1 CHAN BIT5</v>
      </c>
      <c r="E708" s="31">
        <f t="shared" si="57"/>
        <v>38</v>
      </c>
      <c r="F708" s="32" t="str">
        <f t="shared" si="58"/>
        <v>ELECTROLYSIS SYSTEM ELECTROLYSIS ARRAY 1 ELECTROLYZER SYSTEM MODULE GROUP 2 CONTROL UNITS CELL VOLTAGE MEASUREMENT CELL-VOLTAGE-MEASUREMENT - MODULE 1 COMMAND - CHANNEL ADRESS BIT 5</v>
      </c>
      <c r="G708" s="29" t="s">
        <v>1614</v>
      </c>
      <c r="H708" s="29" t="s">
        <v>1615</v>
      </c>
      <c r="I708" s="29" t="str">
        <f t="shared" si="59"/>
        <v>01</v>
      </c>
      <c r="J708" s="29" t="s">
        <v>1616</v>
      </c>
      <c r="K708" s="29" t="s">
        <v>1976</v>
      </c>
      <c r="L708" s="29" t="s">
        <v>1977</v>
      </c>
      <c r="M708" s="29" t="s">
        <v>1905</v>
      </c>
      <c r="N708" s="29" t="s">
        <v>2089</v>
      </c>
      <c r="O708" s="29" t="s">
        <v>1771</v>
      </c>
      <c r="P708" s="29" t="s">
        <v>2055</v>
      </c>
      <c r="Q708" s="29" t="s">
        <v>1623</v>
      </c>
      <c r="R708" s="29" t="s">
        <v>2056</v>
      </c>
      <c r="S708" s="29" t="s">
        <v>2057</v>
      </c>
      <c r="T708" s="29" t="s">
        <v>2058</v>
      </c>
      <c r="U708" s="29" t="s">
        <v>4026</v>
      </c>
      <c r="V708" s="29" t="s">
        <v>4027</v>
      </c>
      <c r="W708" s="35" t="s">
        <v>1628</v>
      </c>
      <c r="X708" s="35" t="s">
        <v>2090</v>
      </c>
      <c r="Y708" s="35" t="s">
        <v>1775</v>
      </c>
      <c r="Z708" s="35" t="s">
        <v>2060</v>
      </c>
      <c r="AA708" s="35" t="s">
        <v>4028</v>
      </c>
      <c r="AB708" s="29" t="s">
        <v>2061</v>
      </c>
      <c r="AC708" s="35" t="s">
        <v>1633</v>
      </c>
      <c r="AD708" s="35" t="s">
        <v>1634</v>
      </c>
      <c r="AE708" s="35" t="s">
        <v>1634</v>
      </c>
      <c r="AF708" s="35" t="s">
        <v>1669</v>
      </c>
      <c r="AG708" s="35" t="s">
        <v>1728</v>
      </c>
      <c r="AI708" s="35"/>
      <c r="AJ708" s="35" t="s">
        <v>3340</v>
      </c>
      <c r="AK708" s="35" t="s">
        <v>1672</v>
      </c>
      <c r="AL708" s="29" t="s">
        <v>2063</v>
      </c>
      <c r="AM708" s="35"/>
      <c r="AN708" s="35"/>
      <c r="AO708" s="35"/>
      <c r="AP708" s="35"/>
      <c r="AQ708" s="35"/>
      <c r="AR708" s="29" t="s">
        <v>1756</v>
      </c>
      <c r="AS708" s="35"/>
      <c r="AT708" s="29" t="s">
        <v>1640</v>
      </c>
      <c r="AU708" s="35"/>
      <c r="AV708" s="29" t="s">
        <v>1641</v>
      </c>
      <c r="AW708" s="35"/>
      <c r="AX708" s="29" t="s">
        <v>1674</v>
      </c>
      <c r="AY708" s="35"/>
      <c r="AZ708" s="35"/>
      <c r="BA708" s="35"/>
      <c r="BB708" s="29" t="s">
        <v>4034</v>
      </c>
      <c r="BC708" s="29" t="s">
        <v>4002</v>
      </c>
      <c r="BF708" s="29" t="s">
        <v>1919</v>
      </c>
      <c r="BG708" s="29" t="s">
        <v>4035</v>
      </c>
      <c r="BH708" s="29" t="s">
        <v>2093</v>
      </c>
      <c r="BI708" s="35"/>
      <c r="BJ708" s="35"/>
      <c r="BK708" s="29" t="str" cm="1">
        <f t="array" ref="BK708">_xlfn.UNIQUE(MID(BB708,16,14))</f>
        <v>U012UNA01UH122</v>
      </c>
    </row>
    <row r="709" spans="1:63" hidden="1" x14ac:dyDescent="0.3">
      <c r="A709" s="29" t="s">
        <v>2126</v>
      </c>
      <c r="B709" s="36" t="str">
        <f t="shared" si="55"/>
        <v>G01NHB02KF001-BA01</v>
      </c>
      <c r="C709" s="33" t="s">
        <v>4043</v>
      </c>
      <c r="D709" s="34" t="str">
        <f t="shared" si="56"/>
        <v>ELY1 GRP2 CTRL U1 CELL VOLT1 CHAN BIT6</v>
      </c>
      <c r="E709" s="31">
        <f t="shared" si="57"/>
        <v>38</v>
      </c>
      <c r="F709" s="32" t="str">
        <f t="shared" si="58"/>
        <v>ELECTROLYSIS SYSTEM ELECTROLYSIS ARRAY 1 ELECTROLYZER SYSTEM MODULE GROUP 2 CONTROL UNITS CELL VOLTAGE MEASUREMENT CELL-VOLTAGE-MEASUREMENT - MODULE 1 COMMAND - CHANNEL ADRESS BIT 6</v>
      </c>
      <c r="G709" s="29" t="s">
        <v>1614</v>
      </c>
      <c r="H709" s="29" t="s">
        <v>1615</v>
      </c>
      <c r="I709" s="29" t="str">
        <f t="shared" si="59"/>
        <v>01</v>
      </c>
      <c r="J709" s="29" t="s">
        <v>1616</v>
      </c>
      <c r="K709" s="29" t="s">
        <v>1976</v>
      </c>
      <c r="L709" s="29" t="s">
        <v>1977</v>
      </c>
      <c r="M709" s="29" t="s">
        <v>1905</v>
      </c>
      <c r="N709" s="29" t="s">
        <v>2089</v>
      </c>
      <c r="O709" s="29" t="s">
        <v>1771</v>
      </c>
      <c r="P709" s="29" t="s">
        <v>2055</v>
      </c>
      <c r="Q709" s="29" t="s">
        <v>1623</v>
      </c>
      <c r="R709" s="29" t="s">
        <v>2056</v>
      </c>
      <c r="S709" s="29" t="s">
        <v>2057</v>
      </c>
      <c r="T709" s="29" t="s">
        <v>2058</v>
      </c>
      <c r="U709" s="29" t="s">
        <v>4030</v>
      </c>
      <c r="V709" s="29" t="s">
        <v>4031</v>
      </c>
      <c r="W709" s="35" t="s">
        <v>1628</v>
      </c>
      <c r="X709" s="35" t="s">
        <v>2090</v>
      </c>
      <c r="Y709" s="35" t="s">
        <v>1775</v>
      </c>
      <c r="Z709" s="35" t="s">
        <v>2060</v>
      </c>
      <c r="AA709" s="35" t="s">
        <v>4032</v>
      </c>
      <c r="AB709" s="29" t="s">
        <v>2061</v>
      </c>
      <c r="AC709" s="35" t="s">
        <v>1633</v>
      </c>
      <c r="AD709" s="35" t="s">
        <v>1634</v>
      </c>
      <c r="AE709" s="35" t="s">
        <v>1634</v>
      </c>
      <c r="AF709" s="35" t="s">
        <v>1669</v>
      </c>
      <c r="AG709" s="35" t="s">
        <v>1728</v>
      </c>
      <c r="AI709" s="35"/>
      <c r="AJ709" s="35" t="s">
        <v>3340</v>
      </c>
      <c r="AK709" s="35" t="s">
        <v>1672</v>
      </c>
      <c r="AL709" s="29" t="s">
        <v>2063</v>
      </c>
      <c r="AM709" s="35"/>
      <c r="AN709" s="35"/>
      <c r="AO709" s="35"/>
      <c r="AP709" s="35"/>
      <c r="AQ709" s="35"/>
      <c r="AR709" s="29" t="s">
        <v>1756</v>
      </c>
      <c r="AS709" s="35"/>
      <c r="AT709" s="29" t="s">
        <v>1640</v>
      </c>
      <c r="AU709" s="35"/>
      <c r="AV709" s="29" t="s">
        <v>1641</v>
      </c>
      <c r="AW709" s="35"/>
      <c r="AX709" s="29" t="s">
        <v>1674</v>
      </c>
      <c r="AY709" s="35"/>
      <c r="AZ709" s="35"/>
      <c r="BA709" s="35"/>
      <c r="BB709" s="29" t="s">
        <v>4034</v>
      </c>
      <c r="BC709" s="29" t="s">
        <v>4002</v>
      </c>
      <c r="BF709" s="29" t="s">
        <v>1922</v>
      </c>
      <c r="BG709" s="29" t="s">
        <v>4035</v>
      </c>
      <c r="BH709" s="29" t="s">
        <v>2093</v>
      </c>
      <c r="BI709" s="35"/>
      <c r="BJ709" s="35"/>
      <c r="BK709" s="29" t="str" cm="1">
        <f t="array" ref="BK709">_xlfn.UNIQUE(MID(BB709,16,14))</f>
        <v>U012UNA01UH122</v>
      </c>
    </row>
    <row r="710" spans="1:63" hidden="1" x14ac:dyDescent="0.3">
      <c r="A710" s="29" t="s">
        <v>2173</v>
      </c>
      <c r="B710" s="36" t="str">
        <f t="shared" si="55"/>
        <v>G01NHB03KF001-BA01</v>
      </c>
      <c r="C710" s="33" t="s">
        <v>4044</v>
      </c>
      <c r="D710" s="34" t="str">
        <f t="shared" si="56"/>
        <v>ELY1 GRP3 CTRL U1 CELL VOLT1 CHAN TRF</v>
      </c>
      <c r="E710" s="31">
        <f t="shared" si="57"/>
        <v>37</v>
      </c>
      <c r="F710" s="32" t="str">
        <f t="shared" si="58"/>
        <v>ELECTROLYSIS SYSTEM ELECTROLYSIS ARRAY 1 ELECTROLYZER SYSTEM MODULE GROUP 3 CONTROL UNITS CELL VOLTAGE MEASUREMENT CELL-VOLTAGE-MEASUREMENT - MODULE 1 COMMAND - CHANNEL ADRESS TRANSFER</v>
      </c>
      <c r="G710" s="29" t="s">
        <v>1614</v>
      </c>
      <c r="H710" s="29" t="s">
        <v>1615</v>
      </c>
      <c r="I710" s="29" t="str">
        <f t="shared" si="59"/>
        <v>01</v>
      </c>
      <c r="J710" s="29" t="s">
        <v>1616</v>
      </c>
      <c r="K710" s="29" t="s">
        <v>1976</v>
      </c>
      <c r="L710" s="29" t="s">
        <v>1977</v>
      </c>
      <c r="M710" s="29" t="s">
        <v>1909</v>
      </c>
      <c r="N710" s="29" t="s">
        <v>2136</v>
      </c>
      <c r="O710" s="29" t="s">
        <v>1771</v>
      </c>
      <c r="P710" s="29" t="s">
        <v>2055</v>
      </c>
      <c r="Q710" s="29" t="s">
        <v>1623</v>
      </c>
      <c r="R710" s="29" t="s">
        <v>2056</v>
      </c>
      <c r="S710" s="29" t="s">
        <v>2057</v>
      </c>
      <c r="T710" s="29" t="s">
        <v>2058</v>
      </c>
      <c r="U710" s="29" t="s">
        <v>3998</v>
      </c>
      <c r="V710" s="29" t="s">
        <v>3999</v>
      </c>
      <c r="W710" s="35" t="s">
        <v>1628</v>
      </c>
      <c r="X710" s="35" t="s">
        <v>2137</v>
      </c>
      <c r="Y710" s="35" t="s">
        <v>1775</v>
      </c>
      <c r="Z710" s="35" t="s">
        <v>2060</v>
      </c>
      <c r="AA710" s="35" t="s">
        <v>4000</v>
      </c>
      <c r="AB710" s="29" t="s">
        <v>2061</v>
      </c>
      <c r="AC710" s="35" t="s">
        <v>1633</v>
      </c>
      <c r="AD710" s="35" t="s">
        <v>1634</v>
      </c>
      <c r="AE710" s="35" t="s">
        <v>1634</v>
      </c>
      <c r="AF710" s="35" t="s">
        <v>1669</v>
      </c>
      <c r="AG710" s="35" t="s">
        <v>1728</v>
      </c>
      <c r="AI710" s="35"/>
      <c r="AJ710" s="35" t="s">
        <v>3340</v>
      </c>
      <c r="AK710" s="35" t="s">
        <v>1672</v>
      </c>
      <c r="AL710" s="29" t="s">
        <v>2063</v>
      </c>
      <c r="AM710" s="35"/>
      <c r="AN710" s="35"/>
      <c r="AO710" s="35"/>
      <c r="AP710" s="35"/>
      <c r="AQ710" s="35"/>
      <c r="AR710" s="29" t="s">
        <v>1756</v>
      </c>
      <c r="AS710" s="35"/>
      <c r="AT710" s="29" t="s">
        <v>1640</v>
      </c>
      <c r="AU710" s="35"/>
      <c r="AV710" s="29" t="s">
        <v>1641</v>
      </c>
      <c r="AW710" s="35"/>
      <c r="AX710" s="29" t="s">
        <v>1674</v>
      </c>
      <c r="AY710" s="35"/>
      <c r="AZ710" s="35"/>
      <c r="BA710" s="35"/>
      <c r="BB710" s="29" t="s">
        <v>4045</v>
      </c>
      <c r="BC710" s="29" t="s">
        <v>4002</v>
      </c>
      <c r="BF710" s="29" t="s">
        <v>1931</v>
      </c>
      <c r="BG710" s="29" t="s">
        <v>4046</v>
      </c>
      <c r="BH710" s="29" t="s">
        <v>2140</v>
      </c>
      <c r="BI710" s="35"/>
      <c r="BJ710" s="35"/>
      <c r="BK710" s="29" t="str" cm="1">
        <f t="array" ref="BK710">_xlfn.UNIQUE(MID(BB710,16,14))</f>
        <v>U012UNA01UH132</v>
      </c>
    </row>
    <row r="711" spans="1:63" hidden="1" x14ac:dyDescent="0.3">
      <c r="A711" s="29" t="s">
        <v>2173</v>
      </c>
      <c r="B711" s="36" t="str">
        <f t="shared" si="55"/>
        <v>G01NHB03KF001-BA01</v>
      </c>
      <c r="C711" s="33" t="s">
        <v>4047</v>
      </c>
      <c r="D711" s="34" t="str">
        <f t="shared" si="56"/>
        <v>ELY1 GRP3 CTRL U1 CELL VOLT1 CHAN ADR</v>
      </c>
      <c r="E711" s="31">
        <f t="shared" si="57"/>
        <v>37</v>
      </c>
      <c r="F711" s="32" t="str">
        <f t="shared" si="58"/>
        <v>ELECTROLYSIS SYSTEM ELECTROLYSIS ARRAY 1 ELECTROLYZER SYSTEM MODULE GROUP 3 CONTROL UNITS CELL VOLTAGE MEASUREMENT CELL-VOLTAGE-MEASUREMENT - MODULE 1 COMMAND - CHANNEL ADRESS ACTIVE</v>
      </c>
      <c r="G711" s="29" t="s">
        <v>1614</v>
      </c>
      <c r="H711" s="29" t="s">
        <v>1615</v>
      </c>
      <c r="I711" s="29" t="str">
        <f t="shared" si="59"/>
        <v>01</v>
      </c>
      <c r="J711" s="29" t="s">
        <v>1616</v>
      </c>
      <c r="K711" s="29" t="s">
        <v>1976</v>
      </c>
      <c r="L711" s="29" t="s">
        <v>1977</v>
      </c>
      <c r="M711" s="29" t="s">
        <v>1909</v>
      </c>
      <c r="N711" s="29" t="s">
        <v>2136</v>
      </c>
      <c r="O711" s="29" t="s">
        <v>1771</v>
      </c>
      <c r="P711" s="29" t="s">
        <v>2055</v>
      </c>
      <c r="Q711" s="29" t="s">
        <v>1623</v>
      </c>
      <c r="R711" s="29" t="s">
        <v>2056</v>
      </c>
      <c r="S711" s="29" t="s">
        <v>2057</v>
      </c>
      <c r="T711" s="29" t="s">
        <v>2058</v>
      </c>
      <c r="U711" s="29" t="s">
        <v>4005</v>
      </c>
      <c r="V711" s="29" t="s">
        <v>4006</v>
      </c>
      <c r="W711" s="35" t="s">
        <v>1628</v>
      </c>
      <c r="X711" s="35" t="s">
        <v>2137</v>
      </c>
      <c r="Y711" s="35" t="s">
        <v>1775</v>
      </c>
      <c r="Z711" s="35" t="s">
        <v>2060</v>
      </c>
      <c r="AA711" s="35" t="s">
        <v>4007</v>
      </c>
      <c r="AB711" s="29" t="s">
        <v>2061</v>
      </c>
      <c r="AC711" s="35" t="s">
        <v>1633</v>
      </c>
      <c r="AD711" s="35" t="s">
        <v>1634</v>
      </c>
      <c r="AE711" s="35" t="s">
        <v>1634</v>
      </c>
      <c r="AF711" s="35" t="s">
        <v>1669</v>
      </c>
      <c r="AG711" s="35" t="s">
        <v>1728</v>
      </c>
      <c r="AI711" s="35"/>
      <c r="AJ711" s="35" t="s">
        <v>3340</v>
      </c>
      <c r="AK711" s="35" t="s">
        <v>1672</v>
      </c>
      <c r="AL711" s="29" t="s">
        <v>2063</v>
      </c>
      <c r="AM711" s="35"/>
      <c r="AN711" s="35"/>
      <c r="AO711" s="35"/>
      <c r="AP711" s="35"/>
      <c r="AQ711" s="35"/>
      <c r="AR711" s="29" t="s">
        <v>1756</v>
      </c>
      <c r="AS711" s="35"/>
      <c r="AT711" s="29" t="s">
        <v>1640</v>
      </c>
      <c r="AU711" s="35"/>
      <c r="AV711" s="29" t="s">
        <v>1641</v>
      </c>
      <c r="AW711" s="35"/>
      <c r="AX711" s="29" t="s">
        <v>1674</v>
      </c>
      <c r="AY711" s="35"/>
      <c r="AZ711" s="35"/>
      <c r="BA711" s="35"/>
      <c r="BB711" s="29" t="s">
        <v>4045</v>
      </c>
      <c r="BC711" s="29" t="s">
        <v>4002</v>
      </c>
      <c r="BF711" s="29" t="s">
        <v>1936</v>
      </c>
      <c r="BG711" s="29" t="s">
        <v>4046</v>
      </c>
      <c r="BH711" s="29" t="s">
        <v>2140</v>
      </c>
      <c r="BI711" s="35"/>
      <c r="BJ711" s="35"/>
      <c r="BK711" s="29" t="str" cm="1">
        <f t="array" ref="BK711">_xlfn.UNIQUE(MID(BB711,16,14))</f>
        <v>U012UNA01UH132</v>
      </c>
    </row>
    <row r="712" spans="1:63" hidden="1" x14ac:dyDescent="0.3">
      <c r="A712" s="29" t="s">
        <v>2173</v>
      </c>
      <c r="B712" s="36" t="str">
        <f t="shared" si="55"/>
        <v>G01NHB03KF001-BA01</v>
      </c>
      <c r="C712" s="33" t="s">
        <v>4048</v>
      </c>
      <c r="D712" s="34" t="str">
        <f t="shared" si="56"/>
        <v>ELY1 GRP3 CTRL U1 CELL VOLT1 CHAN BIT1</v>
      </c>
      <c r="E712" s="31">
        <f t="shared" si="57"/>
        <v>38</v>
      </c>
      <c r="F712" s="32" t="str">
        <f t="shared" si="58"/>
        <v>ELECTROLYSIS SYSTEM ELECTROLYSIS ARRAY 1 ELECTROLYZER SYSTEM MODULE GROUP 3 CONTROL UNITS CELL VOLTAGE MEASUREMENT CELL-VOLTAGE-MEASUREMENT - MODULE 1 COMMAND - CHANNEL ADRESS BIT 1</v>
      </c>
      <c r="G712" s="29" t="s">
        <v>1614</v>
      </c>
      <c r="H712" s="29" t="s">
        <v>1615</v>
      </c>
      <c r="I712" s="29" t="str">
        <f t="shared" si="59"/>
        <v>01</v>
      </c>
      <c r="J712" s="29" t="s">
        <v>1616</v>
      </c>
      <c r="K712" s="29" t="s">
        <v>1976</v>
      </c>
      <c r="L712" s="29" t="s">
        <v>1977</v>
      </c>
      <c r="M712" s="29" t="s">
        <v>1909</v>
      </c>
      <c r="N712" s="29" t="s">
        <v>2136</v>
      </c>
      <c r="O712" s="29" t="s">
        <v>1771</v>
      </c>
      <c r="P712" s="29" t="s">
        <v>2055</v>
      </c>
      <c r="Q712" s="29" t="s">
        <v>1623</v>
      </c>
      <c r="R712" s="29" t="s">
        <v>2056</v>
      </c>
      <c r="S712" s="29" t="s">
        <v>2057</v>
      </c>
      <c r="T712" s="29" t="s">
        <v>2058</v>
      </c>
      <c r="U712" s="29" t="s">
        <v>4009</v>
      </c>
      <c r="V712" s="29" t="s">
        <v>4010</v>
      </c>
      <c r="W712" s="35" t="s">
        <v>1628</v>
      </c>
      <c r="X712" s="35" t="s">
        <v>2137</v>
      </c>
      <c r="Y712" s="35" t="s">
        <v>1775</v>
      </c>
      <c r="Z712" s="35" t="s">
        <v>2060</v>
      </c>
      <c r="AA712" s="35" t="s">
        <v>4011</v>
      </c>
      <c r="AB712" s="29" t="s">
        <v>2061</v>
      </c>
      <c r="AC712" s="35" t="s">
        <v>1633</v>
      </c>
      <c r="AD712" s="35" t="s">
        <v>1634</v>
      </c>
      <c r="AE712" s="35" t="s">
        <v>1634</v>
      </c>
      <c r="AF712" s="35" t="s">
        <v>1669</v>
      </c>
      <c r="AG712" s="35" t="s">
        <v>1728</v>
      </c>
      <c r="AI712" s="35"/>
      <c r="AJ712" s="35" t="s">
        <v>3340</v>
      </c>
      <c r="AK712" s="35" t="s">
        <v>1672</v>
      </c>
      <c r="AL712" s="29" t="s">
        <v>2063</v>
      </c>
      <c r="AM712" s="35"/>
      <c r="AN712" s="35"/>
      <c r="AO712" s="35"/>
      <c r="AP712" s="35"/>
      <c r="AQ712" s="35"/>
      <c r="AR712" s="29" t="s">
        <v>1756</v>
      </c>
      <c r="AS712" s="35"/>
      <c r="AT712" s="29" t="s">
        <v>1640</v>
      </c>
      <c r="AU712" s="35"/>
      <c r="AV712" s="29" t="s">
        <v>1641</v>
      </c>
      <c r="AW712" s="35"/>
      <c r="AX712" s="29" t="s">
        <v>1674</v>
      </c>
      <c r="AY712" s="35"/>
      <c r="AZ712" s="35"/>
      <c r="BA712" s="35"/>
      <c r="BB712" s="29" t="s">
        <v>4045</v>
      </c>
      <c r="BC712" s="29" t="s">
        <v>4002</v>
      </c>
      <c r="BF712" s="29" t="s">
        <v>1619</v>
      </c>
      <c r="BG712" s="29" t="s">
        <v>4049</v>
      </c>
      <c r="BH712" s="29" t="s">
        <v>2140</v>
      </c>
      <c r="BI712" s="35"/>
      <c r="BJ712" s="35"/>
      <c r="BK712" s="29" t="str" cm="1">
        <f t="array" ref="BK712">_xlfn.UNIQUE(MID(BB712,16,14))</f>
        <v>U012UNA01UH132</v>
      </c>
    </row>
    <row r="713" spans="1:63" hidden="1" x14ac:dyDescent="0.3">
      <c r="A713" s="29" t="s">
        <v>2173</v>
      </c>
      <c r="B713" s="36" t="str">
        <f t="shared" si="55"/>
        <v>G01NHB03KF001-BA01</v>
      </c>
      <c r="C713" s="33" t="s">
        <v>4050</v>
      </c>
      <c r="D713" s="34" t="str">
        <f t="shared" si="56"/>
        <v>ELY1 GRP3 CTRL U1 CELL VOLT1 CHAN BIT2</v>
      </c>
      <c r="E713" s="31">
        <f t="shared" si="57"/>
        <v>38</v>
      </c>
      <c r="F713" s="32" t="str">
        <f t="shared" si="58"/>
        <v>ELECTROLYSIS SYSTEM ELECTROLYSIS ARRAY 1 ELECTROLYZER SYSTEM MODULE GROUP 3 CONTROL UNITS CELL VOLTAGE MEASUREMENT CELL-VOLTAGE-MEASUREMENT - MODULE 1 COMMAND - CHANNEL ADRESS BIT 2</v>
      </c>
      <c r="G713" s="29" t="s">
        <v>1614</v>
      </c>
      <c r="H713" s="29" t="s">
        <v>1615</v>
      </c>
      <c r="I713" s="29" t="str">
        <f t="shared" si="59"/>
        <v>01</v>
      </c>
      <c r="J713" s="29" t="s">
        <v>1616</v>
      </c>
      <c r="K713" s="29" t="s">
        <v>1976</v>
      </c>
      <c r="L713" s="29" t="s">
        <v>1977</v>
      </c>
      <c r="M713" s="29" t="s">
        <v>1909</v>
      </c>
      <c r="N713" s="29" t="s">
        <v>2136</v>
      </c>
      <c r="O713" s="29" t="s">
        <v>1771</v>
      </c>
      <c r="P713" s="29" t="s">
        <v>2055</v>
      </c>
      <c r="Q713" s="29" t="s">
        <v>1623</v>
      </c>
      <c r="R713" s="29" t="s">
        <v>2056</v>
      </c>
      <c r="S713" s="29" t="s">
        <v>2057</v>
      </c>
      <c r="T713" s="29" t="s">
        <v>2058</v>
      </c>
      <c r="U713" s="29" t="s">
        <v>4013</v>
      </c>
      <c r="V713" s="29" t="s">
        <v>4014</v>
      </c>
      <c r="W713" s="35" t="s">
        <v>1628</v>
      </c>
      <c r="X713" s="35" t="s">
        <v>2137</v>
      </c>
      <c r="Y713" s="35" t="s">
        <v>1775</v>
      </c>
      <c r="Z713" s="35" t="s">
        <v>2060</v>
      </c>
      <c r="AA713" s="35" t="s">
        <v>4015</v>
      </c>
      <c r="AB713" s="29" t="s">
        <v>2061</v>
      </c>
      <c r="AC713" s="35" t="s">
        <v>1633</v>
      </c>
      <c r="AD713" s="35" t="s">
        <v>1634</v>
      </c>
      <c r="AE713" s="35" t="s">
        <v>1634</v>
      </c>
      <c r="AF713" s="35" t="s">
        <v>1669</v>
      </c>
      <c r="AG713" s="35" t="s">
        <v>1728</v>
      </c>
      <c r="AI713" s="35"/>
      <c r="AJ713" s="35" t="s">
        <v>3340</v>
      </c>
      <c r="AK713" s="35" t="s">
        <v>1672</v>
      </c>
      <c r="AL713" s="29" t="s">
        <v>2063</v>
      </c>
      <c r="AM713" s="35"/>
      <c r="AN713" s="35"/>
      <c r="AO713" s="35"/>
      <c r="AP713" s="35"/>
      <c r="AQ713" s="35"/>
      <c r="AR713" s="29" t="s">
        <v>1756</v>
      </c>
      <c r="AS713" s="35"/>
      <c r="AT713" s="29" t="s">
        <v>1640</v>
      </c>
      <c r="AU713" s="35"/>
      <c r="AV713" s="29" t="s">
        <v>1641</v>
      </c>
      <c r="AW713" s="35"/>
      <c r="AX713" s="29" t="s">
        <v>1674</v>
      </c>
      <c r="AY713" s="35"/>
      <c r="AZ713" s="35"/>
      <c r="BA713" s="35"/>
      <c r="BB713" s="29" t="s">
        <v>4045</v>
      </c>
      <c r="BC713" s="29" t="s">
        <v>4002</v>
      </c>
      <c r="BF713" s="29" t="s">
        <v>1905</v>
      </c>
      <c r="BG713" s="29" t="s">
        <v>4049</v>
      </c>
      <c r="BH713" s="29" t="s">
        <v>2140</v>
      </c>
      <c r="BI713" s="35"/>
      <c r="BJ713" s="35"/>
      <c r="BK713" s="29" t="str" cm="1">
        <f t="array" ref="BK713">_xlfn.UNIQUE(MID(BB713,16,14))</f>
        <v>U012UNA01UH132</v>
      </c>
    </row>
    <row r="714" spans="1:63" hidden="1" x14ac:dyDescent="0.3">
      <c r="A714" s="29" t="s">
        <v>2173</v>
      </c>
      <c r="B714" s="36" t="str">
        <f t="shared" si="55"/>
        <v>G01NHB03KF001-BA01</v>
      </c>
      <c r="C714" s="33" t="s">
        <v>4051</v>
      </c>
      <c r="D714" s="34" t="str">
        <f t="shared" si="56"/>
        <v>ELY1 GRP3 CTRL U1 CELL VOLT1 CHAN BIT3</v>
      </c>
      <c r="E714" s="31">
        <f t="shared" si="57"/>
        <v>38</v>
      </c>
      <c r="F714" s="32" t="str">
        <f t="shared" si="58"/>
        <v>ELECTROLYSIS SYSTEM ELECTROLYSIS ARRAY 1 ELECTROLYZER SYSTEM MODULE GROUP 3 CONTROL UNITS CELL VOLTAGE MEASUREMENT CELL-VOLTAGE-MEASUREMENT - MODULE 1 COMMAND - CHANNEL ADRESS BIT 3</v>
      </c>
      <c r="G714" s="29" t="s">
        <v>1614</v>
      </c>
      <c r="H714" s="29" t="s">
        <v>1615</v>
      </c>
      <c r="I714" s="29" t="str">
        <f t="shared" si="59"/>
        <v>01</v>
      </c>
      <c r="J714" s="29" t="s">
        <v>1616</v>
      </c>
      <c r="K714" s="29" t="s">
        <v>1976</v>
      </c>
      <c r="L714" s="29" t="s">
        <v>1977</v>
      </c>
      <c r="M714" s="29" t="s">
        <v>1909</v>
      </c>
      <c r="N714" s="29" t="s">
        <v>2136</v>
      </c>
      <c r="O714" s="29" t="s">
        <v>1771</v>
      </c>
      <c r="P714" s="29" t="s">
        <v>2055</v>
      </c>
      <c r="Q714" s="29" t="s">
        <v>1623</v>
      </c>
      <c r="R714" s="29" t="s">
        <v>2056</v>
      </c>
      <c r="S714" s="29" t="s">
        <v>2057</v>
      </c>
      <c r="T714" s="29" t="s">
        <v>2058</v>
      </c>
      <c r="U714" s="29" t="s">
        <v>4017</v>
      </c>
      <c r="V714" s="29" t="s">
        <v>4018</v>
      </c>
      <c r="W714" s="35" t="s">
        <v>1628</v>
      </c>
      <c r="X714" s="35" t="s">
        <v>2137</v>
      </c>
      <c r="Y714" s="35" t="s">
        <v>1775</v>
      </c>
      <c r="Z714" s="35" t="s">
        <v>2060</v>
      </c>
      <c r="AA714" s="35" t="s">
        <v>4019</v>
      </c>
      <c r="AB714" s="29" t="s">
        <v>2061</v>
      </c>
      <c r="AC714" s="35" t="s">
        <v>1633</v>
      </c>
      <c r="AD714" s="35" t="s">
        <v>1634</v>
      </c>
      <c r="AE714" s="35" t="s">
        <v>1634</v>
      </c>
      <c r="AF714" s="35" t="s">
        <v>1669</v>
      </c>
      <c r="AG714" s="35" t="s">
        <v>1728</v>
      </c>
      <c r="AI714" s="35"/>
      <c r="AJ714" s="35" t="s">
        <v>3340</v>
      </c>
      <c r="AK714" s="35" t="s">
        <v>1672</v>
      </c>
      <c r="AL714" s="29" t="s">
        <v>2063</v>
      </c>
      <c r="AM714" s="35"/>
      <c r="AN714" s="35"/>
      <c r="AO714" s="35"/>
      <c r="AP714" s="35"/>
      <c r="AQ714" s="35"/>
      <c r="AR714" s="29" t="s">
        <v>1756</v>
      </c>
      <c r="AS714" s="35"/>
      <c r="AT714" s="29" t="s">
        <v>1640</v>
      </c>
      <c r="AU714" s="35"/>
      <c r="AV714" s="29" t="s">
        <v>1641</v>
      </c>
      <c r="AW714" s="35"/>
      <c r="AX714" s="29" t="s">
        <v>1674</v>
      </c>
      <c r="AY714" s="35"/>
      <c r="AZ714" s="35"/>
      <c r="BA714" s="35"/>
      <c r="BB714" s="29" t="s">
        <v>4045</v>
      </c>
      <c r="BC714" s="29" t="s">
        <v>4002</v>
      </c>
      <c r="BF714" s="29" t="s">
        <v>1909</v>
      </c>
      <c r="BG714" s="29" t="s">
        <v>4049</v>
      </c>
      <c r="BH714" s="29" t="s">
        <v>2140</v>
      </c>
      <c r="BI714" s="35"/>
      <c r="BJ714" s="35"/>
      <c r="BK714" s="29" t="str" cm="1">
        <f t="array" ref="BK714">_xlfn.UNIQUE(MID(BB714,16,14))</f>
        <v>U012UNA01UH132</v>
      </c>
    </row>
    <row r="715" spans="1:63" hidden="1" x14ac:dyDescent="0.3">
      <c r="A715" s="29" t="s">
        <v>2173</v>
      </c>
      <c r="B715" s="36" t="str">
        <f t="shared" si="55"/>
        <v>G01NHB03KF001-BA01</v>
      </c>
      <c r="C715" s="33" t="s">
        <v>4052</v>
      </c>
      <c r="D715" s="34" t="str">
        <f t="shared" si="56"/>
        <v>ELY1 GRP3 CTRL U1 CELL VOLT1 CHAN BIT4</v>
      </c>
      <c r="E715" s="31">
        <f t="shared" si="57"/>
        <v>38</v>
      </c>
      <c r="F715" s="32" t="str">
        <f t="shared" si="58"/>
        <v>ELECTROLYSIS SYSTEM ELECTROLYSIS ARRAY 1 ELECTROLYZER SYSTEM MODULE GROUP 3 CONTROL UNITS CELL VOLTAGE MEASUREMENT CELL-VOLTAGE-MEASUREMENT - MODULE 1 COMMAND - CHANNEL ADRESS BIT 4</v>
      </c>
      <c r="G715" s="29" t="s">
        <v>1614</v>
      </c>
      <c r="H715" s="29" t="s">
        <v>1615</v>
      </c>
      <c r="I715" s="29" t="str">
        <f t="shared" si="59"/>
        <v>01</v>
      </c>
      <c r="J715" s="29" t="s">
        <v>1616</v>
      </c>
      <c r="K715" s="29" t="s">
        <v>1976</v>
      </c>
      <c r="L715" s="29" t="s">
        <v>1977</v>
      </c>
      <c r="M715" s="29" t="s">
        <v>1909</v>
      </c>
      <c r="N715" s="29" t="s">
        <v>2136</v>
      </c>
      <c r="O715" s="29" t="s">
        <v>1771</v>
      </c>
      <c r="P715" s="29" t="s">
        <v>2055</v>
      </c>
      <c r="Q715" s="29" t="s">
        <v>1623</v>
      </c>
      <c r="R715" s="29" t="s">
        <v>2056</v>
      </c>
      <c r="S715" s="29" t="s">
        <v>2057</v>
      </c>
      <c r="T715" s="29" t="s">
        <v>2058</v>
      </c>
      <c r="U715" s="29" t="s">
        <v>4022</v>
      </c>
      <c r="V715" s="29" t="s">
        <v>4023</v>
      </c>
      <c r="W715" s="35" t="s">
        <v>1628</v>
      </c>
      <c r="X715" s="35" t="s">
        <v>2137</v>
      </c>
      <c r="Y715" s="35" t="s">
        <v>1775</v>
      </c>
      <c r="Z715" s="35" t="s">
        <v>2060</v>
      </c>
      <c r="AA715" s="35" t="s">
        <v>4024</v>
      </c>
      <c r="AB715" s="29" t="s">
        <v>2061</v>
      </c>
      <c r="AC715" s="35" t="s">
        <v>1633</v>
      </c>
      <c r="AD715" s="35" t="s">
        <v>1634</v>
      </c>
      <c r="AE715" s="35" t="s">
        <v>1634</v>
      </c>
      <c r="AF715" s="35" t="s">
        <v>1669</v>
      </c>
      <c r="AG715" s="35" t="s">
        <v>1728</v>
      </c>
      <c r="AI715" s="35"/>
      <c r="AJ715" s="35" t="s">
        <v>3340</v>
      </c>
      <c r="AK715" s="35" t="s">
        <v>1672</v>
      </c>
      <c r="AL715" s="29" t="s">
        <v>2063</v>
      </c>
      <c r="AM715" s="35"/>
      <c r="AN715" s="35"/>
      <c r="AO715" s="35"/>
      <c r="AP715" s="35"/>
      <c r="AQ715" s="35"/>
      <c r="AR715" s="29" t="s">
        <v>1756</v>
      </c>
      <c r="AS715" s="35"/>
      <c r="AT715" s="29" t="s">
        <v>1640</v>
      </c>
      <c r="AU715" s="35"/>
      <c r="AV715" s="29" t="s">
        <v>1641</v>
      </c>
      <c r="AW715" s="35"/>
      <c r="AX715" s="29" t="s">
        <v>1674</v>
      </c>
      <c r="AY715" s="35"/>
      <c r="AZ715" s="35"/>
      <c r="BA715" s="35"/>
      <c r="BB715" s="29" t="s">
        <v>4045</v>
      </c>
      <c r="BC715" s="29" t="s">
        <v>4002</v>
      </c>
      <c r="BF715" s="29" t="s">
        <v>1915</v>
      </c>
      <c r="BG715" s="29" t="s">
        <v>4049</v>
      </c>
      <c r="BH715" s="29" t="s">
        <v>2140</v>
      </c>
      <c r="BI715" s="35"/>
      <c r="BJ715" s="35"/>
      <c r="BK715" s="29" t="str" cm="1">
        <f t="array" ref="BK715">_xlfn.UNIQUE(MID(BB715,16,14))</f>
        <v>U012UNA01UH132</v>
      </c>
    </row>
    <row r="716" spans="1:63" hidden="1" x14ac:dyDescent="0.3">
      <c r="A716" s="29" t="s">
        <v>2173</v>
      </c>
      <c r="B716" s="36" t="str">
        <f t="shared" si="55"/>
        <v>G01NHB03KF001-BA01</v>
      </c>
      <c r="C716" s="33" t="s">
        <v>4053</v>
      </c>
      <c r="D716" s="34" t="str">
        <f t="shared" si="56"/>
        <v>ELY1 GRP3 CTRL U1 CELL VOLT1 CHAN BIT5</v>
      </c>
      <c r="E716" s="31">
        <f t="shared" si="57"/>
        <v>38</v>
      </c>
      <c r="F716" s="32" t="str">
        <f t="shared" si="58"/>
        <v>ELECTROLYSIS SYSTEM ELECTROLYSIS ARRAY 1 ELECTROLYZER SYSTEM MODULE GROUP 3 CONTROL UNITS CELL VOLTAGE MEASUREMENT CELL-VOLTAGE-MEASUREMENT - MODULE 1 COMMAND - CHANNEL ADRESS BIT 5</v>
      </c>
      <c r="G716" s="29" t="s">
        <v>1614</v>
      </c>
      <c r="H716" s="29" t="s">
        <v>1615</v>
      </c>
      <c r="I716" s="29" t="str">
        <f t="shared" si="59"/>
        <v>01</v>
      </c>
      <c r="J716" s="29" t="s">
        <v>1616</v>
      </c>
      <c r="K716" s="29" t="s">
        <v>1976</v>
      </c>
      <c r="L716" s="29" t="s">
        <v>1977</v>
      </c>
      <c r="M716" s="29" t="s">
        <v>1909</v>
      </c>
      <c r="N716" s="29" t="s">
        <v>2136</v>
      </c>
      <c r="O716" s="29" t="s">
        <v>1771</v>
      </c>
      <c r="P716" s="29" t="s">
        <v>2055</v>
      </c>
      <c r="Q716" s="29" t="s">
        <v>1623</v>
      </c>
      <c r="R716" s="29" t="s">
        <v>2056</v>
      </c>
      <c r="S716" s="29" t="s">
        <v>2057</v>
      </c>
      <c r="T716" s="29" t="s">
        <v>2058</v>
      </c>
      <c r="U716" s="29" t="s">
        <v>4026</v>
      </c>
      <c r="V716" s="29" t="s">
        <v>4027</v>
      </c>
      <c r="W716" s="35" t="s">
        <v>1628</v>
      </c>
      <c r="X716" s="35" t="s">
        <v>2137</v>
      </c>
      <c r="Y716" s="35" t="s">
        <v>1775</v>
      </c>
      <c r="Z716" s="35" t="s">
        <v>2060</v>
      </c>
      <c r="AA716" s="35" t="s">
        <v>4028</v>
      </c>
      <c r="AB716" s="29" t="s">
        <v>2061</v>
      </c>
      <c r="AC716" s="35" t="s">
        <v>1633</v>
      </c>
      <c r="AD716" s="35" t="s">
        <v>1634</v>
      </c>
      <c r="AE716" s="35" t="s">
        <v>1634</v>
      </c>
      <c r="AF716" s="35" t="s">
        <v>1669</v>
      </c>
      <c r="AG716" s="35" t="s">
        <v>1728</v>
      </c>
      <c r="AI716" s="35"/>
      <c r="AJ716" s="35" t="s">
        <v>3340</v>
      </c>
      <c r="AK716" s="35" t="s">
        <v>1672</v>
      </c>
      <c r="AL716" s="29" t="s">
        <v>2063</v>
      </c>
      <c r="AM716" s="35"/>
      <c r="AN716" s="35"/>
      <c r="AO716" s="35"/>
      <c r="AP716" s="35"/>
      <c r="AQ716" s="35"/>
      <c r="AR716" s="29" t="s">
        <v>1756</v>
      </c>
      <c r="AS716" s="35"/>
      <c r="AT716" s="29" t="s">
        <v>1640</v>
      </c>
      <c r="AU716" s="35"/>
      <c r="AV716" s="29" t="s">
        <v>1641</v>
      </c>
      <c r="AW716" s="35"/>
      <c r="AX716" s="29" t="s">
        <v>1674</v>
      </c>
      <c r="AY716" s="35"/>
      <c r="AZ716" s="35"/>
      <c r="BA716" s="35"/>
      <c r="BB716" s="29" t="s">
        <v>4045</v>
      </c>
      <c r="BC716" s="29" t="s">
        <v>4002</v>
      </c>
      <c r="BF716" s="29" t="s">
        <v>1919</v>
      </c>
      <c r="BG716" s="29" t="s">
        <v>4046</v>
      </c>
      <c r="BH716" s="29" t="s">
        <v>2140</v>
      </c>
      <c r="BI716" s="35"/>
      <c r="BJ716" s="35"/>
      <c r="BK716" s="29" t="str" cm="1">
        <f t="array" ref="BK716">_xlfn.UNIQUE(MID(BB716,16,14))</f>
        <v>U012UNA01UH132</v>
      </c>
    </row>
    <row r="717" spans="1:63" hidden="1" x14ac:dyDescent="0.3">
      <c r="A717" s="29" t="s">
        <v>2173</v>
      </c>
      <c r="B717" s="36" t="str">
        <f t="shared" si="55"/>
        <v>G01NHB03KF001-BA01</v>
      </c>
      <c r="C717" s="33" t="s">
        <v>4054</v>
      </c>
      <c r="D717" s="34" t="str">
        <f t="shared" si="56"/>
        <v>ELY1 GRP3 CTRL U1 CELL VOLT1 CHAN BIT6</v>
      </c>
      <c r="E717" s="31">
        <f t="shared" si="57"/>
        <v>38</v>
      </c>
      <c r="F717" s="32" t="str">
        <f t="shared" si="58"/>
        <v>ELECTROLYSIS SYSTEM ELECTROLYSIS ARRAY 1 ELECTROLYZER SYSTEM MODULE GROUP 3 CONTROL UNITS CELL VOLTAGE MEASUREMENT CELL-VOLTAGE-MEASUREMENT - MODULE 1 COMMAND - CHANNEL ADRESS BIT 6</v>
      </c>
      <c r="G717" s="29" t="s">
        <v>1614</v>
      </c>
      <c r="H717" s="29" t="s">
        <v>1615</v>
      </c>
      <c r="I717" s="29" t="str">
        <f t="shared" si="59"/>
        <v>01</v>
      </c>
      <c r="J717" s="29" t="s">
        <v>1616</v>
      </c>
      <c r="K717" s="29" t="s">
        <v>1976</v>
      </c>
      <c r="L717" s="29" t="s">
        <v>1977</v>
      </c>
      <c r="M717" s="29" t="s">
        <v>1909</v>
      </c>
      <c r="N717" s="29" t="s">
        <v>2136</v>
      </c>
      <c r="O717" s="29" t="s">
        <v>1771</v>
      </c>
      <c r="P717" s="29" t="s">
        <v>2055</v>
      </c>
      <c r="Q717" s="29" t="s">
        <v>1623</v>
      </c>
      <c r="R717" s="29" t="s">
        <v>2056</v>
      </c>
      <c r="S717" s="29" t="s">
        <v>2057</v>
      </c>
      <c r="T717" s="29" t="s">
        <v>2058</v>
      </c>
      <c r="U717" s="29" t="s">
        <v>4030</v>
      </c>
      <c r="V717" s="29" t="s">
        <v>4031</v>
      </c>
      <c r="W717" s="35" t="s">
        <v>1628</v>
      </c>
      <c r="X717" s="35" t="s">
        <v>2137</v>
      </c>
      <c r="Y717" s="35" t="s">
        <v>1775</v>
      </c>
      <c r="Z717" s="35" t="s">
        <v>2060</v>
      </c>
      <c r="AA717" s="35" t="s">
        <v>4032</v>
      </c>
      <c r="AB717" s="29" t="s">
        <v>2061</v>
      </c>
      <c r="AC717" s="35" t="s">
        <v>1633</v>
      </c>
      <c r="AD717" s="35" t="s">
        <v>1634</v>
      </c>
      <c r="AE717" s="35" t="s">
        <v>1634</v>
      </c>
      <c r="AF717" s="35" t="s">
        <v>1669</v>
      </c>
      <c r="AG717" s="35" t="s">
        <v>1728</v>
      </c>
      <c r="AI717" s="35"/>
      <c r="AJ717" s="35" t="s">
        <v>3340</v>
      </c>
      <c r="AK717" s="35" t="s">
        <v>1672</v>
      </c>
      <c r="AL717" s="29" t="s">
        <v>2063</v>
      </c>
      <c r="AM717" s="35"/>
      <c r="AN717" s="35"/>
      <c r="AO717" s="35"/>
      <c r="AP717" s="35"/>
      <c r="AQ717" s="35"/>
      <c r="AR717" s="29" t="s">
        <v>1756</v>
      </c>
      <c r="AS717" s="35"/>
      <c r="AT717" s="29" t="s">
        <v>1640</v>
      </c>
      <c r="AU717" s="35"/>
      <c r="AV717" s="29" t="s">
        <v>1641</v>
      </c>
      <c r="AW717" s="35"/>
      <c r="AX717" s="29" t="s">
        <v>1674</v>
      </c>
      <c r="AY717" s="35"/>
      <c r="AZ717" s="35"/>
      <c r="BA717" s="35"/>
      <c r="BB717" s="29" t="s">
        <v>4045</v>
      </c>
      <c r="BC717" s="29" t="s">
        <v>4002</v>
      </c>
      <c r="BF717" s="29" t="s">
        <v>1922</v>
      </c>
      <c r="BG717" s="29" t="s">
        <v>4046</v>
      </c>
      <c r="BH717" s="29" t="s">
        <v>2140</v>
      </c>
      <c r="BI717" s="35"/>
      <c r="BJ717" s="35"/>
      <c r="BK717" s="29" t="str" cm="1">
        <f t="array" ref="BK717">_xlfn.UNIQUE(MID(BB717,16,14))</f>
        <v>U012UNA01UH132</v>
      </c>
    </row>
    <row r="718" spans="1:63" hidden="1" x14ac:dyDescent="0.3">
      <c r="A718" s="29" t="s">
        <v>2221</v>
      </c>
      <c r="B718" s="36" t="str">
        <f t="shared" si="55"/>
        <v>G01NHB04KF001-BA01</v>
      </c>
      <c r="C718" s="33" t="s">
        <v>4055</v>
      </c>
      <c r="D718" s="34" t="str">
        <f t="shared" si="56"/>
        <v>ELY1 GRP4 CTRL U1 CELL VOLT1 CHAN TRF</v>
      </c>
      <c r="E718" s="31">
        <f t="shared" si="57"/>
        <v>37</v>
      </c>
      <c r="F718" s="32" t="str">
        <f t="shared" si="58"/>
        <v>ELECTROLYSIS SYSTEM ELECTROLYSIS ARRAY 1 ELECTROLYZER SYSTEM MODULE GROUP 4 CONTROL UNITS CELL VOLTAGE MEASUREMENT CELL-VOLTAGE-MEASUREMENT - MODULE 1 COMMAND - CHANNEL ADRESS TRANSFER</v>
      </c>
      <c r="G718" s="29" t="s">
        <v>1614</v>
      </c>
      <c r="H718" s="29" t="s">
        <v>1615</v>
      </c>
      <c r="I718" s="29" t="str">
        <f t="shared" si="59"/>
        <v>01</v>
      </c>
      <c r="J718" s="29" t="s">
        <v>1616</v>
      </c>
      <c r="K718" s="29" t="s">
        <v>1976</v>
      </c>
      <c r="L718" s="29" t="s">
        <v>1977</v>
      </c>
      <c r="M718" s="29" t="s">
        <v>1915</v>
      </c>
      <c r="N718" s="29" t="s">
        <v>2183</v>
      </c>
      <c r="O718" s="29" t="s">
        <v>1771</v>
      </c>
      <c r="P718" s="29" t="s">
        <v>2055</v>
      </c>
      <c r="Q718" s="29" t="s">
        <v>1623</v>
      </c>
      <c r="R718" s="29" t="s">
        <v>2056</v>
      </c>
      <c r="S718" s="29" t="s">
        <v>2057</v>
      </c>
      <c r="T718" s="29" t="s">
        <v>2058</v>
      </c>
      <c r="U718" s="29" t="s">
        <v>3998</v>
      </c>
      <c r="V718" s="29" t="s">
        <v>3999</v>
      </c>
      <c r="W718" s="35" t="s">
        <v>1628</v>
      </c>
      <c r="X718" s="35" t="s">
        <v>2184</v>
      </c>
      <c r="Y718" s="35" t="s">
        <v>1775</v>
      </c>
      <c r="Z718" s="35" t="s">
        <v>2060</v>
      </c>
      <c r="AA718" s="35" t="s">
        <v>4000</v>
      </c>
      <c r="AB718" s="29" t="s">
        <v>2061</v>
      </c>
      <c r="AC718" s="35" t="s">
        <v>1633</v>
      </c>
      <c r="AD718" s="35" t="s">
        <v>1634</v>
      </c>
      <c r="AE718" s="35" t="s">
        <v>1634</v>
      </c>
      <c r="AF718" s="35" t="s">
        <v>1669</v>
      </c>
      <c r="AG718" s="35" t="s">
        <v>1728</v>
      </c>
      <c r="AI718" s="35"/>
      <c r="AJ718" s="35" t="s">
        <v>3340</v>
      </c>
      <c r="AK718" s="35" t="s">
        <v>1672</v>
      </c>
      <c r="AL718" s="29" t="s">
        <v>2063</v>
      </c>
      <c r="AM718" s="35"/>
      <c r="AN718" s="35"/>
      <c r="AO718" s="35"/>
      <c r="AP718" s="35"/>
      <c r="AQ718" s="35"/>
      <c r="AR718" s="29" t="s">
        <v>1756</v>
      </c>
      <c r="AS718" s="35"/>
      <c r="AT718" s="29" t="s">
        <v>1640</v>
      </c>
      <c r="AU718" s="35"/>
      <c r="AV718" s="29" t="s">
        <v>1641</v>
      </c>
      <c r="AW718" s="35"/>
      <c r="AX718" s="29" t="s">
        <v>1674</v>
      </c>
      <c r="AY718" s="35"/>
      <c r="AZ718" s="35"/>
      <c r="BA718" s="35"/>
      <c r="BB718" s="29" t="s">
        <v>4056</v>
      </c>
      <c r="BC718" s="29" t="s">
        <v>4002</v>
      </c>
      <c r="BF718" s="29" t="s">
        <v>1931</v>
      </c>
      <c r="BG718" s="29" t="s">
        <v>4057</v>
      </c>
      <c r="BH718" s="29" t="s">
        <v>2187</v>
      </c>
      <c r="BI718" s="35"/>
      <c r="BJ718" s="35"/>
      <c r="BK718" s="29" t="str" cm="1">
        <f t="array" ref="BK718">_xlfn.UNIQUE(MID(BB718,16,14))</f>
        <v>U012UNA01UH142</v>
      </c>
    </row>
    <row r="719" spans="1:63" hidden="1" x14ac:dyDescent="0.3">
      <c r="A719" s="29" t="s">
        <v>2221</v>
      </c>
      <c r="B719" s="36" t="str">
        <f t="shared" si="55"/>
        <v>G01NHB04KF001-BA01</v>
      </c>
      <c r="C719" s="33" t="s">
        <v>4058</v>
      </c>
      <c r="D719" s="34" t="str">
        <f t="shared" si="56"/>
        <v>ELY1 GRP4 CTRL U1 CELL VOLT1 CHAN ADR</v>
      </c>
      <c r="E719" s="31">
        <f t="shared" si="57"/>
        <v>37</v>
      </c>
      <c r="F719" s="32" t="str">
        <f t="shared" si="58"/>
        <v>ELECTROLYSIS SYSTEM ELECTROLYSIS ARRAY 1 ELECTROLYZER SYSTEM MODULE GROUP 4 CONTROL UNITS CELL VOLTAGE MEASUREMENT CELL-VOLTAGE-MEASUREMENT - MODULE 1 COMMAND - CHANNEL ADRESS ACTIVE</v>
      </c>
      <c r="G719" s="29" t="s">
        <v>1614</v>
      </c>
      <c r="H719" s="29" t="s">
        <v>1615</v>
      </c>
      <c r="I719" s="29" t="str">
        <f t="shared" si="59"/>
        <v>01</v>
      </c>
      <c r="J719" s="29" t="s">
        <v>1616</v>
      </c>
      <c r="K719" s="29" t="s">
        <v>1976</v>
      </c>
      <c r="L719" s="29" t="s">
        <v>1977</v>
      </c>
      <c r="M719" s="29" t="s">
        <v>1915</v>
      </c>
      <c r="N719" s="29" t="s">
        <v>2183</v>
      </c>
      <c r="O719" s="29" t="s">
        <v>1771</v>
      </c>
      <c r="P719" s="29" t="s">
        <v>2055</v>
      </c>
      <c r="Q719" s="29" t="s">
        <v>1623</v>
      </c>
      <c r="R719" s="29" t="s">
        <v>2056</v>
      </c>
      <c r="S719" s="29" t="s">
        <v>2057</v>
      </c>
      <c r="T719" s="29" t="s">
        <v>2058</v>
      </c>
      <c r="U719" s="29" t="s">
        <v>4005</v>
      </c>
      <c r="V719" s="29" t="s">
        <v>4006</v>
      </c>
      <c r="W719" s="35" t="s">
        <v>1628</v>
      </c>
      <c r="X719" s="35" t="s">
        <v>2184</v>
      </c>
      <c r="Y719" s="35" t="s">
        <v>1775</v>
      </c>
      <c r="Z719" s="35" t="s">
        <v>2060</v>
      </c>
      <c r="AA719" s="35" t="s">
        <v>4007</v>
      </c>
      <c r="AB719" s="29" t="s">
        <v>2061</v>
      </c>
      <c r="AC719" s="35" t="s">
        <v>1633</v>
      </c>
      <c r="AD719" s="35" t="s">
        <v>1634</v>
      </c>
      <c r="AE719" s="35" t="s">
        <v>1634</v>
      </c>
      <c r="AF719" s="35" t="s">
        <v>1669</v>
      </c>
      <c r="AG719" s="35" t="s">
        <v>1728</v>
      </c>
      <c r="AI719" s="35"/>
      <c r="AJ719" s="35" t="s">
        <v>3340</v>
      </c>
      <c r="AK719" s="35" t="s">
        <v>1672</v>
      </c>
      <c r="AL719" s="29" t="s">
        <v>2063</v>
      </c>
      <c r="AM719" s="35"/>
      <c r="AN719" s="35"/>
      <c r="AO719" s="35"/>
      <c r="AP719" s="35"/>
      <c r="AQ719" s="35"/>
      <c r="AR719" s="29" t="s">
        <v>1756</v>
      </c>
      <c r="AS719" s="35"/>
      <c r="AT719" s="29" t="s">
        <v>1640</v>
      </c>
      <c r="AU719" s="35"/>
      <c r="AV719" s="29" t="s">
        <v>1641</v>
      </c>
      <c r="AW719" s="35"/>
      <c r="AX719" s="29" t="s">
        <v>1674</v>
      </c>
      <c r="AY719" s="35"/>
      <c r="AZ719" s="35"/>
      <c r="BA719" s="35"/>
      <c r="BB719" s="29" t="s">
        <v>4056</v>
      </c>
      <c r="BC719" s="29" t="s">
        <v>4002</v>
      </c>
      <c r="BF719" s="29" t="s">
        <v>1936</v>
      </c>
      <c r="BG719" s="29" t="s">
        <v>4057</v>
      </c>
      <c r="BH719" s="29" t="s">
        <v>2187</v>
      </c>
      <c r="BI719" s="35"/>
      <c r="BJ719" s="35"/>
      <c r="BK719" s="29" t="str" cm="1">
        <f t="array" ref="BK719">_xlfn.UNIQUE(MID(BB719,16,14))</f>
        <v>U012UNA01UH142</v>
      </c>
    </row>
    <row r="720" spans="1:63" hidden="1" x14ac:dyDescent="0.3">
      <c r="A720" s="29" t="s">
        <v>2221</v>
      </c>
      <c r="B720" s="36" t="str">
        <f t="shared" si="55"/>
        <v>G01NHB04KF001-BA01</v>
      </c>
      <c r="C720" s="33" t="s">
        <v>4059</v>
      </c>
      <c r="D720" s="34" t="str">
        <f t="shared" si="56"/>
        <v>ELY1 GRP4 CTRL U1 CELL VOLT1 CHAN BIT1</v>
      </c>
      <c r="E720" s="31">
        <f t="shared" si="57"/>
        <v>38</v>
      </c>
      <c r="F720" s="32" t="str">
        <f t="shared" si="58"/>
        <v>ELECTROLYSIS SYSTEM ELECTROLYSIS ARRAY 1 ELECTROLYZER SYSTEM MODULE GROUP 4 CONTROL UNITS CELL VOLTAGE MEASUREMENT CELL-VOLTAGE-MEASUREMENT - MODULE 1 COMMAND - CHANNEL ADRESS BIT 1</v>
      </c>
      <c r="G720" s="29" t="s">
        <v>1614</v>
      </c>
      <c r="H720" s="29" t="s">
        <v>1615</v>
      </c>
      <c r="I720" s="29" t="str">
        <f t="shared" si="59"/>
        <v>01</v>
      </c>
      <c r="J720" s="29" t="s">
        <v>1616</v>
      </c>
      <c r="K720" s="29" t="s">
        <v>1976</v>
      </c>
      <c r="L720" s="29" t="s">
        <v>1977</v>
      </c>
      <c r="M720" s="29" t="s">
        <v>1915</v>
      </c>
      <c r="N720" s="29" t="s">
        <v>2183</v>
      </c>
      <c r="O720" s="29" t="s">
        <v>1771</v>
      </c>
      <c r="P720" s="29" t="s">
        <v>2055</v>
      </c>
      <c r="Q720" s="29" t="s">
        <v>1623</v>
      </c>
      <c r="R720" s="29" t="s">
        <v>2056</v>
      </c>
      <c r="S720" s="29" t="s">
        <v>2057</v>
      </c>
      <c r="T720" s="29" t="s">
        <v>2058</v>
      </c>
      <c r="U720" s="29" t="s">
        <v>4009</v>
      </c>
      <c r="V720" s="29" t="s">
        <v>4010</v>
      </c>
      <c r="W720" s="35" t="s">
        <v>1628</v>
      </c>
      <c r="X720" s="35" t="s">
        <v>2184</v>
      </c>
      <c r="Y720" s="35" t="s">
        <v>1775</v>
      </c>
      <c r="Z720" s="35" t="s">
        <v>2060</v>
      </c>
      <c r="AA720" s="35" t="s">
        <v>4011</v>
      </c>
      <c r="AB720" s="29" t="s">
        <v>2061</v>
      </c>
      <c r="AC720" s="35" t="s">
        <v>1633</v>
      </c>
      <c r="AD720" s="35" t="s">
        <v>1634</v>
      </c>
      <c r="AE720" s="35" t="s">
        <v>1634</v>
      </c>
      <c r="AF720" s="35" t="s">
        <v>1669</v>
      </c>
      <c r="AG720" s="35" t="s">
        <v>1728</v>
      </c>
      <c r="AI720" s="35"/>
      <c r="AJ720" s="35" t="s">
        <v>3340</v>
      </c>
      <c r="AK720" s="35" t="s">
        <v>1672</v>
      </c>
      <c r="AL720" s="29" t="s">
        <v>2063</v>
      </c>
      <c r="AM720" s="35"/>
      <c r="AN720" s="35"/>
      <c r="AO720" s="35"/>
      <c r="AP720" s="35"/>
      <c r="AQ720" s="35"/>
      <c r="AR720" s="29" t="s">
        <v>1756</v>
      </c>
      <c r="AS720" s="35"/>
      <c r="AT720" s="29" t="s">
        <v>1640</v>
      </c>
      <c r="AU720" s="35"/>
      <c r="AV720" s="29" t="s">
        <v>1641</v>
      </c>
      <c r="AW720" s="35"/>
      <c r="AX720" s="29" t="s">
        <v>1674</v>
      </c>
      <c r="AY720" s="35"/>
      <c r="AZ720" s="35"/>
      <c r="BA720" s="35"/>
      <c r="BB720" s="29" t="s">
        <v>4056</v>
      </c>
      <c r="BC720" s="29" t="s">
        <v>4002</v>
      </c>
      <c r="BF720" s="29" t="s">
        <v>1619</v>
      </c>
      <c r="BG720" s="29" t="s">
        <v>4060</v>
      </c>
      <c r="BH720" s="29" t="s">
        <v>2187</v>
      </c>
      <c r="BI720" s="35"/>
      <c r="BJ720" s="35"/>
      <c r="BK720" s="29" t="str" cm="1">
        <f t="array" ref="BK720">_xlfn.UNIQUE(MID(BB720,16,14))</f>
        <v>U012UNA01UH142</v>
      </c>
    </row>
    <row r="721" spans="1:63" hidden="1" x14ac:dyDescent="0.3">
      <c r="A721" s="29" t="s">
        <v>2221</v>
      </c>
      <c r="B721" s="36" t="str">
        <f t="shared" si="55"/>
        <v>G01NHB04KF001-BA01</v>
      </c>
      <c r="C721" s="33" t="s">
        <v>4061</v>
      </c>
      <c r="D721" s="34" t="str">
        <f t="shared" si="56"/>
        <v>ELY1 GRP4 CTRL U1 CELL VOLT1 CHAN BIT2</v>
      </c>
      <c r="E721" s="31">
        <f t="shared" si="57"/>
        <v>38</v>
      </c>
      <c r="F721" s="32" t="str">
        <f t="shared" si="58"/>
        <v>ELECTROLYSIS SYSTEM ELECTROLYSIS ARRAY 1 ELECTROLYZER SYSTEM MODULE GROUP 4 CONTROL UNITS CELL VOLTAGE MEASUREMENT CELL-VOLTAGE-MEASUREMENT - MODULE 1 COMMAND - CHANNEL ADRESS BIT 2</v>
      </c>
      <c r="G721" s="29" t="s">
        <v>1614</v>
      </c>
      <c r="H721" s="29" t="s">
        <v>1615</v>
      </c>
      <c r="I721" s="29" t="str">
        <f t="shared" si="59"/>
        <v>01</v>
      </c>
      <c r="J721" s="29" t="s">
        <v>1616</v>
      </c>
      <c r="K721" s="29" t="s">
        <v>1976</v>
      </c>
      <c r="L721" s="29" t="s">
        <v>1977</v>
      </c>
      <c r="M721" s="29" t="s">
        <v>1915</v>
      </c>
      <c r="N721" s="29" t="s">
        <v>2183</v>
      </c>
      <c r="O721" s="29" t="s">
        <v>1771</v>
      </c>
      <c r="P721" s="29" t="s">
        <v>2055</v>
      </c>
      <c r="Q721" s="29" t="s">
        <v>1623</v>
      </c>
      <c r="R721" s="29" t="s">
        <v>2056</v>
      </c>
      <c r="S721" s="29" t="s">
        <v>2057</v>
      </c>
      <c r="T721" s="29" t="s">
        <v>2058</v>
      </c>
      <c r="U721" s="29" t="s">
        <v>4013</v>
      </c>
      <c r="V721" s="29" t="s">
        <v>4014</v>
      </c>
      <c r="W721" s="35" t="s">
        <v>1628</v>
      </c>
      <c r="X721" s="35" t="s">
        <v>2184</v>
      </c>
      <c r="Y721" s="35" t="s">
        <v>1775</v>
      </c>
      <c r="Z721" s="35" t="s">
        <v>2060</v>
      </c>
      <c r="AA721" s="35" t="s">
        <v>4015</v>
      </c>
      <c r="AB721" s="29" t="s">
        <v>2061</v>
      </c>
      <c r="AC721" s="35" t="s">
        <v>1633</v>
      </c>
      <c r="AD721" s="35" t="s">
        <v>1634</v>
      </c>
      <c r="AE721" s="35" t="s">
        <v>1634</v>
      </c>
      <c r="AF721" s="35" t="s">
        <v>1669</v>
      </c>
      <c r="AG721" s="35" t="s">
        <v>1728</v>
      </c>
      <c r="AI721" s="35"/>
      <c r="AJ721" s="35" t="s">
        <v>3340</v>
      </c>
      <c r="AK721" s="35" t="s">
        <v>1672</v>
      </c>
      <c r="AL721" s="29" t="s">
        <v>2063</v>
      </c>
      <c r="AM721" s="35"/>
      <c r="AN721" s="35"/>
      <c r="AO721" s="35"/>
      <c r="AP721" s="35"/>
      <c r="AQ721" s="35"/>
      <c r="AR721" s="29" t="s">
        <v>1756</v>
      </c>
      <c r="AS721" s="35"/>
      <c r="AT721" s="29" t="s">
        <v>1640</v>
      </c>
      <c r="AU721" s="35"/>
      <c r="AV721" s="29" t="s">
        <v>1641</v>
      </c>
      <c r="AW721" s="35"/>
      <c r="AX721" s="29" t="s">
        <v>1674</v>
      </c>
      <c r="AY721" s="35"/>
      <c r="AZ721" s="35"/>
      <c r="BA721" s="35"/>
      <c r="BB721" s="29" t="s">
        <v>4056</v>
      </c>
      <c r="BC721" s="29" t="s">
        <v>4002</v>
      </c>
      <c r="BF721" s="29" t="s">
        <v>1905</v>
      </c>
      <c r="BG721" s="29" t="s">
        <v>4060</v>
      </c>
      <c r="BH721" s="29" t="s">
        <v>2187</v>
      </c>
      <c r="BI721" s="35"/>
      <c r="BJ721" s="35"/>
      <c r="BK721" s="29" t="str" cm="1">
        <f t="array" ref="BK721">_xlfn.UNIQUE(MID(BB721,16,14))</f>
        <v>U012UNA01UH142</v>
      </c>
    </row>
    <row r="722" spans="1:63" hidden="1" x14ac:dyDescent="0.3">
      <c r="A722" s="29" t="s">
        <v>2221</v>
      </c>
      <c r="B722" s="36" t="str">
        <f t="shared" si="55"/>
        <v>G01NHB04KF001-BA01</v>
      </c>
      <c r="C722" s="33" t="s">
        <v>4062</v>
      </c>
      <c r="D722" s="34" t="str">
        <f t="shared" si="56"/>
        <v>ELY1 GRP4 CTRL U1 CELL VOLT1 CHAN BIT3</v>
      </c>
      <c r="E722" s="31">
        <f t="shared" si="57"/>
        <v>38</v>
      </c>
      <c r="F722" s="32" t="str">
        <f t="shared" si="58"/>
        <v>ELECTROLYSIS SYSTEM ELECTROLYSIS ARRAY 1 ELECTROLYZER SYSTEM MODULE GROUP 4 CONTROL UNITS CELL VOLTAGE MEASUREMENT CELL-VOLTAGE-MEASUREMENT - MODULE 1 COMMAND - CHANNEL ADRESS BIT 3</v>
      </c>
      <c r="G722" s="29" t="s">
        <v>1614</v>
      </c>
      <c r="H722" s="29" t="s">
        <v>1615</v>
      </c>
      <c r="I722" s="29" t="str">
        <f t="shared" si="59"/>
        <v>01</v>
      </c>
      <c r="J722" s="29" t="s">
        <v>1616</v>
      </c>
      <c r="K722" s="29" t="s">
        <v>1976</v>
      </c>
      <c r="L722" s="29" t="s">
        <v>1977</v>
      </c>
      <c r="M722" s="29" t="s">
        <v>1915</v>
      </c>
      <c r="N722" s="29" t="s">
        <v>2183</v>
      </c>
      <c r="O722" s="29" t="s">
        <v>1771</v>
      </c>
      <c r="P722" s="29" t="s">
        <v>2055</v>
      </c>
      <c r="Q722" s="29" t="s">
        <v>1623</v>
      </c>
      <c r="R722" s="29" t="s">
        <v>2056</v>
      </c>
      <c r="S722" s="29" t="s">
        <v>2057</v>
      </c>
      <c r="T722" s="29" t="s">
        <v>2058</v>
      </c>
      <c r="U722" s="29" t="s">
        <v>4017</v>
      </c>
      <c r="V722" s="29" t="s">
        <v>4018</v>
      </c>
      <c r="W722" s="35" t="s">
        <v>1628</v>
      </c>
      <c r="X722" s="35" t="s">
        <v>2184</v>
      </c>
      <c r="Y722" s="35" t="s">
        <v>1775</v>
      </c>
      <c r="Z722" s="35" t="s">
        <v>2060</v>
      </c>
      <c r="AA722" s="35" t="s">
        <v>4019</v>
      </c>
      <c r="AB722" s="29" t="s">
        <v>2061</v>
      </c>
      <c r="AC722" s="35" t="s">
        <v>1633</v>
      </c>
      <c r="AD722" s="35" t="s">
        <v>1634</v>
      </c>
      <c r="AE722" s="35" t="s">
        <v>1634</v>
      </c>
      <c r="AF722" s="35" t="s">
        <v>1669</v>
      </c>
      <c r="AG722" s="35" t="s">
        <v>1728</v>
      </c>
      <c r="AI722" s="35"/>
      <c r="AJ722" s="35" t="s">
        <v>3340</v>
      </c>
      <c r="AK722" s="35" t="s">
        <v>1672</v>
      </c>
      <c r="AL722" s="29" t="s">
        <v>2063</v>
      </c>
      <c r="AM722" s="35"/>
      <c r="AN722" s="35"/>
      <c r="AO722" s="35"/>
      <c r="AP722" s="35"/>
      <c r="AQ722" s="35"/>
      <c r="AR722" s="29" t="s">
        <v>1756</v>
      </c>
      <c r="AS722" s="35"/>
      <c r="AT722" s="29" t="s">
        <v>1640</v>
      </c>
      <c r="AU722" s="35"/>
      <c r="AV722" s="29" t="s">
        <v>1641</v>
      </c>
      <c r="AW722" s="35"/>
      <c r="AX722" s="29" t="s">
        <v>1674</v>
      </c>
      <c r="AY722" s="35"/>
      <c r="AZ722" s="35"/>
      <c r="BA722" s="35"/>
      <c r="BB722" s="29" t="s">
        <v>4056</v>
      </c>
      <c r="BC722" s="29" t="s">
        <v>4002</v>
      </c>
      <c r="BF722" s="29" t="s">
        <v>1909</v>
      </c>
      <c r="BG722" s="29" t="s">
        <v>4060</v>
      </c>
      <c r="BH722" s="29" t="s">
        <v>2187</v>
      </c>
      <c r="BI722" s="35"/>
      <c r="BJ722" s="35"/>
      <c r="BK722" s="29" t="str" cm="1">
        <f t="array" ref="BK722">_xlfn.UNIQUE(MID(BB722,16,14))</f>
        <v>U012UNA01UH142</v>
      </c>
    </row>
    <row r="723" spans="1:63" hidden="1" x14ac:dyDescent="0.3">
      <c r="A723" s="29" t="s">
        <v>2221</v>
      </c>
      <c r="B723" s="36" t="str">
        <f t="shared" si="55"/>
        <v>G01NHB04KF001-BA01</v>
      </c>
      <c r="C723" s="33" t="s">
        <v>4063</v>
      </c>
      <c r="D723" s="34" t="str">
        <f t="shared" si="56"/>
        <v>ELY1 GRP4 CTRL U1 CELL VOLT1 CHAN BIT4</v>
      </c>
      <c r="E723" s="31">
        <f t="shared" si="57"/>
        <v>38</v>
      </c>
      <c r="F723" s="32" t="str">
        <f t="shared" si="58"/>
        <v>ELECTROLYSIS SYSTEM ELECTROLYSIS ARRAY 1 ELECTROLYZER SYSTEM MODULE GROUP 4 CONTROL UNITS CELL VOLTAGE MEASUREMENT CELL-VOLTAGE-MEASUREMENT - MODULE 1 COMMAND - CHANNEL ADRESS BIT 4</v>
      </c>
      <c r="G723" s="29" t="s">
        <v>1614</v>
      </c>
      <c r="H723" s="29" t="s">
        <v>1615</v>
      </c>
      <c r="I723" s="29" t="str">
        <f t="shared" si="59"/>
        <v>01</v>
      </c>
      <c r="J723" s="29" t="s">
        <v>1616</v>
      </c>
      <c r="K723" s="29" t="s">
        <v>1976</v>
      </c>
      <c r="L723" s="29" t="s">
        <v>1977</v>
      </c>
      <c r="M723" s="29" t="s">
        <v>1915</v>
      </c>
      <c r="N723" s="29" t="s">
        <v>2183</v>
      </c>
      <c r="O723" s="29" t="s">
        <v>1771</v>
      </c>
      <c r="P723" s="29" t="s">
        <v>2055</v>
      </c>
      <c r="Q723" s="29" t="s">
        <v>1623</v>
      </c>
      <c r="R723" s="29" t="s">
        <v>2056</v>
      </c>
      <c r="S723" s="29" t="s">
        <v>2057</v>
      </c>
      <c r="T723" s="29" t="s">
        <v>2058</v>
      </c>
      <c r="U723" s="29" t="s">
        <v>4022</v>
      </c>
      <c r="V723" s="29" t="s">
        <v>4023</v>
      </c>
      <c r="W723" s="35" t="s">
        <v>1628</v>
      </c>
      <c r="X723" s="35" t="s">
        <v>2184</v>
      </c>
      <c r="Y723" s="35" t="s">
        <v>1775</v>
      </c>
      <c r="Z723" s="35" t="s">
        <v>2060</v>
      </c>
      <c r="AA723" s="35" t="s">
        <v>4024</v>
      </c>
      <c r="AB723" s="29" t="s">
        <v>2061</v>
      </c>
      <c r="AC723" s="35" t="s">
        <v>1633</v>
      </c>
      <c r="AD723" s="35" t="s">
        <v>1634</v>
      </c>
      <c r="AE723" s="35" t="s">
        <v>1634</v>
      </c>
      <c r="AF723" s="35" t="s">
        <v>1669</v>
      </c>
      <c r="AG723" s="35" t="s">
        <v>1728</v>
      </c>
      <c r="AI723" s="35"/>
      <c r="AJ723" s="35" t="s">
        <v>3340</v>
      </c>
      <c r="AK723" s="35" t="s">
        <v>1672</v>
      </c>
      <c r="AL723" s="29" t="s">
        <v>2063</v>
      </c>
      <c r="AM723" s="35"/>
      <c r="AN723" s="35"/>
      <c r="AO723" s="35"/>
      <c r="AP723" s="35"/>
      <c r="AQ723" s="35"/>
      <c r="AR723" s="29" t="s">
        <v>1756</v>
      </c>
      <c r="AS723" s="35"/>
      <c r="AT723" s="29" t="s">
        <v>1640</v>
      </c>
      <c r="AU723" s="35"/>
      <c r="AV723" s="29" t="s">
        <v>1641</v>
      </c>
      <c r="AW723" s="35"/>
      <c r="AX723" s="29" t="s">
        <v>1674</v>
      </c>
      <c r="AY723" s="35"/>
      <c r="AZ723" s="35"/>
      <c r="BA723" s="35"/>
      <c r="BB723" s="29" t="s">
        <v>4056</v>
      </c>
      <c r="BC723" s="29" t="s">
        <v>4002</v>
      </c>
      <c r="BF723" s="29" t="s">
        <v>1915</v>
      </c>
      <c r="BG723" s="29" t="s">
        <v>4060</v>
      </c>
      <c r="BH723" s="29" t="s">
        <v>2187</v>
      </c>
      <c r="BI723" s="35"/>
      <c r="BJ723" s="35"/>
      <c r="BK723" s="29" t="str" cm="1">
        <f t="array" ref="BK723">_xlfn.UNIQUE(MID(BB723,16,14))</f>
        <v>U012UNA01UH142</v>
      </c>
    </row>
    <row r="724" spans="1:63" hidden="1" x14ac:dyDescent="0.3">
      <c r="A724" s="29" t="s">
        <v>2221</v>
      </c>
      <c r="B724" s="36" t="str">
        <f t="shared" si="55"/>
        <v>G01NHB04KF001-BA01</v>
      </c>
      <c r="C724" s="33" t="s">
        <v>4064</v>
      </c>
      <c r="D724" s="34" t="str">
        <f t="shared" si="56"/>
        <v>ELY1 GRP4 CTRL U1 CELL VOLT1 CHAN BIT5</v>
      </c>
      <c r="E724" s="31">
        <f t="shared" si="57"/>
        <v>38</v>
      </c>
      <c r="F724" s="32" t="str">
        <f t="shared" si="58"/>
        <v>ELECTROLYSIS SYSTEM ELECTROLYSIS ARRAY 1 ELECTROLYZER SYSTEM MODULE GROUP 4 CONTROL UNITS CELL VOLTAGE MEASUREMENT CELL-VOLTAGE-MEASUREMENT - MODULE 1 COMMAND - CHANNEL ADRESS BIT 5</v>
      </c>
      <c r="G724" s="29" t="s">
        <v>1614</v>
      </c>
      <c r="H724" s="29" t="s">
        <v>1615</v>
      </c>
      <c r="I724" s="29" t="str">
        <f t="shared" si="59"/>
        <v>01</v>
      </c>
      <c r="J724" s="29" t="s">
        <v>1616</v>
      </c>
      <c r="K724" s="29" t="s">
        <v>1976</v>
      </c>
      <c r="L724" s="29" t="s">
        <v>1977</v>
      </c>
      <c r="M724" s="29" t="s">
        <v>1915</v>
      </c>
      <c r="N724" s="29" t="s">
        <v>2183</v>
      </c>
      <c r="O724" s="29" t="s">
        <v>1771</v>
      </c>
      <c r="P724" s="29" t="s">
        <v>2055</v>
      </c>
      <c r="Q724" s="29" t="s">
        <v>1623</v>
      </c>
      <c r="R724" s="29" t="s">
        <v>2056</v>
      </c>
      <c r="S724" s="29" t="s">
        <v>2057</v>
      </c>
      <c r="T724" s="29" t="s">
        <v>2058</v>
      </c>
      <c r="U724" s="29" t="s">
        <v>4026</v>
      </c>
      <c r="V724" s="29" t="s">
        <v>4027</v>
      </c>
      <c r="W724" s="35" t="s">
        <v>1628</v>
      </c>
      <c r="X724" s="35" t="s">
        <v>2184</v>
      </c>
      <c r="Y724" s="35" t="s">
        <v>1775</v>
      </c>
      <c r="Z724" s="35" t="s">
        <v>2060</v>
      </c>
      <c r="AA724" s="35" t="s">
        <v>4028</v>
      </c>
      <c r="AB724" s="29" t="s">
        <v>2061</v>
      </c>
      <c r="AC724" s="35" t="s">
        <v>1633</v>
      </c>
      <c r="AD724" s="35" t="s">
        <v>1634</v>
      </c>
      <c r="AE724" s="35" t="s">
        <v>1634</v>
      </c>
      <c r="AF724" s="35" t="s">
        <v>1669</v>
      </c>
      <c r="AG724" s="35" t="s">
        <v>1728</v>
      </c>
      <c r="AI724" s="35"/>
      <c r="AJ724" s="35" t="s">
        <v>3340</v>
      </c>
      <c r="AK724" s="35" t="s">
        <v>1672</v>
      </c>
      <c r="AL724" s="29" t="s">
        <v>2063</v>
      </c>
      <c r="AM724" s="35"/>
      <c r="AN724" s="35"/>
      <c r="AO724" s="35"/>
      <c r="AP724" s="35"/>
      <c r="AQ724" s="35"/>
      <c r="AR724" s="29" t="s">
        <v>1756</v>
      </c>
      <c r="AS724" s="35"/>
      <c r="AT724" s="29" t="s">
        <v>1640</v>
      </c>
      <c r="AU724" s="35"/>
      <c r="AV724" s="29" t="s">
        <v>1641</v>
      </c>
      <c r="AW724" s="35"/>
      <c r="AX724" s="29" t="s">
        <v>1674</v>
      </c>
      <c r="AY724" s="35"/>
      <c r="AZ724" s="35"/>
      <c r="BA724" s="35"/>
      <c r="BB724" s="29" t="s">
        <v>4056</v>
      </c>
      <c r="BC724" s="29" t="s">
        <v>4002</v>
      </c>
      <c r="BF724" s="29" t="s">
        <v>1919</v>
      </c>
      <c r="BG724" s="29" t="s">
        <v>4057</v>
      </c>
      <c r="BH724" s="29" t="s">
        <v>2187</v>
      </c>
      <c r="BI724" s="35"/>
      <c r="BJ724" s="35"/>
      <c r="BK724" s="29" t="str" cm="1">
        <f t="array" ref="BK724">_xlfn.UNIQUE(MID(BB724,16,14))</f>
        <v>U012UNA01UH142</v>
      </c>
    </row>
    <row r="725" spans="1:63" hidden="1" x14ac:dyDescent="0.3">
      <c r="A725" s="29" t="s">
        <v>2221</v>
      </c>
      <c r="B725" s="36" t="str">
        <f t="shared" si="55"/>
        <v>G01NHB04KF001-BA01</v>
      </c>
      <c r="C725" s="33" t="s">
        <v>4065</v>
      </c>
      <c r="D725" s="34" t="str">
        <f t="shared" si="56"/>
        <v>ELY1 GRP4 CTRL U1 CELL VOLT1 CHAN BIT6</v>
      </c>
      <c r="E725" s="31">
        <f t="shared" si="57"/>
        <v>38</v>
      </c>
      <c r="F725" s="32" t="str">
        <f t="shared" si="58"/>
        <v>ELECTROLYSIS SYSTEM ELECTROLYSIS ARRAY 1 ELECTROLYZER SYSTEM MODULE GROUP 4 CONTROL UNITS CELL VOLTAGE MEASUREMENT CELL-VOLTAGE-MEASUREMENT - MODULE 1 COMMAND - CHANNEL ADRESS BIT 6</v>
      </c>
      <c r="G725" s="29" t="s">
        <v>1614</v>
      </c>
      <c r="H725" s="29" t="s">
        <v>1615</v>
      </c>
      <c r="I725" s="29" t="str">
        <f t="shared" si="59"/>
        <v>01</v>
      </c>
      <c r="J725" s="29" t="s">
        <v>1616</v>
      </c>
      <c r="K725" s="29" t="s">
        <v>1976</v>
      </c>
      <c r="L725" s="29" t="s">
        <v>1977</v>
      </c>
      <c r="M725" s="29" t="s">
        <v>1915</v>
      </c>
      <c r="N725" s="29" t="s">
        <v>2183</v>
      </c>
      <c r="O725" s="29" t="s">
        <v>1771</v>
      </c>
      <c r="P725" s="29" t="s">
        <v>2055</v>
      </c>
      <c r="Q725" s="29" t="s">
        <v>1623</v>
      </c>
      <c r="R725" s="29" t="s">
        <v>2056</v>
      </c>
      <c r="S725" s="29" t="s">
        <v>2057</v>
      </c>
      <c r="T725" s="29" t="s">
        <v>2058</v>
      </c>
      <c r="U725" s="29" t="s">
        <v>4030</v>
      </c>
      <c r="V725" s="29" t="s">
        <v>4031</v>
      </c>
      <c r="W725" s="35" t="s">
        <v>1628</v>
      </c>
      <c r="X725" s="35" t="s">
        <v>2184</v>
      </c>
      <c r="Y725" s="35" t="s">
        <v>1775</v>
      </c>
      <c r="Z725" s="35" t="s">
        <v>2060</v>
      </c>
      <c r="AA725" s="35" t="s">
        <v>4032</v>
      </c>
      <c r="AB725" s="29" t="s">
        <v>2061</v>
      </c>
      <c r="AC725" s="35" t="s">
        <v>1633</v>
      </c>
      <c r="AD725" s="35" t="s">
        <v>1634</v>
      </c>
      <c r="AE725" s="35" t="s">
        <v>1634</v>
      </c>
      <c r="AF725" s="35" t="s">
        <v>1669</v>
      </c>
      <c r="AG725" s="35" t="s">
        <v>1728</v>
      </c>
      <c r="AI725" s="35"/>
      <c r="AJ725" s="35" t="s">
        <v>3340</v>
      </c>
      <c r="AK725" s="35" t="s">
        <v>1672</v>
      </c>
      <c r="AL725" s="29" t="s">
        <v>2063</v>
      </c>
      <c r="AM725" s="35"/>
      <c r="AN725" s="35"/>
      <c r="AO725" s="35"/>
      <c r="AP725" s="35"/>
      <c r="AQ725" s="35"/>
      <c r="AR725" s="29" t="s">
        <v>1756</v>
      </c>
      <c r="AS725" s="35"/>
      <c r="AT725" s="29" t="s">
        <v>1640</v>
      </c>
      <c r="AU725" s="35"/>
      <c r="AV725" s="29" t="s">
        <v>1641</v>
      </c>
      <c r="AW725" s="35"/>
      <c r="AX725" s="29" t="s">
        <v>1674</v>
      </c>
      <c r="AY725" s="35"/>
      <c r="AZ725" s="35"/>
      <c r="BA725" s="35"/>
      <c r="BB725" s="29" t="s">
        <v>4056</v>
      </c>
      <c r="BC725" s="29" t="s">
        <v>4002</v>
      </c>
      <c r="BF725" s="29" t="s">
        <v>1922</v>
      </c>
      <c r="BG725" s="29" t="s">
        <v>4057</v>
      </c>
      <c r="BH725" s="29" t="s">
        <v>2187</v>
      </c>
      <c r="BI725" s="35"/>
      <c r="BJ725" s="35"/>
      <c r="BK725" s="29" t="str" cm="1">
        <f t="array" ref="BK725">_xlfn.UNIQUE(MID(BB725,16,14))</f>
        <v>U012UNA01UH142</v>
      </c>
    </row>
    <row r="726" spans="1:63" hidden="1" x14ac:dyDescent="0.3">
      <c r="A726" s="29" t="s">
        <v>2268</v>
      </c>
      <c r="B726" s="36" t="str">
        <f t="shared" si="55"/>
        <v>G01NHB05KF001-BA01</v>
      </c>
      <c r="C726" s="33" t="s">
        <v>4066</v>
      </c>
      <c r="D726" s="34" t="str">
        <f t="shared" si="56"/>
        <v>ELY1 GRP5 CTRL U1 CELL VOLT1 CHAN TRF</v>
      </c>
      <c r="E726" s="31">
        <f t="shared" si="57"/>
        <v>37</v>
      </c>
      <c r="F726" s="32" t="str">
        <f t="shared" si="58"/>
        <v>ELECTROLYSIS SYSTEM ELECTROLYSIS ARRAY 1 ELECTROLYZER SYSTEM MODULE GROUP 5 CONTROL UNITS CELL VOLTAGE MEASUREMENT CELL-VOLTAGE-MEASUREMENT - MODULE 1 COMMAND - CHANNEL ADRESS TRANSFER</v>
      </c>
      <c r="G726" s="29" t="s">
        <v>1614</v>
      </c>
      <c r="H726" s="29" t="s">
        <v>1615</v>
      </c>
      <c r="I726" s="29" t="str">
        <f t="shared" si="59"/>
        <v>01</v>
      </c>
      <c r="J726" s="29" t="s">
        <v>1616</v>
      </c>
      <c r="K726" s="29" t="s">
        <v>1976</v>
      </c>
      <c r="L726" s="29" t="s">
        <v>1977</v>
      </c>
      <c r="M726" s="29" t="s">
        <v>1919</v>
      </c>
      <c r="N726" s="29" t="s">
        <v>2231</v>
      </c>
      <c r="O726" s="29" t="s">
        <v>1771</v>
      </c>
      <c r="P726" s="29" t="s">
        <v>2055</v>
      </c>
      <c r="Q726" s="29" t="s">
        <v>1623</v>
      </c>
      <c r="R726" s="29" t="s">
        <v>2056</v>
      </c>
      <c r="S726" s="29" t="s">
        <v>2057</v>
      </c>
      <c r="T726" s="29" t="s">
        <v>2058</v>
      </c>
      <c r="U726" s="29" t="s">
        <v>3998</v>
      </c>
      <c r="V726" s="29" t="s">
        <v>3999</v>
      </c>
      <c r="W726" s="35" t="s">
        <v>1628</v>
      </c>
      <c r="X726" s="35" t="s">
        <v>2232</v>
      </c>
      <c r="Y726" s="35" t="s">
        <v>1775</v>
      </c>
      <c r="Z726" s="35" t="s">
        <v>2060</v>
      </c>
      <c r="AA726" s="35" t="s">
        <v>4000</v>
      </c>
      <c r="AB726" s="29" t="s">
        <v>2061</v>
      </c>
      <c r="AC726" s="35" t="s">
        <v>1633</v>
      </c>
      <c r="AD726" s="35" t="s">
        <v>1634</v>
      </c>
      <c r="AE726" s="35" t="s">
        <v>1634</v>
      </c>
      <c r="AF726" s="35" t="s">
        <v>1669</v>
      </c>
      <c r="AG726" s="35" t="s">
        <v>1728</v>
      </c>
      <c r="AI726" s="35"/>
      <c r="AJ726" s="35" t="s">
        <v>3340</v>
      </c>
      <c r="AK726" s="35" t="s">
        <v>1672</v>
      </c>
      <c r="AL726" s="29" t="s">
        <v>2063</v>
      </c>
      <c r="AM726" s="35"/>
      <c r="AN726" s="35"/>
      <c r="AO726" s="35"/>
      <c r="AP726" s="35"/>
      <c r="AQ726" s="35"/>
      <c r="AR726" s="29" t="s">
        <v>1756</v>
      </c>
      <c r="AS726" s="35"/>
      <c r="AT726" s="29" t="s">
        <v>1640</v>
      </c>
      <c r="AU726" s="35"/>
      <c r="AV726" s="29" t="s">
        <v>1641</v>
      </c>
      <c r="AW726" s="35"/>
      <c r="AX726" s="29" t="s">
        <v>1674</v>
      </c>
      <c r="AY726" s="35"/>
      <c r="AZ726" s="35"/>
      <c r="BA726" s="35"/>
      <c r="BB726" s="29" t="s">
        <v>4067</v>
      </c>
      <c r="BC726" s="29" t="s">
        <v>4002</v>
      </c>
      <c r="BF726" s="29" t="s">
        <v>1931</v>
      </c>
      <c r="BG726" s="29" t="s">
        <v>4068</v>
      </c>
      <c r="BH726" s="29" t="s">
        <v>2235</v>
      </c>
      <c r="BI726" s="35"/>
      <c r="BJ726" s="35"/>
      <c r="BK726" s="29" t="str" cm="1">
        <f t="array" ref="BK726">_xlfn.UNIQUE(MID(BB726,16,14))</f>
        <v>U012UNA01UH152</v>
      </c>
    </row>
    <row r="727" spans="1:63" hidden="1" x14ac:dyDescent="0.3">
      <c r="A727" s="29" t="s">
        <v>2268</v>
      </c>
      <c r="B727" s="36" t="str">
        <f t="shared" si="55"/>
        <v>G01NHB05KF001-BA01</v>
      </c>
      <c r="C727" s="33" t="s">
        <v>4069</v>
      </c>
      <c r="D727" s="34" t="str">
        <f t="shared" si="56"/>
        <v>ELY1 GRP5 CTRL U1 CELL VOLT1 CHAN ADR</v>
      </c>
      <c r="E727" s="31">
        <f t="shared" si="57"/>
        <v>37</v>
      </c>
      <c r="F727" s="32" t="str">
        <f t="shared" si="58"/>
        <v>ELECTROLYSIS SYSTEM ELECTROLYSIS ARRAY 1 ELECTROLYZER SYSTEM MODULE GROUP 5 CONTROL UNITS CELL VOLTAGE MEASUREMENT CELL-VOLTAGE-MEASUREMENT - MODULE 1 COMMAND - CHANNEL ADRESS ACTIVE</v>
      </c>
      <c r="G727" s="29" t="s">
        <v>1614</v>
      </c>
      <c r="H727" s="29" t="s">
        <v>1615</v>
      </c>
      <c r="I727" s="29" t="str">
        <f t="shared" si="59"/>
        <v>01</v>
      </c>
      <c r="J727" s="29" t="s">
        <v>1616</v>
      </c>
      <c r="K727" s="29" t="s">
        <v>1976</v>
      </c>
      <c r="L727" s="29" t="s">
        <v>1977</v>
      </c>
      <c r="M727" s="29" t="s">
        <v>1919</v>
      </c>
      <c r="N727" s="29" t="s">
        <v>2231</v>
      </c>
      <c r="O727" s="29" t="s">
        <v>1771</v>
      </c>
      <c r="P727" s="29" t="s">
        <v>2055</v>
      </c>
      <c r="Q727" s="29" t="s">
        <v>1623</v>
      </c>
      <c r="R727" s="29" t="s">
        <v>2056</v>
      </c>
      <c r="S727" s="29" t="s">
        <v>2057</v>
      </c>
      <c r="T727" s="29" t="s">
        <v>2058</v>
      </c>
      <c r="U727" s="29" t="s">
        <v>4005</v>
      </c>
      <c r="V727" s="29" t="s">
        <v>4006</v>
      </c>
      <c r="W727" s="35" t="s">
        <v>1628</v>
      </c>
      <c r="X727" s="35" t="s">
        <v>2232</v>
      </c>
      <c r="Y727" s="35" t="s">
        <v>1775</v>
      </c>
      <c r="Z727" s="35" t="s">
        <v>2060</v>
      </c>
      <c r="AA727" s="35" t="s">
        <v>4007</v>
      </c>
      <c r="AB727" s="29" t="s">
        <v>2061</v>
      </c>
      <c r="AC727" s="35" t="s">
        <v>1633</v>
      </c>
      <c r="AD727" s="35" t="s">
        <v>1634</v>
      </c>
      <c r="AE727" s="35" t="s">
        <v>1634</v>
      </c>
      <c r="AF727" s="35" t="s">
        <v>1669</v>
      </c>
      <c r="AG727" s="35" t="s">
        <v>1728</v>
      </c>
      <c r="AI727" s="35"/>
      <c r="AJ727" s="35" t="s">
        <v>3340</v>
      </c>
      <c r="AK727" s="35" t="s">
        <v>1672</v>
      </c>
      <c r="AL727" s="29" t="s">
        <v>2063</v>
      </c>
      <c r="AM727" s="35"/>
      <c r="AN727" s="35"/>
      <c r="AO727" s="35"/>
      <c r="AP727" s="35"/>
      <c r="AQ727" s="35"/>
      <c r="AR727" s="29" t="s">
        <v>1756</v>
      </c>
      <c r="AS727" s="35"/>
      <c r="AT727" s="29" t="s">
        <v>1640</v>
      </c>
      <c r="AU727" s="35"/>
      <c r="AV727" s="29" t="s">
        <v>1641</v>
      </c>
      <c r="AW727" s="35"/>
      <c r="AX727" s="29" t="s">
        <v>1674</v>
      </c>
      <c r="AY727" s="35"/>
      <c r="AZ727" s="35"/>
      <c r="BA727" s="35"/>
      <c r="BB727" s="29" t="s">
        <v>4067</v>
      </c>
      <c r="BC727" s="29" t="s">
        <v>4002</v>
      </c>
      <c r="BF727" s="29" t="s">
        <v>1936</v>
      </c>
      <c r="BG727" s="29" t="s">
        <v>4068</v>
      </c>
      <c r="BH727" s="29" t="s">
        <v>2235</v>
      </c>
      <c r="BI727" s="35"/>
      <c r="BJ727" s="35"/>
      <c r="BK727" s="29" t="str" cm="1">
        <f t="array" ref="BK727">_xlfn.UNIQUE(MID(BB727,16,14))</f>
        <v>U012UNA01UH152</v>
      </c>
    </row>
    <row r="728" spans="1:63" hidden="1" x14ac:dyDescent="0.3">
      <c r="A728" s="29" t="s">
        <v>2268</v>
      </c>
      <c r="B728" s="36" t="str">
        <f t="shared" si="55"/>
        <v>G01NHB05KF001-BA01</v>
      </c>
      <c r="C728" s="33" t="s">
        <v>4070</v>
      </c>
      <c r="D728" s="34" t="str">
        <f t="shared" si="56"/>
        <v>ELY1 GRP5 CTRL U1 CELL VOLT1 CHAN BIT1</v>
      </c>
      <c r="E728" s="31">
        <f t="shared" si="57"/>
        <v>38</v>
      </c>
      <c r="F728" s="32" t="str">
        <f t="shared" si="58"/>
        <v>ELECTROLYSIS SYSTEM ELECTROLYSIS ARRAY 1 ELECTROLYZER SYSTEM MODULE GROUP 5 CONTROL UNITS CELL VOLTAGE MEASUREMENT CELL-VOLTAGE-MEASUREMENT - MODULE 1 COMMAND - CHANNEL ADRESS BIT 1</v>
      </c>
      <c r="G728" s="29" t="s">
        <v>1614</v>
      </c>
      <c r="H728" s="29" t="s">
        <v>1615</v>
      </c>
      <c r="I728" s="29" t="str">
        <f t="shared" si="59"/>
        <v>01</v>
      </c>
      <c r="J728" s="29" t="s">
        <v>1616</v>
      </c>
      <c r="K728" s="29" t="s">
        <v>1976</v>
      </c>
      <c r="L728" s="29" t="s">
        <v>1977</v>
      </c>
      <c r="M728" s="29" t="s">
        <v>1919</v>
      </c>
      <c r="N728" s="29" t="s">
        <v>2231</v>
      </c>
      <c r="O728" s="29" t="s">
        <v>1771</v>
      </c>
      <c r="P728" s="29" t="s">
        <v>2055</v>
      </c>
      <c r="Q728" s="29" t="s">
        <v>1623</v>
      </c>
      <c r="R728" s="29" t="s">
        <v>2056</v>
      </c>
      <c r="S728" s="29" t="s">
        <v>2057</v>
      </c>
      <c r="T728" s="29" t="s">
        <v>2058</v>
      </c>
      <c r="U728" s="29" t="s">
        <v>4009</v>
      </c>
      <c r="V728" s="29" t="s">
        <v>4010</v>
      </c>
      <c r="W728" s="35" t="s">
        <v>1628</v>
      </c>
      <c r="X728" s="35" t="s">
        <v>2232</v>
      </c>
      <c r="Y728" s="35" t="s">
        <v>1775</v>
      </c>
      <c r="Z728" s="35" t="s">
        <v>2060</v>
      </c>
      <c r="AA728" s="35" t="s">
        <v>4011</v>
      </c>
      <c r="AB728" s="29" t="s">
        <v>2061</v>
      </c>
      <c r="AC728" s="35" t="s">
        <v>1633</v>
      </c>
      <c r="AD728" s="35" t="s">
        <v>1634</v>
      </c>
      <c r="AE728" s="35" t="s">
        <v>1634</v>
      </c>
      <c r="AF728" s="35" t="s">
        <v>1669</v>
      </c>
      <c r="AG728" s="35" t="s">
        <v>1728</v>
      </c>
      <c r="AI728" s="35"/>
      <c r="AJ728" s="35" t="s">
        <v>3340</v>
      </c>
      <c r="AK728" s="35" t="s">
        <v>1672</v>
      </c>
      <c r="AL728" s="29" t="s">
        <v>2063</v>
      </c>
      <c r="AM728" s="35"/>
      <c r="AN728" s="35"/>
      <c r="AO728" s="35"/>
      <c r="AP728" s="35"/>
      <c r="AQ728" s="35"/>
      <c r="AR728" s="29" t="s">
        <v>1756</v>
      </c>
      <c r="AS728" s="35"/>
      <c r="AT728" s="29" t="s">
        <v>1640</v>
      </c>
      <c r="AU728" s="35"/>
      <c r="AV728" s="29" t="s">
        <v>1641</v>
      </c>
      <c r="AW728" s="35"/>
      <c r="AX728" s="29" t="s">
        <v>1674</v>
      </c>
      <c r="AY728" s="35"/>
      <c r="AZ728" s="35"/>
      <c r="BA728" s="35"/>
      <c r="BB728" s="29" t="s">
        <v>4067</v>
      </c>
      <c r="BC728" s="29" t="s">
        <v>4002</v>
      </c>
      <c r="BF728" s="29" t="s">
        <v>1619</v>
      </c>
      <c r="BG728" s="29" t="s">
        <v>4071</v>
      </c>
      <c r="BH728" s="29" t="s">
        <v>2235</v>
      </c>
      <c r="BI728" s="35"/>
      <c r="BJ728" s="35"/>
      <c r="BK728" s="29" t="str" cm="1">
        <f t="array" ref="BK728">_xlfn.UNIQUE(MID(BB728,16,14))</f>
        <v>U012UNA01UH152</v>
      </c>
    </row>
    <row r="729" spans="1:63" hidden="1" x14ac:dyDescent="0.3">
      <c r="A729" s="29" t="s">
        <v>2268</v>
      </c>
      <c r="B729" s="36" t="str">
        <f t="shared" si="55"/>
        <v>G01NHB05KF001-BA01</v>
      </c>
      <c r="C729" s="33" t="s">
        <v>4072</v>
      </c>
      <c r="D729" s="34" t="str">
        <f t="shared" si="56"/>
        <v>ELY1 GRP5 CTRL U1 CELL VOLT1 CHAN BIT2</v>
      </c>
      <c r="E729" s="31">
        <f t="shared" si="57"/>
        <v>38</v>
      </c>
      <c r="F729" s="32" t="str">
        <f t="shared" si="58"/>
        <v>ELECTROLYSIS SYSTEM ELECTROLYSIS ARRAY 1 ELECTROLYZER SYSTEM MODULE GROUP 5 CONTROL UNITS CELL VOLTAGE MEASUREMENT CELL-VOLTAGE-MEASUREMENT - MODULE 1 COMMAND - CHANNEL ADRESS BIT 2</v>
      </c>
      <c r="G729" s="29" t="s">
        <v>1614</v>
      </c>
      <c r="H729" s="29" t="s">
        <v>1615</v>
      </c>
      <c r="I729" s="29" t="str">
        <f t="shared" si="59"/>
        <v>01</v>
      </c>
      <c r="J729" s="29" t="s">
        <v>1616</v>
      </c>
      <c r="K729" s="29" t="s">
        <v>1976</v>
      </c>
      <c r="L729" s="29" t="s">
        <v>1977</v>
      </c>
      <c r="M729" s="29" t="s">
        <v>1919</v>
      </c>
      <c r="N729" s="29" t="s">
        <v>2231</v>
      </c>
      <c r="O729" s="29" t="s">
        <v>1771</v>
      </c>
      <c r="P729" s="29" t="s">
        <v>2055</v>
      </c>
      <c r="Q729" s="29" t="s">
        <v>1623</v>
      </c>
      <c r="R729" s="29" t="s">
        <v>2056</v>
      </c>
      <c r="S729" s="29" t="s">
        <v>2057</v>
      </c>
      <c r="T729" s="29" t="s">
        <v>2058</v>
      </c>
      <c r="U729" s="29" t="s">
        <v>4013</v>
      </c>
      <c r="V729" s="29" t="s">
        <v>4014</v>
      </c>
      <c r="W729" s="35" t="s">
        <v>1628</v>
      </c>
      <c r="X729" s="35" t="s">
        <v>2232</v>
      </c>
      <c r="Y729" s="35" t="s">
        <v>1775</v>
      </c>
      <c r="Z729" s="35" t="s">
        <v>2060</v>
      </c>
      <c r="AA729" s="35" t="s">
        <v>4015</v>
      </c>
      <c r="AB729" s="29" t="s">
        <v>2061</v>
      </c>
      <c r="AC729" s="35" t="s">
        <v>1633</v>
      </c>
      <c r="AD729" s="35" t="s">
        <v>1634</v>
      </c>
      <c r="AE729" s="35" t="s">
        <v>1634</v>
      </c>
      <c r="AF729" s="35" t="s">
        <v>1669</v>
      </c>
      <c r="AG729" s="35" t="s">
        <v>1728</v>
      </c>
      <c r="AI729" s="35"/>
      <c r="AJ729" s="35" t="s">
        <v>3340</v>
      </c>
      <c r="AK729" s="35" t="s">
        <v>1672</v>
      </c>
      <c r="AL729" s="29" t="s">
        <v>2063</v>
      </c>
      <c r="AM729" s="35"/>
      <c r="AN729" s="35"/>
      <c r="AO729" s="35"/>
      <c r="AP729" s="35"/>
      <c r="AQ729" s="35"/>
      <c r="AR729" s="29" t="s">
        <v>1756</v>
      </c>
      <c r="AS729" s="35"/>
      <c r="AT729" s="29" t="s">
        <v>1640</v>
      </c>
      <c r="AU729" s="35"/>
      <c r="AV729" s="29" t="s">
        <v>1641</v>
      </c>
      <c r="AW729" s="35"/>
      <c r="AX729" s="29" t="s">
        <v>1674</v>
      </c>
      <c r="AY729" s="35"/>
      <c r="AZ729" s="35"/>
      <c r="BA729" s="35"/>
      <c r="BB729" s="29" t="s">
        <v>4067</v>
      </c>
      <c r="BC729" s="29" t="s">
        <v>4002</v>
      </c>
      <c r="BF729" s="29" t="s">
        <v>1905</v>
      </c>
      <c r="BG729" s="29" t="s">
        <v>4071</v>
      </c>
      <c r="BH729" s="29" t="s">
        <v>2235</v>
      </c>
      <c r="BI729" s="35"/>
      <c r="BJ729" s="35"/>
      <c r="BK729" s="29" t="str" cm="1">
        <f t="array" ref="BK729">_xlfn.UNIQUE(MID(BB729,16,14))</f>
        <v>U012UNA01UH152</v>
      </c>
    </row>
    <row r="730" spans="1:63" hidden="1" x14ac:dyDescent="0.3">
      <c r="A730" s="29" t="s">
        <v>2268</v>
      </c>
      <c r="B730" s="36" t="str">
        <f t="shared" si="55"/>
        <v>G01NHB05KF001-BA01</v>
      </c>
      <c r="C730" s="33" t="s">
        <v>4073</v>
      </c>
      <c r="D730" s="34" t="str">
        <f t="shared" si="56"/>
        <v>ELY1 GRP5 CTRL U1 CELL VOLT1 CHAN BIT3</v>
      </c>
      <c r="E730" s="31">
        <f t="shared" si="57"/>
        <v>38</v>
      </c>
      <c r="F730" s="32" t="str">
        <f t="shared" si="58"/>
        <v>ELECTROLYSIS SYSTEM ELECTROLYSIS ARRAY 1 ELECTROLYZER SYSTEM MODULE GROUP 5 CONTROL UNITS CELL VOLTAGE MEASUREMENT CELL-VOLTAGE-MEASUREMENT - MODULE 1 COMMAND - CHANNEL ADRESS BIT 3</v>
      </c>
      <c r="G730" s="29" t="s">
        <v>1614</v>
      </c>
      <c r="H730" s="29" t="s">
        <v>1615</v>
      </c>
      <c r="I730" s="29" t="str">
        <f t="shared" si="59"/>
        <v>01</v>
      </c>
      <c r="J730" s="29" t="s">
        <v>1616</v>
      </c>
      <c r="K730" s="29" t="s">
        <v>1976</v>
      </c>
      <c r="L730" s="29" t="s">
        <v>1977</v>
      </c>
      <c r="M730" s="29" t="s">
        <v>1919</v>
      </c>
      <c r="N730" s="29" t="s">
        <v>2231</v>
      </c>
      <c r="O730" s="29" t="s">
        <v>1771</v>
      </c>
      <c r="P730" s="29" t="s">
        <v>2055</v>
      </c>
      <c r="Q730" s="29" t="s">
        <v>1623</v>
      </c>
      <c r="R730" s="29" t="s">
        <v>2056</v>
      </c>
      <c r="S730" s="29" t="s">
        <v>2057</v>
      </c>
      <c r="T730" s="29" t="s">
        <v>2058</v>
      </c>
      <c r="U730" s="29" t="s">
        <v>4017</v>
      </c>
      <c r="V730" s="29" t="s">
        <v>4018</v>
      </c>
      <c r="W730" s="35" t="s">
        <v>1628</v>
      </c>
      <c r="X730" s="35" t="s">
        <v>2232</v>
      </c>
      <c r="Y730" s="35" t="s">
        <v>1775</v>
      </c>
      <c r="Z730" s="35" t="s">
        <v>2060</v>
      </c>
      <c r="AA730" s="35" t="s">
        <v>4019</v>
      </c>
      <c r="AB730" s="29" t="s">
        <v>2061</v>
      </c>
      <c r="AC730" s="35" t="s">
        <v>1633</v>
      </c>
      <c r="AD730" s="35" t="s">
        <v>1634</v>
      </c>
      <c r="AE730" s="35" t="s">
        <v>1634</v>
      </c>
      <c r="AF730" s="35" t="s">
        <v>1669</v>
      </c>
      <c r="AG730" s="35" t="s">
        <v>1728</v>
      </c>
      <c r="AI730" s="35"/>
      <c r="AJ730" s="35" t="s">
        <v>3340</v>
      </c>
      <c r="AK730" s="35" t="s">
        <v>1672</v>
      </c>
      <c r="AL730" s="29" t="s">
        <v>2063</v>
      </c>
      <c r="AM730" s="35"/>
      <c r="AN730" s="35"/>
      <c r="AO730" s="35"/>
      <c r="AP730" s="35"/>
      <c r="AQ730" s="35"/>
      <c r="AR730" s="29" t="s">
        <v>1756</v>
      </c>
      <c r="AS730" s="35"/>
      <c r="AT730" s="29" t="s">
        <v>1640</v>
      </c>
      <c r="AU730" s="35"/>
      <c r="AV730" s="29" t="s">
        <v>1641</v>
      </c>
      <c r="AW730" s="35"/>
      <c r="AX730" s="29" t="s">
        <v>1674</v>
      </c>
      <c r="AY730" s="35"/>
      <c r="AZ730" s="35"/>
      <c r="BA730" s="35"/>
      <c r="BB730" s="29" t="s">
        <v>4067</v>
      </c>
      <c r="BC730" s="29" t="s">
        <v>4002</v>
      </c>
      <c r="BF730" s="29" t="s">
        <v>1909</v>
      </c>
      <c r="BG730" s="29" t="s">
        <v>4071</v>
      </c>
      <c r="BH730" s="29" t="s">
        <v>2235</v>
      </c>
      <c r="BI730" s="35"/>
      <c r="BJ730" s="35"/>
      <c r="BK730" s="29" t="str" cm="1">
        <f t="array" ref="BK730">_xlfn.UNIQUE(MID(BB730,16,14))</f>
        <v>U012UNA01UH152</v>
      </c>
    </row>
    <row r="731" spans="1:63" hidden="1" x14ac:dyDescent="0.3">
      <c r="A731" s="29" t="s">
        <v>2268</v>
      </c>
      <c r="B731" s="36" t="str">
        <f t="shared" si="55"/>
        <v>G01NHB05KF001-BA01</v>
      </c>
      <c r="C731" s="33" t="s">
        <v>4074</v>
      </c>
      <c r="D731" s="34" t="str">
        <f t="shared" si="56"/>
        <v>ELY1 GRP5 CTRL U1 CELL VOLT1 CHAN BIT4</v>
      </c>
      <c r="E731" s="31">
        <f t="shared" si="57"/>
        <v>38</v>
      </c>
      <c r="F731" s="32" t="str">
        <f t="shared" si="58"/>
        <v>ELECTROLYSIS SYSTEM ELECTROLYSIS ARRAY 1 ELECTROLYZER SYSTEM MODULE GROUP 5 CONTROL UNITS CELL VOLTAGE MEASUREMENT CELL-VOLTAGE-MEASUREMENT - MODULE 1 COMMAND - CHANNEL ADRESS BIT 4</v>
      </c>
      <c r="G731" s="29" t="s">
        <v>1614</v>
      </c>
      <c r="H731" s="29" t="s">
        <v>1615</v>
      </c>
      <c r="I731" s="29" t="str">
        <f t="shared" si="59"/>
        <v>01</v>
      </c>
      <c r="J731" s="29" t="s">
        <v>1616</v>
      </c>
      <c r="K731" s="29" t="s">
        <v>1976</v>
      </c>
      <c r="L731" s="29" t="s">
        <v>1977</v>
      </c>
      <c r="M731" s="29" t="s">
        <v>1919</v>
      </c>
      <c r="N731" s="29" t="s">
        <v>2231</v>
      </c>
      <c r="O731" s="29" t="s">
        <v>1771</v>
      </c>
      <c r="P731" s="29" t="s">
        <v>2055</v>
      </c>
      <c r="Q731" s="29" t="s">
        <v>1623</v>
      </c>
      <c r="R731" s="29" t="s">
        <v>2056</v>
      </c>
      <c r="S731" s="29" t="s">
        <v>2057</v>
      </c>
      <c r="T731" s="29" t="s">
        <v>2058</v>
      </c>
      <c r="U731" s="29" t="s">
        <v>4022</v>
      </c>
      <c r="V731" s="29" t="s">
        <v>4023</v>
      </c>
      <c r="W731" s="35" t="s">
        <v>1628</v>
      </c>
      <c r="X731" s="35" t="s">
        <v>2232</v>
      </c>
      <c r="Y731" s="35" t="s">
        <v>1775</v>
      </c>
      <c r="Z731" s="35" t="s">
        <v>2060</v>
      </c>
      <c r="AA731" s="35" t="s">
        <v>4024</v>
      </c>
      <c r="AB731" s="29" t="s">
        <v>2061</v>
      </c>
      <c r="AC731" s="35" t="s">
        <v>1633</v>
      </c>
      <c r="AD731" s="35" t="s">
        <v>1634</v>
      </c>
      <c r="AE731" s="35" t="s">
        <v>1634</v>
      </c>
      <c r="AF731" s="35" t="s">
        <v>1669</v>
      </c>
      <c r="AG731" s="35" t="s">
        <v>1728</v>
      </c>
      <c r="AI731" s="35"/>
      <c r="AJ731" s="35" t="s">
        <v>3340</v>
      </c>
      <c r="AK731" s="35" t="s">
        <v>1672</v>
      </c>
      <c r="AL731" s="29" t="s">
        <v>2063</v>
      </c>
      <c r="AM731" s="35"/>
      <c r="AN731" s="35"/>
      <c r="AO731" s="35"/>
      <c r="AP731" s="35"/>
      <c r="AQ731" s="35"/>
      <c r="AR731" s="29" t="s">
        <v>1756</v>
      </c>
      <c r="AS731" s="35"/>
      <c r="AT731" s="29" t="s">
        <v>1640</v>
      </c>
      <c r="AU731" s="35"/>
      <c r="AV731" s="29" t="s">
        <v>1641</v>
      </c>
      <c r="AW731" s="35"/>
      <c r="AX731" s="29" t="s">
        <v>1674</v>
      </c>
      <c r="AY731" s="35"/>
      <c r="AZ731" s="35"/>
      <c r="BA731" s="35"/>
      <c r="BB731" s="29" t="s">
        <v>4067</v>
      </c>
      <c r="BC731" s="29" t="s">
        <v>4002</v>
      </c>
      <c r="BF731" s="29" t="s">
        <v>1915</v>
      </c>
      <c r="BG731" s="29" t="s">
        <v>4071</v>
      </c>
      <c r="BH731" s="29" t="s">
        <v>2235</v>
      </c>
      <c r="BI731" s="35"/>
      <c r="BJ731" s="35"/>
      <c r="BK731" s="29" t="str" cm="1">
        <f t="array" ref="BK731">_xlfn.UNIQUE(MID(BB731,16,14))</f>
        <v>U012UNA01UH152</v>
      </c>
    </row>
    <row r="732" spans="1:63" hidden="1" x14ac:dyDescent="0.3">
      <c r="A732" s="29" t="s">
        <v>2268</v>
      </c>
      <c r="B732" s="36" t="str">
        <f t="shared" si="55"/>
        <v>G01NHB05KF001-BA01</v>
      </c>
      <c r="C732" s="33" t="s">
        <v>4075</v>
      </c>
      <c r="D732" s="34" t="str">
        <f t="shared" si="56"/>
        <v>ELY1 GRP5 CTRL U1 CELL VOLT1 CHAN BIT5</v>
      </c>
      <c r="E732" s="31">
        <f t="shared" si="57"/>
        <v>38</v>
      </c>
      <c r="F732" s="32" t="str">
        <f t="shared" si="58"/>
        <v>ELECTROLYSIS SYSTEM ELECTROLYSIS ARRAY 1 ELECTROLYZER SYSTEM MODULE GROUP 5 CONTROL UNITS CELL VOLTAGE MEASUREMENT CELL-VOLTAGE-MEASUREMENT - MODULE 1 COMMAND - CHANNEL ADRESS BIT 5</v>
      </c>
      <c r="G732" s="29" t="s">
        <v>1614</v>
      </c>
      <c r="H732" s="29" t="s">
        <v>1615</v>
      </c>
      <c r="I732" s="29" t="str">
        <f t="shared" si="59"/>
        <v>01</v>
      </c>
      <c r="J732" s="29" t="s">
        <v>1616</v>
      </c>
      <c r="K732" s="29" t="s">
        <v>1976</v>
      </c>
      <c r="L732" s="29" t="s">
        <v>1977</v>
      </c>
      <c r="M732" s="29" t="s">
        <v>1919</v>
      </c>
      <c r="N732" s="29" t="s">
        <v>2231</v>
      </c>
      <c r="O732" s="29" t="s">
        <v>1771</v>
      </c>
      <c r="P732" s="29" t="s">
        <v>2055</v>
      </c>
      <c r="Q732" s="29" t="s">
        <v>1623</v>
      </c>
      <c r="R732" s="29" t="s">
        <v>2056</v>
      </c>
      <c r="S732" s="29" t="s">
        <v>2057</v>
      </c>
      <c r="T732" s="29" t="s">
        <v>2058</v>
      </c>
      <c r="U732" s="29" t="s">
        <v>4026</v>
      </c>
      <c r="V732" s="29" t="s">
        <v>4027</v>
      </c>
      <c r="W732" s="35" t="s">
        <v>1628</v>
      </c>
      <c r="X732" s="35" t="s">
        <v>2232</v>
      </c>
      <c r="Y732" s="35" t="s">
        <v>1775</v>
      </c>
      <c r="Z732" s="35" t="s">
        <v>2060</v>
      </c>
      <c r="AA732" s="35" t="s">
        <v>4028</v>
      </c>
      <c r="AB732" s="29" t="s">
        <v>2061</v>
      </c>
      <c r="AC732" s="35" t="s">
        <v>1633</v>
      </c>
      <c r="AD732" s="35" t="s">
        <v>1634</v>
      </c>
      <c r="AE732" s="35" t="s">
        <v>1634</v>
      </c>
      <c r="AF732" s="35" t="s">
        <v>1669</v>
      </c>
      <c r="AG732" s="35" t="s">
        <v>1728</v>
      </c>
      <c r="AI732" s="35"/>
      <c r="AJ732" s="35" t="s">
        <v>3340</v>
      </c>
      <c r="AK732" s="35" t="s">
        <v>1672</v>
      </c>
      <c r="AL732" s="29" t="s">
        <v>2063</v>
      </c>
      <c r="AM732" s="35"/>
      <c r="AN732" s="35"/>
      <c r="AO732" s="35"/>
      <c r="AP732" s="35"/>
      <c r="AQ732" s="35"/>
      <c r="AR732" s="29" t="s">
        <v>1756</v>
      </c>
      <c r="AS732" s="35"/>
      <c r="AT732" s="29" t="s">
        <v>1640</v>
      </c>
      <c r="AU732" s="35"/>
      <c r="AV732" s="29" t="s">
        <v>1641</v>
      </c>
      <c r="AW732" s="35"/>
      <c r="AX732" s="29" t="s">
        <v>1674</v>
      </c>
      <c r="AY732" s="35"/>
      <c r="AZ732" s="35"/>
      <c r="BA732" s="35"/>
      <c r="BB732" s="29" t="s">
        <v>4067</v>
      </c>
      <c r="BC732" s="29" t="s">
        <v>4002</v>
      </c>
      <c r="BF732" s="29" t="s">
        <v>1919</v>
      </c>
      <c r="BG732" s="29" t="s">
        <v>4068</v>
      </c>
      <c r="BH732" s="29" t="s">
        <v>2235</v>
      </c>
      <c r="BI732" s="35"/>
      <c r="BJ732" s="35"/>
      <c r="BK732" s="29" t="str" cm="1">
        <f t="array" ref="BK732">_xlfn.UNIQUE(MID(BB732,16,14))</f>
        <v>U012UNA01UH152</v>
      </c>
    </row>
    <row r="733" spans="1:63" hidden="1" x14ac:dyDescent="0.3">
      <c r="A733" s="29" t="s">
        <v>2268</v>
      </c>
      <c r="B733" s="36" t="str">
        <f t="shared" si="55"/>
        <v>G01NHB05KF001-BA01</v>
      </c>
      <c r="C733" s="33" t="s">
        <v>4076</v>
      </c>
      <c r="D733" s="34" t="str">
        <f t="shared" si="56"/>
        <v>ELY1 GRP5 CTRL U1 CELL VOLT1 CHAN BIT6</v>
      </c>
      <c r="E733" s="31">
        <f t="shared" si="57"/>
        <v>38</v>
      </c>
      <c r="F733" s="32" t="str">
        <f t="shared" si="58"/>
        <v>ELECTROLYSIS SYSTEM ELECTROLYSIS ARRAY 1 ELECTROLYZER SYSTEM MODULE GROUP 5 CONTROL UNITS CELL VOLTAGE MEASUREMENT CELL-VOLTAGE-MEASUREMENT - MODULE 1 COMMAND - CHANNEL ADRESS BIT 6</v>
      </c>
      <c r="G733" s="29" t="s">
        <v>1614</v>
      </c>
      <c r="H733" s="29" t="s">
        <v>1615</v>
      </c>
      <c r="I733" s="29" t="str">
        <f t="shared" si="59"/>
        <v>01</v>
      </c>
      <c r="J733" s="29" t="s">
        <v>1616</v>
      </c>
      <c r="K733" s="29" t="s">
        <v>1976</v>
      </c>
      <c r="L733" s="29" t="s">
        <v>1977</v>
      </c>
      <c r="M733" s="29" t="s">
        <v>1919</v>
      </c>
      <c r="N733" s="29" t="s">
        <v>2231</v>
      </c>
      <c r="O733" s="29" t="s">
        <v>1771</v>
      </c>
      <c r="P733" s="29" t="s">
        <v>2055</v>
      </c>
      <c r="Q733" s="29" t="s">
        <v>1623</v>
      </c>
      <c r="R733" s="29" t="s">
        <v>2056</v>
      </c>
      <c r="S733" s="29" t="s">
        <v>2057</v>
      </c>
      <c r="T733" s="29" t="s">
        <v>2058</v>
      </c>
      <c r="U733" s="29" t="s">
        <v>4030</v>
      </c>
      <c r="V733" s="29" t="s">
        <v>4031</v>
      </c>
      <c r="W733" s="35" t="s">
        <v>1628</v>
      </c>
      <c r="X733" s="35" t="s">
        <v>2232</v>
      </c>
      <c r="Y733" s="35" t="s">
        <v>1775</v>
      </c>
      <c r="Z733" s="35" t="s">
        <v>2060</v>
      </c>
      <c r="AA733" s="35" t="s">
        <v>4032</v>
      </c>
      <c r="AB733" s="29" t="s">
        <v>2061</v>
      </c>
      <c r="AC733" s="35" t="s">
        <v>1633</v>
      </c>
      <c r="AD733" s="35" t="s">
        <v>1634</v>
      </c>
      <c r="AE733" s="35" t="s">
        <v>1634</v>
      </c>
      <c r="AF733" s="35" t="s">
        <v>1669</v>
      </c>
      <c r="AG733" s="35" t="s">
        <v>1728</v>
      </c>
      <c r="AI733" s="35"/>
      <c r="AJ733" s="35" t="s">
        <v>3340</v>
      </c>
      <c r="AK733" s="35" t="s">
        <v>1672</v>
      </c>
      <c r="AL733" s="29" t="s">
        <v>2063</v>
      </c>
      <c r="AM733" s="35"/>
      <c r="AN733" s="35"/>
      <c r="AO733" s="35"/>
      <c r="AP733" s="35"/>
      <c r="AQ733" s="35"/>
      <c r="AR733" s="29" t="s">
        <v>1756</v>
      </c>
      <c r="AS733" s="35"/>
      <c r="AT733" s="29" t="s">
        <v>1640</v>
      </c>
      <c r="AU733" s="35"/>
      <c r="AV733" s="29" t="s">
        <v>1641</v>
      </c>
      <c r="AW733" s="35"/>
      <c r="AX733" s="29" t="s">
        <v>1674</v>
      </c>
      <c r="AY733" s="35"/>
      <c r="AZ733" s="35"/>
      <c r="BA733" s="35"/>
      <c r="BB733" s="29" t="s">
        <v>4067</v>
      </c>
      <c r="BC733" s="29" t="s">
        <v>4002</v>
      </c>
      <c r="BF733" s="29" t="s">
        <v>1922</v>
      </c>
      <c r="BG733" s="29" t="s">
        <v>4068</v>
      </c>
      <c r="BH733" s="29" t="s">
        <v>2235</v>
      </c>
      <c r="BI733" s="35"/>
      <c r="BJ733" s="35"/>
      <c r="BK733" s="29" t="str" cm="1">
        <f t="array" ref="BK733">_xlfn.UNIQUE(MID(BB733,16,14))</f>
        <v>U012UNA01UH152</v>
      </c>
    </row>
    <row r="734" spans="1:63" hidden="1" x14ac:dyDescent="0.3">
      <c r="A734" s="29" t="s">
        <v>2315</v>
      </c>
      <c r="B734" s="36" t="str">
        <f t="shared" si="55"/>
        <v>G01NHB06KF001-BA01</v>
      </c>
      <c r="C734" s="33" t="s">
        <v>4077</v>
      </c>
      <c r="D734" s="34" t="str">
        <f t="shared" si="56"/>
        <v>ELY1 GRP6 CTRL U1 CELL VOLT1 CHAN TRF</v>
      </c>
      <c r="E734" s="31">
        <f t="shared" si="57"/>
        <v>37</v>
      </c>
      <c r="F734" s="32" t="str">
        <f t="shared" si="58"/>
        <v>ELECTROLYSIS SYSTEM ELECTROLYSIS ARRAY 1 ELECTROLYZER SYSTEM MODULE GROUP 6 CONTROL UNITS CELL VOLTAGE MEASUREMENT CELL-VOLTAGE-MEASUREMENT - MODULE 1 COMMAND - CHANNEL ADRESS TRANSFER</v>
      </c>
      <c r="G734" s="29" t="s">
        <v>1614</v>
      </c>
      <c r="H734" s="29" t="s">
        <v>1615</v>
      </c>
      <c r="I734" s="29" t="str">
        <f t="shared" si="59"/>
        <v>01</v>
      </c>
      <c r="J734" s="29" t="s">
        <v>1616</v>
      </c>
      <c r="K734" s="29" t="s">
        <v>1976</v>
      </c>
      <c r="L734" s="29" t="s">
        <v>1977</v>
      </c>
      <c r="M734" s="29" t="s">
        <v>1922</v>
      </c>
      <c r="N734" s="29" t="s">
        <v>2278</v>
      </c>
      <c r="O734" s="29" t="s">
        <v>1771</v>
      </c>
      <c r="P734" s="29" t="s">
        <v>2055</v>
      </c>
      <c r="Q734" s="29" t="s">
        <v>1623</v>
      </c>
      <c r="R734" s="29" t="s">
        <v>2056</v>
      </c>
      <c r="S734" s="29" t="s">
        <v>2057</v>
      </c>
      <c r="T734" s="29" t="s">
        <v>2058</v>
      </c>
      <c r="U734" s="29" t="s">
        <v>3998</v>
      </c>
      <c r="V734" s="29" t="s">
        <v>3999</v>
      </c>
      <c r="W734" s="35" t="s">
        <v>1628</v>
      </c>
      <c r="X734" s="35" t="s">
        <v>2279</v>
      </c>
      <c r="Y734" s="35" t="s">
        <v>1775</v>
      </c>
      <c r="Z734" s="35" t="s">
        <v>2060</v>
      </c>
      <c r="AA734" s="35" t="s">
        <v>4000</v>
      </c>
      <c r="AB734" s="29" t="s">
        <v>2061</v>
      </c>
      <c r="AC734" s="35" t="s">
        <v>1633</v>
      </c>
      <c r="AD734" s="35" t="s">
        <v>1634</v>
      </c>
      <c r="AE734" s="35" t="s">
        <v>1634</v>
      </c>
      <c r="AF734" s="35" t="s">
        <v>1669</v>
      </c>
      <c r="AG734" s="35" t="s">
        <v>1728</v>
      </c>
      <c r="AI734" s="35"/>
      <c r="AJ734" s="35" t="s">
        <v>3340</v>
      </c>
      <c r="AK734" s="35" t="s">
        <v>1672</v>
      </c>
      <c r="AL734" s="29" t="s">
        <v>2063</v>
      </c>
      <c r="AM734" s="35"/>
      <c r="AN734" s="35"/>
      <c r="AO734" s="35"/>
      <c r="AP734" s="35"/>
      <c r="AQ734" s="35"/>
      <c r="AR734" s="29" t="s">
        <v>1756</v>
      </c>
      <c r="AS734" s="35"/>
      <c r="AT734" s="29" t="s">
        <v>1640</v>
      </c>
      <c r="AU734" s="35"/>
      <c r="AV734" s="29" t="s">
        <v>1641</v>
      </c>
      <c r="AW734" s="35"/>
      <c r="AX734" s="29" t="s">
        <v>1674</v>
      </c>
      <c r="AY734" s="35"/>
      <c r="AZ734" s="35"/>
      <c r="BA734" s="35"/>
      <c r="BB734" s="29" t="s">
        <v>4078</v>
      </c>
      <c r="BC734" s="29" t="s">
        <v>4002</v>
      </c>
      <c r="BF734" s="29" t="s">
        <v>1931</v>
      </c>
      <c r="BG734" s="29" t="s">
        <v>4079</v>
      </c>
      <c r="BH734" s="29" t="s">
        <v>2282</v>
      </c>
      <c r="BI734" s="35"/>
      <c r="BJ734" s="35"/>
      <c r="BK734" s="29" t="str" cm="1">
        <f t="array" ref="BK734">_xlfn.UNIQUE(MID(BB734,16,14))</f>
        <v>U012UNA01UH162</v>
      </c>
    </row>
    <row r="735" spans="1:63" hidden="1" x14ac:dyDescent="0.3">
      <c r="A735" s="29" t="s">
        <v>2315</v>
      </c>
      <c r="B735" s="36" t="str">
        <f t="shared" si="55"/>
        <v>G01NHB06KF001-BA01</v>
      </c>
      <c r="C735" s="33" t="s">
        <v>4080</v>
      </c>
      <c r="D735" s="34" t="str">
        <f t="shared" si="56"/>
        <v>ELY1 GRP6 CTRL U1 CELL VOLT1 CHAN ADR</v>
      </c>
      <c r="E735" s="31">
        <f t="shared" si="57"/>
        <v>37</v>
      </c>
      <c r="F735" s="32" t="str">
        <f t="shared" si="58"/>
        <v>ELECTROLYSIS SYSTEM ELECTROLYSIS ARRAY 1 ELECTROLYZER SYSTEM MODULE GROUP 6 CONTROL UNITS CELL VOLTAGE MEASUREMENT CELL-VOLTAGE-MEASUREMENT - MODULE 1 COMMAND - CHANNEL ADRESS ACTIVE</v>
      </c>
      <c r="G735" s="29" t="s">
        <v>1614</v>
      </c>
      <c r="H735" s="29" t="s">
        <v>1615</v>
      </c>
      <c r="I735" s="29" t="str">
        <f t="shared" si="59"/>
        <v>01</v>
      </c>
      <c r="J735" s="29" t="s">
        <v>1616</v>
      </c>
      <c r="K735" s="29" t="s">
        <v>1976</v>
      </c>
      <c r="L735" s="29" t="s">
        <v>1977</v>
      </c>
      <c r="M735" s="29" t="s">
        <v>1922</v>
      </c>
      <c r="N735" s="29" t="s">
        <v>2278</v>
      </c>
      <c r="O735" s="29" t="s">
        <v>1771</v>
      </c>
      <c r="P735" s="29" t="s">
        <v>2055</v>
      </c>
      <c r="Q735" s="29" t="s">
        <v>1623</v>
      </c>
      <c r="R735" s="29" t="s">
        <v>2056</v>
      </c>
      <c r="S735" s="29" t="s">
        <v>2057</v>
      </c>
      <c r="T735" s="29" t="s">
        <v>2058</v>
      </c>
      <c r="U735" s="29" t="s">
        <v>4005</v>
      </c>
      <c r="V735" s="29" t="s">
        <v>4006</v>
      </c>
      <c r="W735" s="35" t="s">
        <v>1628</v>
      </c>
      <c r="X735" s="35" t="s">
        <v>2279</v>
      </c>
      <c r="Y735" s="35" t="s">
        <v>1775</v>
      </c>
      <c r="Z735" s="35" t="s">
        <v>2060</v>
      </c>
      <c r="AA735" s="35" t="s">
        <v>4007</v>
      </c>
      <c r="AB735" s="29" t="s">
        <v>2061</v>
      </c>
      <c r="AC735" s="35" t="s">
        <v>1633</v>
      </c>
      <c r="AD735" s="35" t="s">
        <v>1634</v>
      </c>
      <c r="AE735" s="35" t="s">
        <v>1634</v>
      </c>
      <c r="AF735" s="35" t="s">
        <v>1669</v>
      </c>
      <c r="AG735" s="35" t="s">
        <v>1728</v>
      </c>
      <c r="AI735" s="35"/>
      <c r="AJ735" s="35" t="s">
        <v>3340</v>
      </c>
      <c r="AK735" s="35" t="s">
        <v>1672</v>
      </c>
      <c r="AL735" s="29" t="s">
        <v>2063</v>
      </c>
      <c r="AM735" s="35"/>
      <c r="AN735" s="35"/>
      <c r="AO735" s="35"/>
      <c r="AP735" s="35"/>
      <c r="AQ735" s="35"/>
      <c r="AR735" s="29" t="s">
        <v>1756</v>
      </c>
      <c r="AS735" s="35"/>
      <c r="AT735" s="29" t="s">
        <v>1640</v>
      </c>
      <c r="AU735" s="35"/>
      <c r="AV735" s="29" t="s">
        <v>1641</v>
      </c>
      <c r="AW735" s="35"/>
      <c r="AX735" s="29" t="s">
        <v>1674</v>
      </c>
      <c r="AY735" s="35"/>
      <c r="AZ735" s="35"/>
      <c r="BA735" s="35"/>
      <c r="BB735" s="29" t="s">
        <v>4078</v>
      </c>
      <c r="BC735" s="29" t="s">
        <v>4002</v>
      </c>
      <c r="BF735" s="29" t="s">
        <v>1936</v>
      </c>
      <c r="BG735" s="29" t="s">
        <v>4079</v>
      </c>
      <c r="BH735" s="29" t="s">
        <v>2282</v>
      </c>
      <c r="BI735" s="35"/>
      <c r="BJ735" s="35"/>
      <c r="BK735" s="29" t="str" cm="1">
        <f t="array" ref="BK735">_xlfn.UNIQUE(MID(BB735,16,14))</f>
        <v>U012UNA01UH162</v>
      </c>
    </row>
    <row r="736" spans="1:63" hidden="1" x14ac:dyDescent="0.3">
      <c r="A736" s="29" t="s">
        <v>2315</v>
      </c>
      <c r="B736" s="36" t="str">
        <f t="shared" si="55"/>
        <v>G01NHB06KF001-BA01</v>
      </c>
      <c r="C736" s="33" t="s">
        <v>4081</v>
      </c>
      <c r="D736" s="34" t="str">
        <f t="shared" si="56"/>
        <v>ELY1 GRP6 CTRL U1 CELL VOLT1 CHAN BIT1</v>
      </c>
      <c r="E736" s="31">
        <f t="shared" si="57"/>
        <v>38</v>
      </c>
      <c r="F736" s="32" t="str">
        <f t="shared" si="58"/>
        <v>ELECTROLYSIS SYSTEM ELECTROLYSIS ARRAY 1 ELECTROLYZER SYSTEM MODULE GROUP 6 CONTROL UNITS CELL VOLTAGE MEASUREMENT CELL-VOLTAGE-MEASUREMENT - MODULE 1 COMMAND - CHANNEL ADRESS BIT 1</v>
      </c>
      <c r="G736" s="29" t="s">
        <v>1614</v>
      </c>
      <c r="H736" s="29" t="s">
        <v>1615</v>
      </c>
      <c r="I736" s="29" t="str">
        <f t="shared" si="59"/>
        <v>01</v>
      </c>
      <c r="J736" s="29" t="s">
        <v>1616</v>
      </c>
      <c r="K736" s="29" t="s">
        <v>1976</v>
      </c>
      <c r="L736" s="29" t="s">
        <v>1977</v>
      </c>
      <c r="M736" s="29" t="s">
        <v>1922</v>
      </c>
      <c r="N736" s="29" t="s">
        <v>2278</v>
      </c>
      <c r="O736" s="29" t="s">
        <v>1771</v>
      </c>
      <c r="P736" s="29" t="s">
        <v>2055</v>
      </c>
      <c r="Q736" s="29" t="s">
        <v>1623</v>
      </c>
      <c r="R736" s="29" t="s">
        <v>2056</v>
      </c>
      <c r="S736" s="29" t="s">
        <v>2057</v>
      </c>
      <c r="T736" s="29" t="s">
        <v>2058</v>
      </c>
      <c r="U736" s="29" t="s">
        <v>4009</v>
      </c>
      <c r="V736" s="29" t="s">
        <v>4010</v>
      </c>
      <c r="W736" s="35" t="s">
        <v>1628</v>
      </c>
      <c r="X736" s="35" t="s">
        <v>2279</v>
      </c>
      <c r="Y736" s="35" t="s">
        <v>1775</v>
      </c>
      <c r="Z736" s="35" t="s">
        <v>2060</v>
      </c>
      <c r="AA736" s="35" t="s">
        <v>4011</v>
      </c>
      <c r="AB736" s="29" t="s">
        <v>2061</v>
      </c>
      <c r="AC736" s="35" t="s">
        <v>1633</v>
      </c>
      <c r="AD736" s="35" t="s">
        <v>1634</v>
      </c>
      <c r="AE736" s="35" t="s">
        <v>1634</v>
      </c>
      <c r="AF736" s="35" t="s">
        <v>1669</v>
      </c>
      <c r="AG736" s="35" t="s">
        <v>1728</v>
      </c>
      <c r="AI736" s="35"/>
      <c r="AJ736" s="35" t="s">
        <v>3340</v>
      </c>
      <c r="AK736" s="35" t="s">
        <v>1672</v>
      </c>
      <c r="AL736" s="29" t="s">
        <v>2063</v>
      </c>
      <c r="AM736" s="35"/>
      <c r="AN736" s="35"/>
      <c r="AO736" s="35"/>
      <c r="AP736" s="35"/>
      <c r="AQ736" s="35"/>
      <c r="AR736" s="29" t="s">
        <v>1756</v>
      </c>
      <c r="AS736" s="35"/>
      <c r="AT736" s="29" t="s">
        <v>1640</v>
      </c>
      <c r="AU736" s="35"/>
      <c r="AV736" s="29" t="s">
        <v>1641</v>
      </c>
      <c r="AW736" s="35"/>
      <c r="AX736" s="29" t="s">
        <v>1674</v>
      </c>
      <c r="AY736" s="35"/>
      <c r="AZ736" s="35"/>
      <c r="BA736" s="35"/>
      <c r="BB736" s="29" t="s">
        <v>4078</v>
      </c>
      <c r="BC736" s="29" t="s">
        <v>4002</v>
      </c>
      <c r="BF736" s="29" t="s">
        <v>1619</v>
      </c>
      <c r="BG736" s="29" t="s">
        <v>4082</v>
      </c>
      <c r="BH736" s="29" t="s">
        <v>2282</v>
      </c>
      <c r="BI736" s="35"/>
      <c r="BJ736" s="35"/>
      <c r="BK736" s="29" t="str" cm="1">
        <f t="array" ref="BK736">_xlfn.UNIQUE(MID(BB736,16,14))</f>
        <v>U012UNA01UH162</v>
      </c>
    </row>
    <row r="737" spans="1:63" hidden="1" x14ac:dyDescent="0.3">
      <c r="A737" s="29" t="s">
        <v>2315</v>
      </c>
      <c r="B737" s="36" t="str">
        <f t="shared" si="55"/>
        <v>G01NHB06KF001-BA01</v>
      </c>
      <c r="C737" s="33" t="s">
        <v>4083</v>
      </c>
      <c r="D737" s="34" t="str">
        <f t="shared" si="56"/>
        <v>ELY1 GRP6 CTRL U1 CELL VOLT1 CHAN BIT2</v>
      </c>
      <c r="E737" s="31">
        <f t="shared" si="57"/>
        <v>38</v>
      </c>
      <c r="F737" s="32" t="str">
        <f t="shared" si="58"/>
        <v>ELECTROLYSIS SYSTEM ELECTROLYSIS ARRAY 1 ELECTROLYZER SYSTEM MODULE GROUP 6 CONTROL UNITS CELL VOLTAGE MEASUREMENT CELL-VOLTAGE-MEASUREMENT - MODULE 1 COMMAND - CHANNEL ADRESS BIT 2</v>
      </c>
      <c r="G737" s="29" t="s">
        <v>1614</v>
      </c>
      <c r="H737" s="29" t="s">
        <v>1615</v>
      </c>
      <c r="I737" s="29" t="str">
        <f t="shared" si="59"/>
        <v>01</v>
      </c>
      <c r="J737" s="29" t="s">
        <v>1616</v>
      </c>
      <c r="K737" s="29" t="s">
        <v>1976</v>
      </c>
      <c r="L737" s="29" t="s">
        <v>1977</v>
      </c>
      <c r="M737" s="29" t="s">
        <v>1922</v>
      </c>
      <c r="N737" s="29" t="s">
        <v>2278</v>
      </c>
      <c r="O737" s="29" t="s">
        <v>1771</v>
      </c>
      <c r="P737" s="29" t="s">
        <v>2055</v>
      </c>
      <c r="Q737" s="29" t="s">
        <v>1623</v>
      </c>
      <c r="R737" s="29" t="s">
        <v>2056</v>
      </c>
      <c r="S737" s="29" t="s">
        <v>2057</v>
      </c>
      <c r="T737" s="29" t="s">
        <v>2058</v>
      </c>
      <c r="U737" s="29" t="s">
        <v>4013</v>
      </c>
      <c r="V737" s="29" t="s">
        <v>4014</v>
      </c>
      <c r="W737" s="35" t="s">
        <v>1628</v>
      </c>
      <c r="X737" s="35" t="s">
        <v>2279</v>
      </c>
      <c r="Y737" s="35" t="s">
        <v>1775</v>
      </c>
      <c r="Z737" s="35" t="s">
        <v>2060</v>
      </c>
      <c r="AA737" s="35" t="s">
        <v>4015</v>
      </c>
      <c r="AB737" s="29" t="s">
        <v>2061</v>
      </c>
      <c r="AC737" s="35" t="s">
        <v>1633</v>
      </c>
      <c r="AD737" s="35" t="s">
        <v>1634</v>
      </c>
      <c r="AE737" s="35" t="s">
        <v>1634</v>
      </c>
      <c r="AF737" s="35" t="s">
        <v>1669</v>
      </c>
      <c r="AG737" s="35" t="s">
        <v>1728</v>
      </c>
      <c r="AI737" s="35"/>
      <c r="AJ737" s="35" t="s">
        <v>3340</v>
      </c>
      <c r="AK737" s="35" t="s">
        <v>1672</v>
      </c>
      <c r="AL737" s="29" t="s">
        <v>2063</v>
      </c>
      <c r="AM737" s="35"/>
      <c r="AN737" s="35"/>
      <c r="AO737" s="35"/>
      <c r="AP737" s="35"/>
      <c r="AQ737" s="35"/>
      <c r="AR737" s="29" t="s">
        <v>1756</v>
      </c>
      <c r="AS737" s="35"/>
      <c r="AT737" s="29" t="s">
        <v>1640</v>
      </c>
      <c r="AU737" s="35"/>
      <c r="AV737" s="29" t="s">
        <v>1641</v>
      </c>
      <c r="AW737" s="35"/>
      <c r="AX737" s="29" t="s">
        <v>1674</v>
      </c>
      <c r="AY737" s="35"/>
      <c r="AZ737" s="35"/>
      <c r="BA737" s="35"/>
      <c r="BB737" s="29" t="s">
        <v>4078</v>
      </c>
      <c r="BC737" s="29" t="s">
        <v>4002</v>
      </c>
      <c r="BF737" s="29" t="s">
        <v>1905</v>
      </c>
      <c r="BG737" s="29" t="s">
        <v>4082</v>
      </c>
      <c r="BH737" s="29" t="s">
        <v>2282</v>
      </c>
      <c r="BI737" s="35"/>
      <c r="BJ737" s="35"/>
      <c r="BK737" s="29" t="str" cm="1">
        <f t="array" ref="BK737">_xlfn.UNIQUE(MID(BB737,16,14))</f>
        <v>U012UNA01UH162</v>
      </c>
    </row>
    <row r="738" spans="1:63" hidden="1" x14ac:dyDescent="0.3">
      <c r="A738" s="29" t="s">
        <v>2315</v>
      </c>
      <c r="B738" s="36" t="str">
        <f t="shared" si="55"/>
        <v>G01NHB06KF001-BA01</v>
      </c>
      <c r="C738" s="33" t="s">
        <v>4084</v>
      </c>
      <c r="D738" s="34" t="str">
        <f t="shared" si="56"/>
        <v>ELY1 GRP6 CTRL U1 CELL VOLT1 CHAN BIT3</v>
      </c>
      <c r="E738" s="31">
        <f t="shared" si="57"/>
        <v>38</v>
      </c>
      <c r="F738" s="32" t="str">
        <f t="shared" si="58"/>
        <v>ELECTROLYSIS SYSTEM ELECTROLYSIS ARRAY 1 ELECTROLYZER SYSTEM MODULE GROUP 6 CONTROL UNITS CELL VOLTAGE MEASUREMENT CELL-VOLTAGE-MEASUREMENT - MODULE 1 COMMAND - CHANNEL ADRESS BIT 3</v>
      </c>
      <c r="G738" s="29" t="s">
        <v>1614</v>
      </c>
      <c r="H738" s="29" t="s">
        <v>1615</v>
      </c>
      <c r="I738" s="29" t="str">
        <f t="shared" si="59"/>
        <v>01</v>
      </c>
      <c r="J738" s="29" t="s">
        <v>1616</v>
      </c>
      <c r="K738" s="29" t="s">
        <v>1976</v>
      </c>
      <c r="L738" s="29" t="s">
        <v>1977</v>
      </c>
      <c r="M738" s="29" t="s">
        <v>1922</v>
      </c>
      <c r="N738" s="29" t="s">
        <v>2278</v>
      </c>
      <c r="O738" s="29" t="s">
        <v>1771</v>
      </c>
      <c r="P738" s="29" t="s">
        <v>2055</v>
      </c>
      <c r="Q738" s="29" t="s">
        <v>1623</v>
      </c>
      <c r="R738" s="29" t="s">
        <v>2056</v>
      </c>
      <c r="S738" s="29" t="s">
        <v>2057</v>
      </c>
      <c r="T738" s="29" t="s">
        <v>2058</v>
      </c>
      <c r="U738" s="29" t="s">
        <v>4017</v>
      </c>
      <c r="V738" s="29" t="s">
        <v>4018</v>
      </c>
      <c r="W738" s="35" t="s">
        <v>1628</v>
      </c>
      <c r="X738" s="35" t="s">
        <v>2279</v>
      </c>
      <c r="Y738" s="35" t="s">
        <v>1775</v>
      </c>
      <c r="Z738" s="35" t="s">
        <v>2060</v>
      </c>
      <c r="AA738" s="35" t="s">
        <v>4019</v>
      </c>
      <c r="AB738" s="29" t="s">
        <v>2061</v>
      </c>
      <c r="AC738" s="35" t="s">
        <v>1633</v>
      </c>
      <c r="AD738" s="35" t="s">
        <v>1634</v>
      </c>
      <c r="AE738" s="35" t="s">
        <v>1634</v>
      </c>
      <c r="AF738" s="35" t="s">
        <v>1669</v>
      </c>
      <c r="AG738" s="35" t="s">
        <v>1728</v>
      </c>
      <c r="AI738" s="35"/>
      <c r="AJ738" s="35" t="s">
        <v>3340</v>
      </c>
      <c r="AK738" s="35" t="s">
        <v>1672</v>
      </c>
      <c r="AL738" s="29" t="s">
        <v>2063</v>
      </c>
      <c r="AM738" s="35"/>
      <c r="AN738" s="35"/>
      <c r="AO738" s="35"/>
      <c r="AP738" s="35"/>
      <c r="AQ738" s="35"/>
      <c r="AR738" s="29" t="s">
        <v>1756</v>
      </c>
      <c r="AS738" s="35"/>
      <c r="AT738" s="29" t="s">
        <v>1640</v>
      </c>
      <c r="AU738" s="35"/>
      <c r="AV738" s="29" t="s">
        <v>1641</v>
      </c>
      <c r="AW738" s="35"/>
      <c r="AX738" s="29" t="s">
        <v>1674</v>
      </c>
      <c r="AY738" s="35"/>
      <c r="AZ738" s="35"/>
      <c r="BA738" s="35"/>
      <c r="BB738" s="29" t="s">
        <v>4078</v>
      </c>
      <c r="BC738" s="29" t="s">
        <v>4002</v>
      </c>
      <c r="BF738" s="29" t="s">
        <v>1909</v>
      </c>
      <c r="BG738" s="29" t="s">
        <v>4082</v>
      </c>
      <c r="BH738" s="29" t="s">
        <v>2282</v>
      </c>
      <c r="BI738" s="35"/>
      <c r="BJ738" s="35"/>
      <c r="BK738" s="29" t="str" cm="1">
        <f t="array" ref="BK738">_xlfn.UNIQUE(MID(BB738,16,14))</f>
        <v>U012UNA01UH162</v>
      </c>
    </row>
    <row r="739" spans="1:63" hidden="1" x14ac:dyDescent="0.3">
      <c r="A739" s="29" t="s">
        <v>2315</v>
      </c>
      <c r="B739" s="36" t="str">
        <f t="shared" si="55"/>
        <v>G01NHB06KF001-BA01</v>
      </c>
      <c r="C739" s="33" t="s">
        <v>4085</v>
      </c>
      <c r="D739" s="34" t="str">
        <f t="shared" si="56"/>
        <v>ELY1 GRP6 CTRL U1 CELL VOLT1 CHAN BIT4</v>
      </c>
      <c r="E739" s="31">
        <f t="shared" si="57"/>
        <v>38</v>
      </c>
      <c r="F739" s="32" t="str">
        <f t="shared" si="58"/>
        <v>ELECTROLYSIS SYSTEM ELECTROLYSIS ARRAY 1 ELECTROLYZER SYSTEM MODULE GROUP 6 CONTROL UNITS CELL VOLTAGE MEASUREMENT CELL-VOLTAGE-MEASUREMENT - MODULE 1 COMMAND - CHANNEL ADRESS BIT 4</v>
      </c>
      <c r="G739" s="29" t="s">
        <v>1614</v>
      </c>
      <c r="H739" s="29" t="s">
        <v>1615</v>
      </c>
      <c r="I739" s="29" t="str">
        <f t="shared" si="59"/>
        <v>01</v>
      </c>
      <c r="J739" s="29" t="s">
        <v>1616</v>
      </c>
      <c r="K739" s="29" t="s">
        <v>1976</v>
      </c>
      <c r="L739" s="29" t="s">
        <v>1977</v>
      </c>
      <c r="M739" s="29" t="s">
        <v>1922</v>
      </c>
      <c r="N739" s="29" t="s">
        <v>2278</v>
      </c>
      <c r="O739" s="29" t="s">
        <v>1771</v>
      </c>
      <c r="P739" s="29" t="s">
        <v>2055</v>
      </c>
      <c r="Q739" s="29" t="s">
        <v>1623</v>
      </c>
      <c r="R739" s="29" t="s">
        <v>2056</v>
      </c>
      <c r="S739" s="29" t="s">
        <v>2057</v>
      </c>
      <c r="T739" s="29" t="s">
        <v>2058</v>
      </c>
      <c r="U739" s="29" t="s">
        <v>4022</v>
      </c>
      <c r="V739" s="29" t="s">
        <v>4023</v>
      </c>
      <c r="W739" s="35" t="s">
        <v>1628</v>
      </c>
      <c r="X739" s="35" t="s">
        <v>2279</v>
      </c>
      <c r="Y739" s="35" t="s">
        <v>1775</v>
      </c>
      <c r="Z739" s="35" t="s">
        <v>2060</v>
      </c>
      <c r="AA739" s="35" t="s">
        <v>4024</v>
      </c>
      <c r="AB739" s="29" t="s">
        <v>2061</v>
      </c>
      <c r="AC739" s="35" t="s">
        <v>1633</v>
      </c>
      <c r="AD739" s="35" t="s">
        <v>1634</v>
      </c>
      <c r="AE739" s="35" t="s">
        <v>1634</v>
      </c>
      <c r="AF739" s="35" t="s">
        <v>1669</v>
      </c>
      <c r="AG739" s="35" t="s">
        <v>1728</v>
      </c>
      <c r="AI739" s="35"/>
      <c r="AJ739" s="35" t="s">
        <v>3340</v>
      </c>
      <c r="AK739" s="35" t="s">
        <v>1672</v>
      </c>
      <c r="AL739" s="29" t="s">
        <v>2063</v>
      </c>
      <c r="AM739" s="35"/>
      <c r="AN739" s="35"/>
      <c r="AO739" s="35"/>
      <c r="AP739" s="35"/>
      <c r="AQ739" s="35"/>
      <c r="AR739" s="29" t="s">
        <v>1756</v>
      </c>
      <c r="AS739" s="35"/>
      <c r="AT739" s="29" t="s">
        <v>1640</v>
      </c>
      <c r="AU739" s="35"/>
      <c r="AV739" s="29" t="s">
        <v>1641</v>
      </c>
      <c r="AW739" s="35"/>
      <c r="AX739" s="29" t="s">
        <v>1674</v>
      </c>
      <c r="AY739" s="35"/>
      <c r="AZ739" s="35"/>
      <c r="BA739" s="35"/>
      <c r="BB739" s="29" t="s">
        <v>4078</v>
      </c>
      <c r="BC739" s="29" t="s">
        <v>4002</v>
      </c>
      <c r="BF739" s="29" t="s">
        <v>1915</v>
      </c>
      <c r="BG739" s="29" t="s">
        <v>4082</v>
      </c>
      <c r="BH739" s="29" t="s">
        <v>2282</v>
      </c>
      <c r="BI739" s="35"/>
      <c r="BJ739" s="35"/>
      <c r="BK739" s="29" t="str" cm="1">
        <f t="array" ref="BK739">_xlfn.UNIQUE(MID(BB739,16,14))</f>
        <v>U012UNA01UH162</v>
      </c>
    </row>
    <row r="740" spans="1:63" hidden="1" x14ac:dyDescent="0.3">
      <c r="A740" s="29" t="s">
        <v>2315</v>
      </c>
      <c r="B740" s="36" t="str">
        <f t="shared" si="55"/>
        <v>G01NHB06KF001-BA01</v>
      </c>
      <c r="C740" s="33" t="s">
        <v>4086</v>
      </c>
      <c r="D740" s="34" t="str">
        <f t="shared" si="56"/>
        <v>ELY1 GRP6 CTRL U1 CELL VOLT1 CHAN BIT5</v>
      </c>
      <c r="E740" s="31">
        <f t="shared" si="57"/>
        <v>38</v>
      </c>
      <c r="F740" s="32" t="str">
        <f t="shared" si="58"/>
        <v>ELECTROLYSIS SYSTEM ELECTROLYSIS ARRAY 1 ELECTROLYZER SYSTEM MODULE GROUP 6 CONTROL UNITS CELL VOLTAGE MEASUREMENT CELL-VOLTAGE-MEASUREMENT - MODULE 1 COMMAND - CHANNEL ADRESS BIT 5</v>
      </c>
      <c r="G740" s="29" t="s">
        <v>1614</v>
      </c>
      <c r="H740" s="29" t="s">
        <v>1615</v>
      </c>
      <c r="I740" s="29" t="str">
        <f t="shared" si="59"/>
        <v>01</v>
      </c>
      <c r="J740" s="29" t="s">
        <v>1616</v>
      </c>
      <c r="K740" s="29" t="s">
        <v>1976</v>
      </c>
      <c r="L740" s="29" t="s">
        <v>1977</v>
      </c>
      <c r="M740" s="29" t="s">
        <v>1922</v>
      </c>
      <c r="N740" s="29" t="s">
        <v>2278</v>
      </c>
      <c r="O740" s="29" t="s">
        <v>1771</v>
      </c>
      <c r="P740" s="29" t="s">
        <v>2055</v>
      </c>
      <c r="Q740" s="29" t="s">
        <v>1623</v>
      </c>
      <c r="R740" s="29" t="s">
        <v>2056</v>
      </c>
      <c r="S740" s="29" t="s">
        <v>2057</v>
      </c>
      <c r="T740" s="29" t="s">
        <v>2058</v>
      </c>
      <c r="U740" s="29" t="s">
        <v>4026</v>
      </c>
      <c r="V740" s="29" t="s">
        <v>4027</v>
      </c>
      <c r="W740" s="35" t="s">
        <v>1628</v>
      </c>
      <c r="X740" s="35" t="s">
        <v>2279</v>
      </c>
      <c r="Y740" s="35" t="s">
        <v>1775</v>
      </c>
      <c r="Z740" s="35" t="s">
        <v>2060</v>
      </c>
      <c r="AA740" s="35" t="s">
        <v>4028</v>
      </c>
      <c r="AB740" s="29" t="s">
        <v>2061</v>
      </c>
      <c r="AC740" s="35" t="s">
        <v>1633</v>
      </c>
      <c r="AD740" s="35" t="s">
        <v>1634</v>
      </c>
      <c r="AE740" s="35" t="s">
        <v>1634</v>
      </c>
      <c r="AF740" s="35" t="s">
        <v>1669</v>
      </c>
      <c r="AG740" s="35" t="s">
        <v>1728</v>
      </c>
      <c r="AI740" s="35"/>
      <c r="AJ740" s="35" t="s">
        <v>3340</v>
      </c>
      <c r="AK740" s="35" t="s">
        <v>1672</v>
      </c>
      <c r="AL740" s="29" t="s">
        <v>2063</v>
      </c>
      <c r="AM740" s="35"/>
      <c r="AN740" s="35"/>
      <c r="AO740" s="35"/>
      <c r="AP740" s="35"/>
      <c r="AQ740" s="35"/>
      <c r="AR740" s="29" t="s">
        <v>1756</v>
      </c>
      <c r="AS740" s="35"/>
      <c r="AT740" s="29" t="s">
        <v>1640</v>
      </c>
      <c r="AU740" s="35"/>
      <c r="AV740" s="29" t="s">
        <v>1641</v>
      </c>
      <c r="AW740" s="35"/>
      <c r="AX740" s="29" t="s">
        <v>1674</v>
      </c>
      <c r="AY740" s="35"/>
      <c r="AZ740" s="35"/>
      <c r="BA740" s="35"/>
      <c r="BB740" s="29" t="s">
        <v>4078</v>
      </c>
      <c r="BC740" s="29" t="s">
        <v>4002</v>
      </c>
      <c r="BF740" s="29" t="s">
        <v>1919</v>
      </c>
      <c r="BG740" s="29" t="s">
        <v>4079</v>
      </c>
      <c r="BH740" s="29" t="s">
        <v>2282</v>
      </c>
      <c r="BI740" s="35"/>
      <c r="BJ740" s="35"/>
      <c r="BK740" s="29" t="str" cm="1">
        <f t="array" ref="BK740">_xlfn.UNIQUE(MID(BB740,16,14))</f>
        <v>U012UNA01UH162</v>
      </c>
    </row>
    <row r="741" spans="1:63" hidden="1" x14ac:dyDescent="0.3">
      <c r="A741" s="29" t="s">
        <v>2315</v>
      </c>
      <c r="B741" s="36" t="str">
        <f t="shared" si="55"/>
        <v>G01NHB06KF001-BA01</v>
      </c>
      <c r="C741" s="33" t="s">
        <v>4087</v>
      </c>
      <c r="D741" s="34" t="str">
        <f t="shared" si="56"/>
        <v>ELY1 GRP6 CTRL U1 CELL VOLT1 CHAN BIT6</v>
      </c>
      <c r="E741" s="31">
        <f t="shared" si="57"/>
        <v>38</v>
      </c>
      <c r="F741" s="32" t="str">
        <f t="shared" si="58"/>
        <v>ELECTROLYSIS SYSTEM ELECTROLYSIS ARRAY 1 ELECTROLYZER SYSTEM MODULE GROUP 6 CONTROL UNITS CELL VOLTAGE MEASUREMENT CELL-VOLTAGE-MEASUREMENT - MODULE 1 COMMAND - CHANNEL ADRESS BIT 6</v>
      </c>
      <c r="G741" s="29" t="s">
        <v>1614</v>
      </c>
      <c r="H741" s="29" t="s">
        <v>1615</v>
      </c>
      <c r="I741" s="29" t="str">
        <f t="shared" si="59"/>
        <v>01</v>
      </c>
      <c r="J741" s="29" t="s">
        <v>1616</v>
      </c>
      <c r="K741" s="29" t="s">
        <v>1976</v>
      </c>
      <c r="L741" s="29" t="s">
        <v>1977</v>
      </c>
      <c r="M741" s="29" t="s">
        <v>1922</v>
      </c>
      <c r="N741" s="29" t="s">
        <v>2278</v>
      </c>
      <c r="O741" s="29" t="s">
        <v>1771</v>
      </c>
      <c r="P741" s="29" t="s">
        <v>2055</v>
      </c>
      <c r="Q741" s="29" t="s">
        <v>1623</v>
      </c>
      <c r="R741" s="29" t="s">
        <v>2056</v>
      </c>
      <c r="S741" s="29" t="s">
        <v>2057</v>
      </c>
      <c r="T741" s="29" t="s">
        <v>2058</v>
      </c>
      <c r="U741" s="29" t="s">
        <v>4030</v>
      </c>
      <c r="V741" s="29" t="s">
        <v>4031</v>
      </c>
      <c r="W741" s="35" t="s">
        <v>1628</v>
      </c>
      <c r="X741" s="35" t="s">
        <v>2279</v>
      </c>
      <c r="Y741" s="35" t="s">
        <v>1775</v>
      </c>
      <c r="Z741" s="35" t="s">
        <v>2060</v>
      </c>
      <c r="AA741" s="35" t="s">
        <v>4032</v>
      </c>
      <c r="AB741" s="29" t="s">
        <v>2061</v>
      </c>
      <c r="AC741" s="35" t="s">
        <v>1633</v>
      </c>
      <c r="AD741" s="35" t="s">
        <v>1634</v>
      </c>
      <c r="AE741" s="35" t="s">
        <v>1634</v>
      </c>
      <c r="AF741" s="35" t="s">
        <v>1669</v>
      </c>
      <c r="AG741" s="35" t="s">
        <v>1728</v>
      </c>
      <c r="AI741" s="35"/>
      <c r="AJ741" s="35" t="s">
        <v>3340</v>
      </c>
      <c r="AK741" s="35" t="s">
        <v>1672</v>
      </c>
      <c r="AL741" s="29" t="s">
        <v>2063</v>
      </c>
      <c r="AM741" s="35"/>
      <c r="AN741" s="35"/>
      <c r="AO741" s="35"/>
      <c r="AP741" s="35"/>
      <c r="AQ741" s="35"/>
      <c r="AR741" s="29" t="s">
        <v>1756</v>
      </c>
      <c r="AS741" s="35"/>
      <c r="AT741" s="29" t="s">
        <v>1640</v>
      </c>
      <c r="AU741" s="35"/>
      <c r="AV741" s="29" t="s">
        <v>1641</v>
      </c>
      <c r="AW741" s="35"/>
      <c r="AX741" s="29" t="s">
        <v>1674</v>
      </c>
      <c r="AY741" s="35"/>
      <c r="AZ741" s="35"/>
      <c r="BA741" s="35"/>
      <c r="BB741" s="29" t="s">
        <v>4078</v>
      </c>
      <c r="BC741" s="29" t="s">
        <v>4002</v>
      </c>
      <c r="BF741" s="29" t="s">
        <v>1922</v>
      </c>
      <c r="BG741" s="29" t="s">
        <v>4079</v>
      </c>
      <c r="BH741" s="29" t="s">
        <v>2282</v>
      </c>
      <c r="BI741" s="35"/>
      <c r="BJ741" s="35"/>
      <c r="BK741" s="29" t="str" cm="1">
        <f t="array" ref="BK741">_xlfn.UNIQUE(MID(BB741,16,14))</f>
        <v>U012UNA01UH162</v>
      </c>
    </row>
    <row r="742" spans="1:63" x14ac:dyDescent="0.3">
      <c r="A742" s="29" t="s">
        <v>3524</v>
      </c>
      <c r="B742" s="36" t="str">
        <f t="shared" si="55"/>
        <v>G01NHE01BQ001-QM12</v>
      </c>
      <c r="C742" s="33" t="s">
        <v>4088</v>
      </c>
      <c r="D742" s="34" t="str">
        <f t="shared" si="56"/>
        <v>ELY1 O2 TRT QUAL SV12 CB OFF/CLD</v>
      </c>
      <c r="E742" s="31">
        <f t="shared" si="57"/>
        <v>32</v>
      </c>
      <c r="F742" s="32" t="str">
        <f t="shared" si="58"/>
        <v>ELECTROLYSIS SYSTEM ELECTROLYSIS ARRAY 1 O2 TREATMENT O2 TREATMENT SYSTEM QUALITY MEASURING SYSTEMS H2 IN O2 MEASURING SYSTEM SOLENOID VALVE CHECK BACK OFF/CLOSED</v>
      </c>
      <c r="G742" s="29" t="s">
        <v>1614</v>
      </c>
      <c r="H742" s="29" t="s">
        <v>1615</v>
      </c>
      <c r="I742" s="29" t="str">
        <f t="shared" si="59"/>
        <v>01</v>
      </c>
      <c r="J742" s="29" t="s">
        <v>1616</v>
      </c>
      <c r="K742" s="29" t="s">
        <v>2395</v>
      </c>
      <c r="L742" s="29" t="s">
        <v>2396</v>
      </c>
      <c r="M742" s="29" t="s">
        <v>1619</v>
      </c>
      <c r="N742" s="29" t="s">
        <v>2397</v>
      </c>
      <c r="O742" s="29" t="s">
        <v>1621</v>
      </c>
      <c r="P742" s="29" t="s">
        <v>3526</v>
      </c>
      <c r="Q742" s="29" t="s">
        <v>1623</v>
      </c>
      <c r="R742" s="29" t="s">
        <v>3527</v>
      </c>
      <c r="S742" s="29" t="s">
        <v>3366</v>
      </c>
      <c r="T742" s="29" t="s">
        <v>3352</v>
      </c>
      <c r="U742" s="29" t="s">
        <v>363</v>
      </c>
      <c r="V742" s="29" t="s">
        <v>2645</v>
      </c>
      <c r="W742" s="35" t="s">
        <v>1628</v>
      </c>
      <c r="X742" s="35" t="s">
        <v>2399</v>
      </c>
      <c r="Y742" s="35" t="s">
        <v>1630</v>
      </c>
      <c r="Z742" s="35" t="s">
        <v>3367</v>
      </c>
      <c r="AA742" s="35" t="s">
        <v>2646</v>
      </c>
      <c r="AB742" s="29" t="s">
        <v>1865</v>
      </c>
      <c r="AC742" s="35" t="s">
        <v>1633</v>
      </c>
      <c r="AD742" s="35" t="s">
        <v>1634</v>
      </c>
      <c r="AE742" s="35" t="s">
        <v>1634</v>
      </c>
      <c r="AF742" s="35" t="s">
        <v>1635</v>
      </c>
      <c r="AG742" s="35" t="s">
        <v>1636</v>
      </c>
      <c r="AI742" s="35"/>
      <c r="AJ742" s="35" t="s">
        <v>1637</v>
      </c>
      <c r="AK742" s="35" t="s">
        <v>1638</v>
      </c>
      <c r="AL742" s="29" t="s">
        <v>2866</v>
      </c>
      <c r="AM742" s="35"/>
      <c r="AN742" s="35"/>
      <c r="AO742" s="35"/>
      <c r="AP742" s="35"/>
      <c r="AQ742" s="35"/>
      <c r="AS742" s="35"/>
      <c r="AU742" s="35"/>
      <c r="AW742" s="35"/>
      <c r="AY742" s="35"/>
      <c r="AZ742" s="35" t="s">
        <v>1642</v>
      </c>
      <c r="BA742" s="35" t="s">
        <v>2002</v>
      </c>
      <c r="BB742" s="29" t="s">
        <v>2346</v>
      </c>
      <c r="BC742" s="29" t="s">
        <v>1644</v>
      </c>
      <c r="BD742" s="29" t="s">
        <v>4089</v>
      </c>
      <c r="BE742" s="29" t="s">
        <v>4090</v>
      </c>
      <c r="BF742" s="29" t="s">
        <v>2051</v>
      </c>
      <c r="BG742" s="29" t="s">
        <v>3572</v>
      </c>
      <c r="BH742" s="29" t="s">
        <v>3529</v>
      </c>
      <c r="BI742" s="35"/>
      <c r="BJ742" s="35"/>
      <c r="BK742" s="29" t="str" cm="1">
        <f t="array" ref="BK742">_xlfn.UNIQUE(MID(BB742,16,14))</f>
        <v>U012UNA01UH100</v>
      </c>
    </row>
    <row r="743" spans="1:63" hidden="1" x14ac:dyDescent="0.3">
      <c r="A743" s="29" t="s">
        <v>3524</v>
      </c>
      <c r="B743" s="36" t="str">
        <f t="shared" si="55"/>
        <v>G01NHE01BQ001-QM12</v>
      </c>
      <c r="C743" s="33" t="s">
        <v>4091</v>
      </c>
      <c r="D743" s="34" t="str">
        <f t="shared" si="56"/>
        <v>ELY1 O2 TRT QUAL SV12 CMD ON/OP</v>
      </c>
      <c r="E743" s="31">
        <f t="shared" si="57"/>
        <v>31</v>
      </c>
      <c r="F743" s="32" t="str">
        <f t="shared" si="58"/>
        <v>ELECTROLYSIS SYSTEM ELECTROLYSIS ARRAY 1 O2 TREATMENT O2 TREATMENT SYSTEM QUALITY MEASURING SYSTEMS H2 IN O2 MEASURING SYSTEM SOLENOID VALVE MANUAL COMMAND ON/OPEN</v>
      </c>
      <c r="G743" s="29" t="s">
        <v>1614</v>
      </c>
      <c r="H743" s="29" t="s">
        <v>1615</v>
      </c>
      <c r="I743" s="29" t="str">
        <f t="shared" si="59"/>
        <v>01</v>
      </c>
      <c r="J743" s="29" t="s">
        <v>1616</v>
      </c>
      <c r="K743" s="29" t="s">
        <v>2395</v>
      </c>
      <c r="L743" s="29" t="s">
        <v>2396</v>
      </c>
      <c r="M743" s="29" t="s">
        <v>1619</v>
      </c>
      <c r="N743" s="29" t="s">
        <v>2397</v>
      </c>
      <c r="O743" s="29" t="s">
        <v>1621</v>
      </c>
      <c r="P743" s="29" t="s">
        <v>3526</v>
      </c>
      <c r="Q743" s="29" t="s">
        <v>1623</v>
      </c>
      <c r="R743" s="29" t="s">
        <v>3527</v>
      </c>
      <c r="S743" s="29" t="s">
        <v>3366</v>
      </c>
      <c r="T743" s="29" t="s">
        <v>3352</v>
      </c>
      <c r="U743" s="29" t="s">
        <v>3337</v>
      </c>
      <c r="V743" s="29" t="s">
        <v>3338</v>
      </c>
      <c r="W743" s="35" t="s">
        <v>1628</v>
      </c>
      <c r="X743" s="35" t="s">
        <v>2399</v>
      </c>
      <c r="Y743" s="35" t="s">
        <v>1630</v>
      </c>
      <c r="Z743" s="35" t="s">
        <v>3367</v>
      </c>
      <c r="AA743" s="35" t="s">
        <v>3339</v>
      </c>
      <c r="AB743" s="29" t="s">
        <v>3376</v>
      </c>
      <c r="AC743" s="35" t="s">
        <v>1633</v>
      </c>
      <c r="AD743" s="35" t="s">
        <v>1634</v>
      </c>
      <c r="AE743" s="35" t="s">
        <v>1634</v>
      </c>
      <c r="AF743" s="35" t="s">
        <v>1635</v>
      </c>
      <c r="AG743" s="35" t="s">
        <v>2634</v>
      </c>
      <c r="AI743" s="35"/>
      <c r="AJ743" s="35" t="s">
        <v>3340</v>
      </c>
      <c r="AK743" s="35" t="s">
        <v>1672</v>
      </c>
      <c r="AL743" s="29" t="s">
        <v>3362</v>
      </c>
      <c r="AM743" s="35"/>
      <c r="AN743" s="35"/>
      <c r="AO743" s="35"/>
      <c r="AP743" s="35"/>
      <c r="AQ743" s="35"/>
      <c r="AS743" s="35"/>
      <c r="AU743" s="35"/>
      <c r="AW743" s="35"/>
      <c r="AY743" s="35"/>
      <c r="AZ743" s="35"/>
      <c r="BA743" s="35" t="s">
        <v>3139</v>
      </c>
      <c r="BB743" s="29" t="s">
        <v>4092</v>
      </c>
      <c r="BC743" s="29" t="s">
        <v>3342</v>
      </c>
      <c r="BD743" s="29" t="s">
        <v>3363</v>
      </c>
      <c r="BE743" s="29" t="s">
        <v>1805</v>
      </c>
      <c r="BF743" s="29" t="s">
        <v>1619</v>
      </c>
      <c r="BG743" s="29" t="s">
        <v>4093</v>
      </c>
      <c r="BH743" s="29" t="s">
        <v>3529</v>
      </c>
      <c r="BI743" s="35"/>
      <c r="BJ743" s="35"/>
      <c r="BK743" s="29" t="str" cm="1">
        <f t="array" ref="BK743">_xlfn.UNIQUE(MID(BB743,16,14))</f>
        <v>U012UNA01UH100</v>
      </c>
    </row>
    <row r="744" spans="1:63" x14ac:dyDescent="0.3">
      <c r="A744" s="29" t="s">
        <v>3524</v>
      </c>
      <c r="B744" s="36" t="str">
        <f t="shared" si="55"/>
        <v>G01NHE01BQ001-QM13</v>
      </c>
      <c r="C744" s="33" t="s">
        <v>4094</v>
      </c>
      <c r="D744" s="34" t="str">
        <f t="shared" si="56"/>
        <v>ELY1 O2 TRT QUAL SV13 CB ON/OPN</v>
      </c>
      <c r="E744" s="31">
        <f t="shared" si="57"/>
        <v>31</v>
      </c>
      <c r="F744" s="32" t="str">
        <f t="shared" si="58"/>
        <v>ELECTROLYSIS SYSTEM ELECTROLYSIS ARRAY 1 O2 TREATMENT O2 TREATMENT SYSTEM QUALITY MEASURING SYSTEMS H2 IN O2 MEASURING SYSTEM SOLENOID VALVE CHECK BACK ON/OPEN</v>
      </c>
      <c r="G744" s="29" t="s">
        <v>1614</v>
      </c>
      <c r="H744" s="29" t="s">
        <v>1615</v>
      </c>
      <c r="I744" s="29" t="str">
        <f t="shared" si="59"/>
        <v>01</v>
      </c>
      <c r="J744" s="29" t="s">
        <v>1616</v>
      </c>
      <c r="K744" s="29" t="s">
        <v>2395</v>
      </c>
      <c r="L744" s="29" t="s">
        <v>2396</v>
      </c>
      <c r="M744" s="29" t="s">
        <v>1619</v>
      </c>
      <c r="N744" s="29" t="s">
        <v>2397</v>
      </c>
      <c r="O744" s="29" t="s">
        <v>1621</v>
      </c>
      <c r="P744" s="29" t="s">
        <v>3526</v>
      </c>
      <c r="Q744" s="29" t="s">
        <v>1623</v>
      </c>
      <c r="R744" s="29" t="s">
        <v>3527</v>
      </c>
      <c r="S744" s="29" t="s">
        <v>3379</v>
      </c>
      <c r="T744" s="29" t="s">
        <v>3352</v>
      </c>
      <c r="U744" s="29" t="s">
        <v>790</v>
      </c>
      <c r="V744" s="29" t="s">
        <v>2639</v>
      </c>
      <c r="W744" s="35" t="s">
        <v>1628</v>
      </c>
      <c r="X744" s="35" t="s">
        <v>2399</v>
      </c>
      <c r="Y744" s="35" t="s">
        <v>1630</v>
      </c>
      <c r="Z744" s="35" t="s">
        <v>3380</v>
      </c>
      <c r="AA744" s="35" t="s">
        <v>2641</v>
      </c>
      <c r="AB744" s="29" t="s">
        <v>3381</v>
      </c>
      <c r="AC744" s="35" t="s">
        <v>1633</v>
      </c>
      <c r="AD744" s="35" t="s">
        <v>1634</v>
      </c>
      <c r="AE744" s="35" t="s">
        <v>1634</v>
      </c>
      <c r="AF744" s="35" t="s">
        <v>1635</v>
      </c>
      <c r="AG744" s="35" t="s">
        <v>1636</v>
      </c>
      <c r="AI744" s="35"/>
      <c r="AJ744" s="35" t="s">
        <v>1637</v>
      </c>
      <c r="AK744" s="35" t="s">
        <v>1638</v>
      </c>
      <c r="AL744" s="29" t="s">
        <v>2866</v>
      </c>
      <c r="AM744" s="35"/>
      <c r="AN744" s="35"/>
      <c r="AO744" s="35"/>
      <c r="AP744" s="35"/>
      <c r="AQ744" s="35"/>
      <c r="AS744" s="35"/>
      <c r="AU744" s="35"/>
      <c r="AW744" s="35"/>
      <c r="AY744" s="35"/>
      <c r="AZ744" s="35" t="s">
        <v>1642</v>
      </c>
      <c r="BA744" s="35" t="s">
        <v>2002</v>
      </c>
      <c r="BB744" s="29" t="s">
        <v>2346</v>
      </c>
      <c r="BC744" s="29" t="s">
        <v>1644</v>
      </c>
      <c r="BD744" s="29" t="s">
        <v>3382</v>
      </c>
      <c r="BE744" s="29" t="s">
        <v>3383</v>
      </c>
      <c r="BF744" s="29" t="s">
        <v>1905</v>
      </c>
      <c r="BG744" s="29" t="s">
        <v>4095</v>
      </c>
      <c r="BH744" s="29" t="s">
        <v>3529</v>
      </c>
      <c r="BI744" s="35"/>
      <c r="BJ744" s="35"/>
      <c r="BK744" s="29" t="str" cm="1">
        <f t="array" ref="BK744">_xlfn.UNIQUE(MID(BB744,16,14))</f>
        <v>U012UNA01UH100</v>
      </c>
    </row>
    <row r="745" spans="1:63" x14ac:dyDescent="0.3">
      <c r="A745" s="29" t="s">
        <v>3524</v>
      </c>
      <c r="B745" s="36" t="str">
        <f t="shared" si="55"/>
        <v>G01NHE01BQ001-QM13</v>
      </c>
      <c r="C745" s="33" t="s">
        <v>4096</v>
      </c>
      <c r="D745" s="34" t="str">
        <f t="shared" si="56"/>
        <v>ELY1 O2 TRT QUAL SV13 CB OFF/CLD</v>
      </c>
      <c r="E745" s="31">
        <f t="shared" si="57"/>
        <v>32</v>
      </c>
      <c r="F745" s="32" t="str">
        <f t="shared" si="58"/>
        <v>ELECTROLYSIS SYSTEM ELECTROLYSIS ARRAY 1 O2 TREATMENT O2 TREATMENT SYSTEM QUALITY MEASURING SYSTEMS H2 IN O2 MEASURING SYSTEM SOLENOID VALVE CHECK BACK OFF/CLOSED</v>
      </c>
      <c r="G745" s="29" t="s">
        <v>1614</v>
      </c>
      <c r="H745" s="29" t="s">
        <v>1615</v>
      </c>
      <c r="I745" s="29" t="str">
        <f t="shared" si="59"/>
        <v>01</v>
      </c>
      <c r="J745" s="29" t="s">
        <v>1616</v>
      </c>
      <c r="K745" s="29" t="s">
        <v>2395</v>
      </c>
      <c r="L745" s="29" t="s">
        <v>2396</v>
      </c>
      <c r="M745" s="29" t="s">
        <v>1619</v>
      </c>
      <c r="N745" s="29" t="s">
        <v>2397</v>
      </c>
      <c r="O745" s="29" t="s">
        <v>1621</v>
      </c>
      <c r="P745" s="29" t="s">
        <v>3526</v>
      </c>
      <c r="Q745" s="29" t="s">
        <v>1623</v>
      </c>
      <c r="R745" s="29" t="s">
        <v>3527</v>
      </c>
      <c r="S745" s="29" t="s">
        <v>3379</v>
      </c>
      <c r="T745" s="29" t="s">
        <v>3352</v>
      </c>
      <c r="U745" s="29" t="s">
        <v>363</v>
      </c>
      <c r="V745" s="29" t="s">
        <v>2645</v>
      </c>
      <c r="W745" s="35" t="s">
        <v>1628</v>
      </c>
      <c r="X745" s="35" t="s">
        <v>2399</v>
      </c>
      <c r="Y745" s="35" t="s">
        <v>1630</v>
      </c>
      <c r="Z745" s="35" t="s">
        <v>3380</v>
      </c>
      <c r="AA745" s="35" t="s">
        <v>2646</v>
      </c>
      <c r="AB745" s="29" t="s">
        <v>1865</v>
      </c>
      <c r="AC745" s="35" t="s">
        <v>1633</v>
      </c>
      <c r="AD745" s="35" t="s">
        <v>1634</v>
      </c>
      <c r="AE745" s="35" t="s">
        <v>1634</v>
      </c>
      <c r="AF745" s="35" t="s">
        <v>1635</v>
      </c>
      <c r="AG745" s="35" t="s">
        <v>1636</v>
      </c>
      <c r="AI745" s="35"/>
      <c r="AJ745" s="35" t="s">
        <v>1637</v>
      </c>
      <c r="AK745" s="35" t="s">
        <v>1638</v>
      </c>
      <c r="AL745" s="29" t="s">
        <v>2866</v>
      </c>
      <c r="AM745" s="35"/>
      <c r="AN745" s="35"/>
      <c r="AO745" s="35"/>
      <c r="AP745" s="35"/>
      <c r="AQ745" s="35"/>
      <c r="AS745" s="35"/>
      <c r="AU745" s="35"/>
      <c r="AW745" s="35"/>
      <c r="AY745" s="35"/>
      <c r="AZ745" s="35" t="s">
        <v>1642</v>
      </c>
      <c r="BA745" s="35" t="s">
        <v>2002</v>
      </c>
      <c r="BB745" s="29" t="s">
        <v>2346</v>
      </c>
      <c r="BC745" s="29" t="s">
        <v>1644</v>
      </c>
      <c r="BD745" s="29" t="s">
        <v>4097</v>
      </c>
      <c r="BE745" s="29" t="s">
        <v>3359</v>
      </c>
      <c r="BF745" s="29" t="s">
        <v>2016</v>
      </c>
      <c r="BG745" s="29" t="s">
        <v>4095</v>
      </c>
      <c r="BH745" s="29" t="s">
        <v>3529</v>
      </c>
      <c r="BI745" s="35"/>
      <c r="BJ745" s="35"/>
      <c r="BK745" s="29" t="str" cm="1">
        <f t="array" ref="BK745">_xlfn.UNIQUE(MID(BB745,16,14))</f>
        <v>U012UNA01UH100</v>
      </c>
    </row>
    <row r="746" spans="1:63" hidden="1" x14ac:dyDescent="0.3">
      <c r="A746" s="29" t="s">
        <v>3524</v>
      </c>
      <c r="B746" s="36" t="str">
        <f t="shared" si="55"/>
        <v>G01NHE01BQ001-QM13</v>
      </c>
      <c r="C746" s="33" t="s">
        <v>4098</v>
      </c>
      <c r="D746" s="34" t="str">
        <f t="shared" si="56"/>
        <v>ELY1 O2 TRT QUAL SV13 CMD ON/OP</v>
      </c>
      <c r="E746" s="31">
        <f t="shared" si="57"/>
        <v>31</v>
      </c>
      <c r="F746" s="32" t="str">
        <f t="shared" si="58"/>
        <v>ELECTROLYSIS SYSTEM ELECTROLYSIS ARRAY 1 O2 TREATMENT O2 TREATMENT SYSTEM QUALITY MEASURING SYSTEMS H2 IN O2 MEASURING SYSTEM SOLENOID VALVE MANUAL COMMAND ON/OPEN</v>
      </c>
      <c r="G746" s="29" t="s">
        <v>1614</v>
      </c>
      <c r="H746" s="29" t="s">
        <v>1615</v>
      </c>
      <c r="I746" s="29" t="str">
        <f t="shared" si="59"/>
        <v>01</v>
      </c>
      <c r="J746" s="29" t="s">
        <v>1616</v>
      </c>
      <c r="K746" s="29" t="s">
        <v>2395</v>
      </c>
      <c r="L746" s="29" t="s">
        <v>2396</v>
      </c>
      <c r="M746" s="29" t="s">
        <v>1619</v>
      </c>
      <c r="N746" s="29" t="s">
        <v>2397</v>
      </c>
      <c r="O746" s="29" t="s">
        <v>1621</v>
      </c>
      <c r="P746" s="29" t="s">
        <v>3526</v>
      </c>
      <c r="Q746" s="29" t="s">
        <v>1623</v>
      </c>
      <c r="R746" s="29" t="s">
        <v>3527</v>
      </c>
      <c r="S746" s="29" t="s">
        <v>3379</v>
      </c>
      <c r="T746" s="29" t="s">
        <v>3352</v>
      </c>
      <c r="U746" s="29" t="s">
        <v>3337</v>
      </c>
      <c r="V746" s="29" t="s">
        <v>3338</v>
      </c>
      <c r="W746" s="35" t="s">
        <v>1628</v>
      </c>
      <c r="X746" s="35" t="s">
        <v>2399</v>
      </c>
      <c r="Y746" s="35" t="s">
        <v>1630</v>
      </c>
      <c r="Z746" s="35" t="s">
        <v>3380</v>
      </c>
      <c r="AA746" s="35" t="s">
        <v>3339</v>
      </c>
      <c r="AB746" s="29" t="s">
        <v>3389</v>
      </c>
      <c r="AC746" s="35" t="s">
        <v>1633</v>
      </c>
      <c r="AD746" s="35" t="s">
        <v>1634</v>
      </c>
      <c r="AE746" s="35" t="s">
        <v>1634</v>
      </c>
      <c r="AF746" s="35" t="s">
        <v>1635</v>
      </c>
      <c r="AG746" s="35" t="s">
        <v>2634</v>
      </c>
      <c r="AI746" s="35"/>
      <c r="AJ746" s="35" t="s">
        <v>3340</v>
      </c>
      <c r="AK746" s="35" t="s">
        <v>1672</v>
      </c>
      <c r="AL746" s="29" t="s">
        <v>3362</v>
      </c>
      <c r="AM746" s="35"/>
      <c r="AN746" s="35"/>
      <c r="AO746" s="35"/>
      <c r="AP746" s="35"/>
      <c r="AQ746" s="35"/>
      <c r="AS746" s="35"/>
      <c r="AU746" s="35"/>
      <c r="AW746" s="35"/>
      <c r="AY746" s="35"/>
      <c r="AZ746" s="35"/>
      <c r="BA746" s="35" t="s">
        <v>3139</v>
      </c>
      <c r="BB746" s="29" t="s">
        <v>4092</v>
      </c>
      <c r="BC746" s="29" t="s">
        <v>3342</v>
      </c>
      <c r="BD746" s="29" t="s">
        <v>3363</v>
      </c>
      <c r="BE746" s="29" t="s">
        <v>1805</v>
      </c>
      <c r="BF746" s="29" t="s">
        <v>1905</v>
      </c>
      <c r="BG746" s="29" t="s">
        <v>4099</v>
      </c>
      <c r="BH746" s="29" t="s">
        <v>3529</v>
      </c>
      <c r="BI746" s="35"/>
      <c r="BJ746" s="35"/>
      <c r="BK746" s="29" t="str" cm="1">
        <f t="array" ref="BK746">_xlfn.UNIQUE(MID(BB746,16,14))</f>
        <v>U012UNA01UH100</v>
      </c>
    </row>
    <row r="747" spans="1:63" x14ac:dyDescent="0.3">
      <c r="A747" s="29" t="s">
        <v>3524</v>
      </c>
      <c r="B747" s="36" t="str">
        <f t="shared" si="55"/>
        <v>G01NHE01BQ001-QM14</v>
      </c>
      <c r="C747" s="33" t="s">
        <v>4100</v>
      </c>
      <c r="D747" s="34" t="str">
        <f t="shared" si="56"/>
        <v>ELY1 O2 TRT QUAL SV14 CB ON/OPN</v>
      </c>
      <c r="E747" s="31">
        <f t="shared" si="57"/>
        <v>31</v>
      </c>
      <c r="F747" s="32" t="str">
        <f t="shared" si="58"/>
        <v>ELECTROLYSIS SYSTEM ELECTROLYSIS ARRAY 1 O2 TREATMENT O2 TREATMENT SYSTEM QUALITY MEASURING SYSTEMS H2 IN O2 MEASURING SYSTEM SOLENOID VALVE CHECK BACK ON/OPEN</v>
      </c>
      <c r="G747" s="29" t="s">
        <v>1614</v>
      </c>
      <c r="H747" s="29" t="s">
        <v>1615</v>
      </c>
      <c r="I747" s="29" t="str">
        <f t="shared" si="59"/>
        <v>01</v>
      </c>
      <c r="J747" s="29" t="s">
        <v>1616</v>
      </c>
      <c r="K747" s="29" t="s">
        <v>2395</v>
      </c>
      <c r="L747" s="29" t="s">
        <v>2396</v>
      </c>
      <c r="M747" s="29" t="s">
        <v>1619</v>
      </c>
      <c r="N747" s="29" t="s">
        <v>2397</v>
      </c>
      <c r="O747" s="29" t="s">
        <v>1621</v>
      </c>
      <c r="P747" s="29" t="s">
        <v>3526</v>
      </c>
      <c r="Q747" s="29" t="s">
        <v>1623</v>
      </c>
      <c r="R747" s="29" t="s">
        <v>3527</v>
      </c>
      <c r="S747" s="29" t="s">
        <v>3392</v>
      </c>
      <c r="T747" s="29" t="s">
        <v>3352</v>
      </c>
      <c r="U747" s="29" t="s">
        <v>790</v>
      </c>
      <c r="V747" s="29" t="s">
        <v>2639</v>
      </c>
      <c r="W747" s="35" t="s">
        <v>1628</v>
      </c>
      <c r="X747" s="35" t="s">
        <v>2399</v>
      </c>
      <c r="Y747" s="35" t="s">
        <v>1630</v>
      </c>
      <c r="Z747" s="35" t="s">
        <v>3393</v>
      </c>
      <c r="AA747" s="35" t="s">
        <v>2641</v>
      </c>
      <c r="AB747" s="29" t="s">
        <v>3394</v>
      </c>
      <c r="AC747" s="35" t="s">
        <v>1633</v>
      </c>
      <c r="AD747" s="35" t="s">
        <v>1634</v>
      </c>
      <c r="AE747" s="35" t="s">
        <v>1634</v>
      </c>
      <c r="AF747" s="35" t="s">
        <v>1635</v>
      </c>
      <c r="AG747" s="35" t="s">
        <v>1636</v>
      </c>
      <c r="AI747" s="35"/>
      <c r="AJ747" s="35" t="s">
        <v>1637</v>
      </c>
      <c r="AK747" s="35" t="s">
        <v>1638</v>
      </c>
      <c r="AL747" s="29" t="s">
        <v>2866</v>
      </c>
      <c r="AM747" s="35"/>
      <c r="AN747" s="35"/>
      <c r="AO747" s="35"/>
      <c r="AP747" s="35"/>
      <c r="AQ747" s="35"/>
      <c r="AS747" s="35"/>
      <c r="AU747" s="35"/>
      <c r="AW747" s="35"/>
      <c r="AY747" s="35"/>
      <c r="AZ747" s="35" t="s">
        <v>1642</v>
      </c>
      <c r="BA747" s="35" t="s">
        <v>2002</v>
      </c>
      <c r="BB747" s="29" t="s">
        <v>2346</v>
      </c>
      <c r="BC747" s="29" t="s">
        <v>1644</v>
      </c>
      <c r="BD747" s="29" t="s">
        <v>3395</v>
      </c>
      <c r="BE747" s="29" t="s">
        <v>3396</v>
      </c>
      <c r="BF747" s="29" t="s">
        <v>1909</v>
      </c>
      <c r="BG747" s="29" t="s">
        <v>4101</v>
      </c>
      <c r="BH747" s="29" t="s">
        <v>3529</v>
      </c>
      <c r="BI747" s="35"/>
      <c r="BJ747" s="35"/>
      <c r="BK747" s="29" t="str" cm="1">
        <f t="array" ref="BK747">_xlfn.UNIQUE(MID(BB747,16,14))</f>
        <v>U012UNA01UH100</v>
      </c>
    </row>
    <row r="748" spans="1:63" x14ac:dyDescent="0.3">
      <c r="A748" s="29" t="s">
        <v>3524</v>
      </c>
      <c r="B748" s="36" t="str">
        <f t="shared" si="55"/>
        <v>G01NHE01BQ001-QM14</v>
      </c>
      <c r="C748" s="33" t="s">
        <v>4102</v>
      </c>
      <c r="D748" s="34" t="str">
        <f t="shared" si="56"/>
        <v>ELY1 O2 TRT QUAL SV14 CB OFF/CLD</v>
      </c>
      <c r="E748" s="31">
        <f t="shared" si="57"/>
        <v>32</v>
      </c>
      <c r="F748" s="32" t="str">
        <f t="shared" si="58"/>
        <v>ELECTROLYSIS SYSTEM ELECTROLYSIS ARRAY 1 O2 TREATMENT O2 TREATMENT SYSTEM QUALITY MEASURING SYSTEMS H2 IN O2 MEASURING SYSTEM SOLENOID VALVE CHECK BACK OFF/CLOSED</v>
      </c>
      <c r="G748" s="29" t="s">
        <v>1614</v>
      </c>
      <c r="H748" s="29" t="s">
        <v>1615</v>
      </c>
      <c r="I748" s="29" t="str">
        <f t="shared" si="59"/>
        <v>01</v>
      </c>
      <c r="J748" s="29" t="s">
        <v>1616</v>
      </c>
      <c r="K748" s="29" t="s">
        <v>2395</v>
      </c>
      <c r="L748" s="29" t="s">
        <v>2396</v>
      </c>
      <c r="M748" s="29" t="s">
        <v>1619</v>
      </c>
      <c r="N748" s="29" t="s">
        <v>2397</v>
      </c>
      <c r="O748" s="29" t="s">
        <v>1621</v>
      </c>
      <c r="P748" s="29" t="s">
        <v>3526</v>
      </c>
      <c r="Q748" s="29" t="s">
        <v>1623</v>
      </c>
      <c r="R748" s="29" t="s">
        <v>3527</v>
      </c>
      <c r="S748" s="29" t="s">
        <v>3392</v>
      </c>
      <c r="T748" s="29" t="s">
        <v>3352</v>
      </c>
      <c r="U748" s="29" t="s">
        <v>363</v>
      </c>
      <c r="V748" s="29" t="s">
        <v>2645</v>
      </c>
      <c r="W748" s="35" t="s">
        <v>1628</v>
      </c>
      <c r="X748" s="35" t="s">
        <v>2399</v>
      </c>
      <c r="Y748" s="35" t="s">
        <v>1630</v>
      </c>
      <c r="Z748" s="35" t="s">
        <v>3393</v>
      </c>
      <c r="AA748" s="35" t="s">
        <v>2646</v>
      </c>
      <c r="AB748" s="29" t="s">
        <v>1865</v>
      </c>
      <c r="AC748" s="35" t="s">
        <v>1633</v>
      </c>
      <c r="AD748" s="35" t="s">
        <v>1634</v>
      </c>
      <c r="AE748" s="35" t="s">
        <v>1634</v>
      </c>
      <c r="AF748" s="35" t="s">
        <v>1635</v>
      </c>
      <c r="AG748" s="35" t="s">
        <v>1636</v>
      </c>
      <c r="AI748" s="35"/>
      <c r="AJ748" s="35" t="s">
        <v>1637</v>
      </c>
      <c r="AK748" s="35" t="s">
        <v>1638</v>
      </c>
      <c r="AL748" s="29" t="s">
        <v>2866</v>
      </c>
      <c r="AM748" s="35"/>
      <c r="AN748" s="35"/>
      <c r="AO748" s="35"/>
      <c r="AP748" s="35"/>
      <c r="AQ748" s="35"/>
      <c r="AS748" s="35"/>
      <c r="AU748" s="35"/>
      <c r="AW748" s="35"/>
      <c r="AY748" s="35"/>
      <c r="AZ748" s="35" t="s">
        <v>1642</v>
      </c>
      <c r="BA748" s="35" t="s">
        <v>2002</v>
      </c>
      <c r="BB748" s="29" t="s">
        <v>2346</v>
      </c>
      <c r="BC748" s="29" t="s">
        <v>1644</v>
      </c>
      <c r="BD748" s="29" t="s">
        <v>4103</v>
      </c>
      <c r="BE748" s="29" t="s">
        <v>3374</v>
      </c>
      <c r="BF748" s="29" t="s">
        <v>2341</v>
      </c>
      <c r="BG748" s="29" t="s">
        <v>4101</v>
      </c>
      <c r="BH748" s="29" t="s">
        <v>3529</v>
      </c>
      <c r="BI748" s="35"/>
      <c r="BJ748" s="35"/>
      <c r="BK748" s="29" t="str" cm="1">
        <f t="array" ref="BK748">_xlfn.UNIQUE(MID(BB748,16,14))</f>
        <v>U012UNA01UH100</v>
      </c>
    </row>
    <row r="749" spans="1:63" hidden="1" x14ac:dyDescent="0.3">
      <c r="A749" s="29" t="s">
        <v>3524</v>
      </c>
      <c r="B749" s="36" t="str">
        <f t="shared" si="55"/>
        <v>G01NHE01BQ001-QM14</v>
      </c>
      <c r="C749" s="33" t="s">
        <v>4104</v>
      </c>
      <c r="D749" s="34" t="str">
        <f t="shared" si="56"/>
        <v>ELY1 O2 TRT QUAL SV14 CMD ON/OP</v>
      </c>
      <c r="E749" s="31">
        <f t="shared" si="57"/>
        <v>31</v>
      </c>
      <c r="F749" s="32" t="str">
        <f t="shared" si="58"/>
        <v>ELECTROLYSIS SYSTEM ELECTROLYSIS ARRAY 1 O2 TREATMENT O2 TREATMENT SYSTEM QUALITY MEASURING SYSTEMS H2 IN O2 MEASURING SYSTEM SOLENOID VALVE MANUAL COMMAND ON/OPEN</v>
      </c>
      <c r="G749" s="29" t="s">
        <v>1614</v>
      </c>
      <c r="H749" s="29" t="s">
        <v>1615</v>
      </c>
      <c r="I749" s="29" t="str">
        <f t="shared" si="59"/>
        <v>01</v>
      </c>
      <c r="J749" s="29" t="s">
        <v>1616</v>
      </c>
      <c r="K749" s="29" t="s">
        <v>2395</v>
      </c>
      <c r="L749" s="29" t="s">
        <v>2396</v>
      </c>
      <c r="M749" s="29" t="s">
        <v>1619</v>
      </c>
      <c r="N749" s="29" t="s">
        <v>2397</v>
      </c>
      <c r="O749" s="29" t="s">
        <v>1621</v>
      </c>
      <c r="P749" s="29" t="s">
        <v>3526</v>
      </c>
      <c r="Q749" s="29" t="s">
        <v>1623</v>
      </c>
      <c r="R749" s="29" t="s">
        <v>3527</v>
      </c>
      <c r="S749" s="29" t="s">
        <v>3392</v>
      </c>
      <c r="T749" s="29" t="s">
        <v>3352</v>
      </c>
      <c r="U749" s="29" t="s">
        <v>3337</v>
      </c>
      <c r="V749" s="29" t="s">
        <v>3338</v>
      </c>
      <c r="W749" s="35" t="s">
        <v>1628</v>
      </c>
      <c r="X749" s="35" t="s">
        <v>2399</v>
      </c>
      <c r="Y749" s="35" t="s">
        <v>1630</v>
      </c>
      <c r="Z749" s="35" t="s">
        <v>3393</v>
      </c>
      <c r="AA749" s="35" t="s">
        <v>3339</v>
      </c>
      <c r="AB749" s="29" t="s">
        <v>3402</v>
      </c>
      <c r="AC749" s="35" t="s">
        <v>1633</v>
      </c>
      <c r="AD749" s="35" t="s">
        <v>1634</v>
      </c>
      <c r="AE749" s="35" t="s">
        <v>1634</v>
      </c>
      <c r="AF749" s="35" t="s">
        <v>1635</v>
      </c>
      <c r="AG749" s="35" t="s">
        <v>2634</v>
      </c>
      <c r="AI749" s="35"/>
      <c r="AJ749" s="35" t="s">
        <v>3340</v>
      </c>
      <c r="AK749" s="35" t="s">
        <v>1672</v>
      </c>
      <c r="AL749" s="29" t="s">
        <v>3362</v>
      </c>
      <c r="AM749" s="35"/>
      <c r="AN749" s="35"/>
      <c r="AO749" s="35"/>
      <c r="AP749" s="35"/>
      <c r="AQ749" s="35"/>
      <c r="AS749" s="35"/>
      <c r="AU749" s="35"/>
      <c r="AW749" s="35"/>
      <c r="AY749" s="35"/>
      <c r="AZ749" s="35"/>
      <c r="BA749" s="35" t="s">
        <v>3139</v>
      </c>
      <c r="BB749" s="29" t="s">
        <v>4092</v>
      </c>
      <c r="BC749" s="29" t="s">
        <v>3342</v>
      </c>
      <c r="BD749" s="29" t="s">
        <v>3363</v>
      </c>
      <c r="BE749" s="29" t="s">
        <v>1805</v>
      </c>
      <c r="BF749" s="29" t="s">
        <v>1909</v>
      </c>
      <c r="BG749" s="29" t="s">
        <v>4105</v>
      </c>
      <c r="BH749" s="29" t="s">
        <v>3529</v>
      </c>
      <c r="BI749" s="35"/>
      <c r="BJ749" s="35"/>
      <c r="BK749" s="29" t="str" cm="1">
        <f t="array" ref="BK749">_xlfn.UNIQUE(MID(BB749,16,14))</f>
        <v>U012UNA01UH100</v>
      </c>
    </row>
    <row r="750" spans="1:63" x14ac:dyDescent="0.3">
      <c r="A750" s="29" t="s">
        <v>3524</v>
      </c>
      <c r="B750" s="36" t="str">
        <f t="shared" si="55"/>
        <v>G01NHE01BQ001-QM15</v>
      </c>
      <c r="C750" s="33" t="s">
        <v>4106</v>
      </c>
      <c r="D750" s="34" t="str">
        <f t="shared" si="56"/>
        <v>ELY1 O2 TRT QUAL SV15 CB ON/OPN</v>
      </c>
      <c r="E750" s="31">
        <f t="shared" si="57"/>
        <v>31</v>
      </c>
      <c r="F750" s="32" t="str">
        <f t="shared" si="58"/>
        <v>ELECTROLYSIS SYSTEM ELECTROLYSIS ARRAY 1 O2 TREATMENT O2 TREATMENT SYSTEM QUALITY MEASURING SYSTEMS H2 IN O2 MEASURING SYSTEM SOLENOID VALVE CHECK BACK ON/OPEN</v>
      </c>
      <c r="G750" s="29" t="s">
        <v>1614</v>
      </c>
      <c r="H750" s="29" t="s">
        <v>1615</v>
      </c>
      <c r="I750" s="29" t="str">
        <f t="shared" si="59"/>
        <v>01</v>
      </c>
      <c r="J750" s="29" t="s">
        <v>1616</v>
      </c>
      <c r="K750" s="29" t="s">
        <v>2395</v>
      </c>
      <c r="L750" s="29" t="s">
        <v>2396</v>
      </c>
      <c r="M750" s="29" t="s">
        <v>1619</v>
      </c>
      <c r="N750" s="29" t="s">
        <v>2397</v>
      </c>
      <c r="O750" s="29" t="s">
        <v>1621</v>
      </c>
      <c r="P750" s="29" t="s">
        <v>3526</v>
      </c>
      <c r="Q750" s="29" t="s">
        <v>1623</v>
      </c>
      <c r="R750" s="29" t="s">
        <v>3527</v>
      </c>
      <c r="S750" s="29" t="s">
        <v>3405</v>
      </c>
      <c r="T750" s="29" t="s">
        <v>3352</v>
      </c>
      <c r="U750" s="29" t="s">
        <v>790</v>
      </c>
      <c r="V750" s="29" t="s">
        <v>2639</v>
      </c>
      <c r="W750" s="35" t="s">
        <v>1628</v>
      </c>
      <c r="X750" s="35" t="s">
        <v>2399</v>
      </c>
      <c r="Y750" s="35" t="s">
        <v>1630</v>
      </c>
      <c r="Z750" s="35" t="s">
        <v>3406</v>
      </c>
      <c r="AA750" s="35" t="s">
        <v>2641</v>
      </c>
      <c r="AB750" s="29" t="s">
        <v>3407</v>
      </c>
      <c r="AC750" s="35" t="s">
        <v>1633</v>
      </c>
      <c r="AD750" s="35" t="s">
        <v>1634</v>
      </c>
      <c r="AE750" s="35" t="s">
        <v>1634</v>
      </c>
      <c r="AF750" s="35" t="s">
        <v>1635</v>
      </c>
      <c r="AG750" s="35" t="s">
        <v>1636</v>
      </c>
      <c r="AI750" s="35"/>
      <c r="AJ750" s="35" t="s">
        <v>1637</v>
      </c>
      <c r="AK750" s="35" t="s">
        <v>1638</v>
      </c>
      <c r="AL750" s="29" t="s">
        <v>2866</v>
      </c>
      <c r="AM750" s="35"/>
      <c r="AN750" s="35"/>
      <c r="AO750" s="35"/>
      <c r="AP750" s="35"/>
      <c r="AQ750" s="35"/>
      <c r="AS750" s="35"/>
      <c r="AU750" s="35"/>
      <c r="AW750" s="35"/>
      <c r="AY750" s="35"/>
      <c r="AZ750" s="35" t="s">
        <v>1642</v>
      </c>
      <c r="BA750" s="35" t="s">
        <v>2002</v>
      </c>
      <c r="BB750" s="29" t="s">
        <v>2346</v>
      </c>
      <c r="BC750" s="29" t="s">
        <v>1644</v>
      </c>
      <c r="BD750" s="29" t="s">
        <v>3408</v>
      </c>
      <c r="BE750" s="29" t="s">
        <v>3409</v>
      </c>
      <c r="BF750" s="29" t="s">
        <v>1915</v>
      </c>
      <c r="BG750" s="29" t="s">
        <v>4107</v>
      </c>
      <c r="BH750" s="29" t="s">
        <v>3529</v>
      </c>
      <c r="BI750" s="35"/>
      <c r="BJ750" s="35"/>
      <c r="BK750" s="29" t="str" cm="1">
        <f t="array" ref="BK750">_xlfn.UNIQUE(MID(BB750,16,14))</f>
        <v>U012UNA01UH100</v>
      </c>
    </row>
    <row r="751" spans="1:63" x14ac:dyDescent="0.3">
      <c r="A751" s="29" t="s">
        <v>3524</v>
      </c>
      <c r="B751" s="36" t="str">
        <f t="shared" si="55"/>
        <v>G01NHE01BQ001-QM15</v>
      </c>
      <c r="C751" s="33" t="s">
        <v>4108</v>
      </c>
      <c r="D751" s="34" t="str">
        <f t="shared" si="56"/>
        <v>ELY1 O2 TRT QUAL SV15 CB OFF/CLD</v>
      </c>
      <c r="E751" s="31">
        <f t="shared" si="57"/>
        <v>32</v>
      </c>
      <c r="F751" s="32" t="str">
        <f t="shared" si="58"/>
        <v>ELECTROLYSIS SYSTEM ELECTROLYSIS ARRAY 1 O2 TREATMENT O2 TREATMENT SYSTEM QUALITY MEASURING SYSTEMS H2 IN O2 MEASURING SYSTEM SOLENOID VALVE CHECK BACK OFF/CLOSED</v>
      </c>
      <c r="G751" s="29" t="s">
        <v>1614</v>
      </c>
      <c r="H751" s="29" t="s">
        <v>1615</v>
      </c>
      <c r="I751" s="29" t="str">
        <f t="shared" si="59"/>
        <v>01</v>
      </c>
      <c r="J751" s="29" t="s">
        <v>1616</v>
      </c>
      <c r="K751" s="29" t="s">
        <v>2395</v>
      </c>
      <c r="L751" s="29" t="s">
        <v>2396</v>
      </c>
      <c r="M751" s="29" t="s">
        <v>1619</v>
      </c>
      <c r="N751" s="29" t="s">
        <v>2397</v>
      </c>
      <c r="O751" s="29" t="s">
        <v>1621</v>
      </c>
      <c r="P751" s="29" t="s">
        <v>3526</v>
      </c>
      <c r="Q751" s="29" t="s">
        <v>1623</v>
      </c>
      <c r="R751" s="29" t="s">
        <v>3527</v>
      </c>
      <c r="S751" s="29" t="s">
        <v>3405</v>
      </c>
      <c r="T751" s="29" t="s">
        <v>3352</v>
      </c>
      <c r="U751" s="29" t="s">
        <v>363</v>
      </c>
      <c r="V751" s="29" t="s">
        <v>2645</v>
      </c>
      <c r="W751" s="35" t="s">
        <v>1628</v>
      </c>
      <c r="X751" s="35" t="s">
        <v>2399</v>
      </c>
      <c r="Y751" s="35" t="s">
        <v>1630</v>
      </c>
      <c r="Z751" s="35" t="s">
        <v>3406</v>
      </c>
      <c r="AA751" s="35" t="s">
        <v>2646</v>
      </c>
      <c r="AB751" s="29" t="s">
        <v>1865</v>
      </c>
      <c r="AC751" s="35" t="s">
        <v>1633</v>
      </c>
      <c r="AD751" s="35" t="s">
        <v>1634</v>
      </c>
      <c r="AE751" s="35" t="s">
        <v>1634</v>
      </c>
      <c r="AF751" s="35" t="s">
        <v>1635</v>
      </c>
      <c r="AG751" s="35" t="s">
        <v>1636</v>
      </c>
      <c r="AI751" s="35"/>
      <c r="AJ751" s="35" t="s">
        <v>1637</v>
      </c>
      <c r="AK751" s="35" t="s">
        <v>1638</v>
      </c>
      <c r="AL751" s="29" t="s">
        <v>2866</v>
      </c>
      <c r="AM751" s="35"/>
      <c r="AN751" s="35"/>
      <c r="AO751" s="35"/>
      <c r="AP751" s="35"/>
      <c r="AQ751" s="35"/>
      <c r="AS751" s="35"/>
      <c r="AU751" s="35"/>
      <c r="AW751" s="35"/>
      <c r="AY751" s="35"/>
      <c r="AZ751" s="35" t="s">
        <v>1642</v>
      </c>
      <c r="BA751" s="35" t="s">
        <v>2002</v>
      </c>
      <c r="BB751" s="29" t="s">
        <v>2346</v>
      </c>
      <c r="BC751" s="29" t="s">
        <v>1644</v>
      </c>
      <c r="BD751" s="29" t="s">
        <v>4109</v>
      </c>
      <c r="BE751" s="29" t="s">
        <v>3387</v>
      </c>
      <c r="BF751" s="29" t="s">
        <v>2388</v>
      </c>
      <c r="BG751" s="29" t="s">
        <v>4107</v>
      </c>
      <c r="BH751" s="29" t="s">
        <v>3529</v>
      </c>
      <c r="BI751" s="35"/>
      <c r="BJ751" s="35"/>
      <c r="BK751" s="29" t="str" cm="1">
        <f t="array" ref="BK751">_xlfn.UNIQUE(MID(BB751,16,14))</f>
        <v>U012UNA01UH100</v>
      </c>
    </row>
    <row r="752" spans="1:63" hidden="1" x14ac:dyDescent="0.3">
      <c r="A752" s="29" t="s">
        <v>3524</v>
      </c>
      <c r="B752" s="36" t="str">
        <f t="shared" si="55"/>
        <v>G01NHE01BQ001-QM15</v>
      </c>
      <c r="C752" s="33" t="s">
        <v>4110</v>
      </c>
      <c r="D752" s="34" t="str">
        <f t="shared" si="56"/>
        <v>ELY1 O2 TRT QUAL SV15 CMD ON/OP</v>
      </c>
      <c r="E752" s="31">
        <f t="shared" si="57"/>
        <v>31</v>
      </c>
      <c r="F752" s="32" t="str">
        <f t="shared" si="58"/>
        <v>ELECTROLYSIS SYSTEM ELECTROLYSIS ARRAY 1 O2 TREATMENT O2 TREATMENT SYSTEM QUALITY MEASURING SYSTEMS H2 IN O2 MEASURING SYSTEM SOLENOID VALVE MANUAL COMMAND ON/OPEN</v>
      </c>
      <c r="G752" s="29" t="s">
        <v>1614</v>
      </c>
      <c r="H752" s="29" t="s">
        <v>1615</v>
      </c>
      <c r="I752" s="29" t="str">
        <f t="shared" si="59"/>
        <v>01</v>
      </c>
      <c r="J752" s="29" t="s">
        <v>1616</v>
      </c>
      <c r="K752" s="29" t="s">
        <v>2395</v>
      </c>
      <c r="L752" s="29" t="s">
        <v>2396</v>
      </c>
      <c r="M752" s="29" t="s">
        <v>1619</v>
      </c>
      <c r="N752" s="29" t="s">
        <v>2397</v>
      </c>
      <c r="O752" s="29" t="s">
        <v>1621</v>
      </c>
      <c r="P752" s="29" t="s">
        <v>3526</v>
      </c>
      <c r="Q752" s="29" t="s">
        <v>1623</v>
      </c>
      <c r="R752" s="29" t="s">
        <v>3527</v>
      </c>
      <c r="S752" s="29" t="s">
        <v>3405</v>
      </c>
      <c r="T752" s="29" t="s">
        <v>3352</v>
      </c>
      <c r="U752" s="29" t="s">
        <v>3337</v>
      </c>
      <c r="V752" s="29" t="s">
        <v>3338</v>
      </c>
      <c r="W752" s="35" t="s">
        <v>1628</v>
      </c>
      <c r="X752" s="35" t="s">
        <v>2399</v>
      </c>
      <c r="Y752" s="35" t="s">
        <v>1630</v>
      </c>
      <c r="Z752" s="35" t="s">
        <v>3406</v>
      </c>
      <c r="AA752" s="35" t="s">
        <v>3339</v>
      </c>
      <c r="AB752" s="29" t="s">
        <v>3416</v>
      </c>
      <c r="AC752" s="35" t="s">
        <v>1633</v>
      </c>
      <c r="AD752" s="35" t="s">
        <v>1634</v>
      </c>
      <c r="AE752" s="35" t="s">
        <v>1634</v>
      </c>
      <c r="AF752" s="35" t="s">
        <v>1635</v>
      </c>
      <c r="AG752" s="35" t="s">
        <v>2634</v>
      </c>
      <c r="AI752" s="35"/>
      <c r="AJ752" s="35" t="s">
        <v>3340</v>
      </c>
      <c r="AK752" s="35" t="s">
        <v>1672</v>
      </c>
      <c r="AL752" s="29" t="s">
        <v>3362</v>
      </c>
      <c r="AM752" s="35"/>
      <c r="AN752" s="35"/>
      <c r="AO752" s="35"/>
      <c r="AP752" s="35"/>
      <c r="AQ752" s="35"/>
      <c r="AS752" s="35"/>
      <c r="AU752" s="35"/>
      <c r="AW752" s="35"/>
      <c r="AY752" s="35"/>
      <c r="AZ752" s="35"/>
      <c r="BA752" s="35" t="s">
        <v>3139</v>
      </c>
      <c r="BB752" s="29" t="s">
        <v>4092</v>
      </c>
      <c r="BC752" s="29" t="s">
        <v>3342</v>
      </c>
      <c r="BD752" s="29" t="s">
        <v>3363</v>
      </c>
      <c r="BE752" s="29" t="s">
        <v>1805</v>
      </c>
      <c r="BF752" s="29" t="s">
        <v>1915</v>
      </c>
      <c r="BG752" s="29" t="s">
        <v>4111</v>
      </c>
      <c r="BH752" s="29" t="s">
        <v>3529</v>
      </c>
      <c r="BI752" s="35"/>
      <c r="BJ752" s="35"/>
      <c r="BK752" s="29" t="str" cm="1">
        <f t="array" ref="BK752">_xlfn.UNIQUE(MID(BB752,16,14))</f>
        <v>U012UNA01UH100</v>
      </c>
    </row>
    <row r="753" spans="1:63" x14ac:dyDescent="0.3">
      <c r="A753" s="29" t="s">
        <v>3524</v>
      </c>
      <c r="B753" s="36" t="str">
        <f t="shared" si="55"/>
        <v>G01NHE01BQ001-QM16</v>
      </c>
      <c r="C753" s="33" t="s">
        <v>4112</v>
      </c>
      <c r="D753" s="34" t="str">
        <f t="shared" si="56"/>
        <v>ELY1 O2 TRT QUAL SV16 CB ON/OPN</v>
      </c>
      <c r="E753" s="31">
        <f t="shared" si="57"/>
        <v>31</v>
      </c>
      <c r="F753" s="32" t="str">
        <f t="shared" si="58"/>
        <v>ELECTROLYSIS SYSTEM ELECTROLYSIS ARRAY 1 O2 TREATMENT O2 TREATMENT SYSTEM QUALITY MEASURING SYSTEMS H2 IN O2 MEASURING SYSTEM SOLENOID VALVE CHECK BACK ON/OPEN</v>
      </c>
      <c r="G753" s="29" t="s">
        <v>1614</v>
      </c>
      <c r="H753" s="29" t="s">
        <v>1615</v>
      </c>
      <c r="I753" s="29" t="str">
        <f t="shared" si="59"/>
        <v>01</v>
      </c>
      <c r="J753" s="29" t="s">
        <v>1616</v>
      </c>
      <c r="K753" s="29" t="s">
        <v>2395</v>
      </c>
      <c r="L753" s="29" t="s">
        <v>2396</v>
      </c>
      <c r="M753" s="29" t="s">
        <v>1619</v>
      </c>
      <c r="N753" s="29" t="s">
        <v>2397</v>
      </c>
      <c r="O753" s="29" t="s">
        <v>1621</v>
      </c>
      <c r="P753" s="29" t="s">
        <v>3526</v>
      </c>
      <c r="Q753" s="29" t="s">
        <v>1623</v>
      </c>
      <c r="R753" s="29" t="s">
        <v>3527</v>
      </c>
      <c r="S753" s="29" t="s">
        <v>3419</v>
      </c>
      <c r="T753" s="29" t="s">
        <v>3352</v>
      </c>
      <c r="U753" s="29" t="s">
        <v>790</v>
      </c>
      <c r="V753" s="29" t="s">
        <v>2639</v>
      </c>
      <c r="W753" s="35" t="s">
        <v>1628</v>
      </c>
      <c r="X753" s="35" t="s">
        <v>2399</v>
      </c>
      <c r="Y753" s="35" t="s">
        <v>1630</v>
      </c>
      <c r="Z753" s="35" t="s">
        <v>3420</v>
      </c>
      <c r="AA753" s="35" t="s">
        <v>2641</v>
      </c>
      <c r="AB753" s="29" t="s">
        <v>3421</v>
      </c>
      <c r="AC753" s="35" t="s">
        <v>1633</v>
      </c>
      <c r="AD753" s="35" t="s">
        <v>1634</v>
      </c>
      <c r="AE753" s="35" t="s">
        <v>1634</v>
      </c>
      <c r="AF753" s="35" t="s">
        <v>1635</v>
      </c>
      <c r="AG753" s="35" t="s">
        <v>1636</v>
      </c>
      <c r="AI753" s="35"/>
      <c r="AJ753" s="35" t="s">
        <v>1637</v>
      </c>
      <c r="AK753" s="35" t="s">
        <v>1638</v>
      </c>
      <c r="AL753" s="29" t="s">
        <v>2866</v>
      </c>
      <c r="AM753" s="35"/>
      <c r="AN753" s="35"/>
      <c r="AO753" s="35"/>
      <c r="AP753" s="35"/>
      <c r="AQ753" s="35"/>
      <c r="AS753" s="35"/>
      <c r="AU753" s="35"/>
      <c r="AW753" s="35"/>
      <c r="AY753" s="35"/>
      <c r="AZ753" s="35" t="s">
        <v>1642</v>
      </c>
      <c r="BA753" s="35" t="s">
        <v>2002</v>
      </c>
      <c r="BB753" s="29" t="s">
        <v>2346</v>
      </c>
      <c r="BC753" s="29" t="s">
        <v>1644</v>
      </c>
      <c r="BD753" s="29" t="s">
        <v>3422</v>
      </c>
      <c r="BE753" s="29" t="s">
        <v>3423</v>
      </c>
      <c r="BF753" s="29" t="s">
        <v>1919</v>
      </c>
      <c r="BG753" s="29" t="s">
        <v>4113</v>
      </c>
      <c r="BH753" s="29" t="s">
        <v>3529</v>
      </c>
      <c r="BI753" s="35"/>
      <c r="BJ753" s="35"/>
      <c r="BK753" s="29" t="str" cm="1">
        <f t="array" ref="BK753">_xlfn.UNIQUE(MID(BB753,16,14))</f>
        <v>U012UNA01UH100</v>
      </c>
    </row>
    <row r="754" spans="1:63" hidden="1" x14ac:dyDescent="0.3">
      <c r="A754" s="29" t="s">
        <v>2355</v>
      </c>
      <c r="B754" s="36" t="str">
        <f t="shared" si="55"/>
        <v>G01NHC01GT001-QM01</v>
      </c>
      <c r="C754" s="33" t="s">
        <v>4114</v>
      </c>
      <c r="D754" s="34" t="str">
        <f t="shared" si="56"/>
        <v>ELY1 H2 TRT LEAD OFF SV1 CMD OFF/CL</v>
      </c>
      <c r="E754" s="31">
        <f t="shared" si="57"/>
        <v>35</v>
      </c>
      <c r="F754" s="32" t="str">
        <f t="shared" si="58"/>
        <v>ELECTROLYSIS SYSTEM ELECTROLYSIS ARRAY 1 H2 TREATMENT H2 TREATMENT SYSTEM GAS LEAD OFF SYSTEMS GAS LEAD OFF SYSTEM 1 2-WAY SHUT-OFF VALVE H2 MANUAL COMMAND OFF/CLOSE</v>
      </c>
      <c r="G754" s="29" t="s">
        <v>1614</v>
      </c>
      <c r="H754" s="29" t="s">
        <v>1615</v>
      </c>
      <c r="I754" s="29" t="str">
        <f t="shared" si="59"/>
        <v>01</v>
      </c>
      <c r="J754" s="29" t="s">
        <v>1616</v>
      </c>
      <c r="K754" s="29" t="s">
        <v>1617</v>
      </c>
      <c r="L754" s="29" t="s">
        <v>1618</v>
      </c>
      <c r="M754" s="29" t="s">
        <v>1619</v>
      </c>
      <c r="N754" s="29" t="s">
        <v>1620</v>
      </c>
      <c r="O754" s="29" t="s">
        <v>2357</v>
      </c>
      <c r="P754" s="29" t="s">
        <v>2358</v>
      </c>
      <c r="Q754" s="29" t="s">
        <v>1623</v>
      </c>
      <c r="R754" s="29" t="s">
        <v>2359</v>
      </c>
      <c r="S754" s="29" t="s">
        <v>3471</v>
      </c>
      <c r="T754" s="29" t="s">
        <v>3472</v>
      </c>
      <c r="U754" s="29" t="s">
        <v>3918</v>
      </c>
      <c r="V754" s="29" t="s">
        <v>3588</v>
      </c>
      <c r="W754" s="35" t="s">
        <v>1628</v>
      </c>
      <c r="X754" s="35" t="s">
        <v>1629</v>
      </c>
      <c r="Y754" s="35" t="s">
        <v>2361</v>
      </c>
      <c r="Z754" s="35" t="s">
        <v>3473</v>
      </c>
      <c r="AA754" s="35" t="s">
        <v>3919</v>
      </c>
      <c r="AB754" s="29" t="s">
        <v>4115</v>
      </c>
      <c r="AC754" s="35" t="s">
        <v>1633</v>
      </c>
      <c r="AD754" s="35" t="s">
        <v>1634</v>
      </c>
      <c r="AE754" s="35" t="s">
        <v>1634</v>
      </c>
      <c r="AF754" s="35" t="s">
        <v>1635</v>
      </c>
      <c r="AG754" s="35" t="s">
        <v>1670</v>
      </c>
      <c r="AI754" s="35"/>
      <c r="AJ754" s="35" t="s">
        <v>3340</v>
      </c>
      <c r="AK754" s="35" t="s">
        <v>1672</v>
      </c>
      <c r="AL754" s="29" t="s">
        <v>3362</v>
      </c>
      <c r="AM754" s="35"/>
      <c r="AN754" s="35"/>
      <c r="AO754" s="35"/>
      <c r="AP754" s="35"/>
      <c r="AQ754" s="35"/>
      <c r="AS754" s="35"/>
      <c r="AU754" s="35"/>
      <c r="AW754" s="35"/>
      <c r="AY754" s="35"/>
      <c r="AZ754" s="35"/>
      <c r="BA754" s="35"/>
      <c r="BB754" s="29" t="s">
        <v>3341</v>
      </c>
      <c r="BC754" s="29" t="s">
        <v>3342</v>
      </c>
      <c r="BD754" s="29" t="s">
        <v>3925</v>
      </c>
      <c r="BE754" s="29" t="s">
        <v>1805</v>
      </c>
      <c r="BF754" s="29" t="s">
        <v>2051</v>
      </c>
      <c r="BG754" s="29" t="s">
        <v>3475</v>
      </c>
      <c r="BH754" s="29" t="s">
        <v>2364</v>
      </c>
      <c r="BI754" s="35"/>
      <c r="BJ754" s="35"/>
      <c r="BK754" s="29" t="str" cm="1">
        <f t="array" ref="BK754">_xlfn.UNIQUE(MID(BB754,16,14))</f>
        <v>U012UNA01UH100</v>
      </c>
    </row>
    <row r="755" spans="1:63" x14ac:dyDescent="0.3">
      <c r="A755" s="29" t="s">
        <v>3524</v>
      </c>
      <c r="B755" s="36" t="str">
        <f t="shared" si="55"/>
        <v>G01NHE01BQ001-QM16</v>
      </c>
      <c r="C755" s="33" t="s">
        <v>4116</v>
      </c>
      <c r="D755" s="34" t="str">
        <f t="shared" si="56"/>
        <v>ELY1 O2 TRT QUAL SV16 CB OFF/CLD</v>
      </c>
      <c r="E755" s="31">
        <f t="shared" si="57"/>
        <v>32</v>
      </c>
      <c r="F755" s="32" t="str">
        <f t="shared" si="58"/>
        <v>ELECTROLYSIS SYSTEM ELECTROLYSIS ARRAY 1 O2 TREATMENT O2 TREATMENT SYSTEM QUALITY MEASURING SYSTEMS H2 IN O2 MEASURING SYSTEM SOLENOID VALVE CHECK BACK OFF/CLOSED</v>
      </c>
      <c r="G755" s="29" t="s">
        <v>1614</v>
      </c>
      <c r="H755" s="29" t="s">
        <v>1615</v>
      </c>
      <c r="I755" s="29" t="str">
        <f t="shared" si="59"/>
        <v>01</v>
      </c>
      <c r="J755" s="29" t="s">
        <v>1616</v>
      </c>
      <c r="K755" s="29" t="s">
        <v>2395</v>
      </c>
      <c r="L755" s="29" t="s">
        <v>2396</v>
      </c>
      <c r="M755" s="29" t="s">
        <v>1619</v>
      </c>
      <c r="N755" s="29" t="s">
        <v>2397</v>
      </c>
      <c r="O755" s="29" t="s">
        <v>1621</v>
      </c>
      <c r="P755" s="29" t="s">
        <v>3526</v>
      </c>
      <c r="Q755" s="29" t="s">
        <v>1623</v>
      </c>
      <c r="R755" s="29" t="s">
        <v>3527</v>
      </c>
      <c r="S755" s="29" t="s">
        <v>3419</v>
      </c>
      <c r="T755" s="29" t="s">
        <v>3352</v>
      </c>
      <c r="U755" s="29" t="s">
        <v>363</v>
      </c>
      <c r="V755" s="29" t="s">
        <v>2645</v>
      </c>
      <c r="W755" s="35" t="s">
        <v>1628</v>
      </c>
      <c r="X755" s="35" t="s">
        <v>2399</v>
      </c>
      <c r="Y755" s="35" t="s">
        <v>1630</v>
      </c>
      <c r="Z755" s="35" t="s">
        <v>3420</v>
      </c>
      <c r="AA755" s="35" t="s">
        <v>2646</v>
      </c>
      <c r="AB755" s="29" t="s">
        <v>1865</v>
      </c>
      <c r="AC755" s="35" t="s">
        <v>1633</v>
      </c>
      <c r="AD755" s="35" t="s">
        <v>1634</v>
      </c>
      <c r="AE755" s="35" t="s">
        <v>1634</v>
      </c>
      <c r="AF755" s="35" t="s">
        <v>1635</v>
      </c>
      <c r="AG755" s="35" t="s">
        <v>1636</v>
      </c>
      <c r="AI755" s="35"/>
      <c r="AJ755" s="35" t="s">
        <v>1637</v>
      </c>
      <c r="AK755" s="35" t="s">
        <v>1638</v>
      </c>
      <c r="AL755" s="29" t="s">
        <v>2866</v>
      </c>
      <c r="AM755" s="35"/>
      <c r="AN755" s="35"/>
      <c r="AO755" s="35"/>
      <c r="AP755" s="35"/>
      <c r="AQ755" s="35"/>
      <c r="AS755" s="35"/>
      <c r="AU755" s="35"/>
      <c r="AW755" s="35"/>
      <c r="AY755" s="35"/>
      <c r="AZ755" s="35" t="s">
        <v>1642</v>
      </c>
      <c r="BA755" s="35" t="s">
        <v>2002</v>
      </c>
      <c r="BB755" s="29" t="s">
        <v>2346</v>
      </c>
      <c r="BC755" s="29" t="s">
        <v>1644</v>
      </c>
      <c r="BD755" s="29" t="s">
        <v>4117</v>
      </c>
      <c r="BE755" s="29" t="s">
        <v>3400</v>
      </c>
      <c r="BF755" s="29" t="s">
        <v>2978</v>
      </c>
      <c r="BG755" s="29" t="s">
        <v>4113</v>
      </c>
      <c r="BH755" s="29" t="s">
        <v>3529</v>
      </c>
      <c r="BI755" s="35"/>
      <c r="BJ755" s="35"/>
      <c r="BK755" s="29" t="str" cm="1">
        <f t="array" ref="BK755">_xlfn.UNIQUE(MID(BB755,16,14))</f>
        <v>U012UNA01UH100</v>
      </c>
    </row>
    <row r="756" spans="1:63" hidden="1" x14ac:dyDescent="0.3">
      <c r="A756" s="29" t="s">
        <v>3524</v>
      </c>
      <c r="B756" s="36" t="str">
        <f t="shared" si="55"/>
        <v>G01NHE01BQ001-QM16</v>
      </c>
      <c r="C756" s="33" t="s">
        <v>4118</v>
      </c>
      <c r="D756" s="34" t="str">
        <f t="shared" si="56"/>
        <v>ELY1 O2 TRT QUAL SV16 CMD ON/OP</v>
      </c>
      <c r="E756" s="31">
        <f t="shared" si="57"/>
        <v>31</v>
      </c>
      <c r="F756" s="32" t="str">
        <f t="shared" si="58"/>
        <v>ELECTROLYSIS SYSTEM ELECTROLYSIS ARRAY 1 O2 TREATMENT O2 TREATMENT SYSTEM QUALITY MEASURING SYSTEMS H2 IN O2 MEASURING SYSTEM SOLENOID VALVE MANUAL COMMAND ON/OPEN</v>
      </c>
      <c r="G756" s="29" t="s">
        <v>1614</v>
      </c>
      <c r="H756" s="29" t="s">
        <v>1615</v>
      </c>
      <c r="I756" s="29" t="str">
        <f t="shared" si="59"/>
        <v>01</v>
      </c>
      <c r="J756" s="29" t="s">
        <v>1616</v>
      </c>
      <c r="K756" s="29" t="s">
        <v>2395</v>
      </c>
      <c r="L756" s="29" t="s">
        <v>2396</v>
      </c>
      <c r="M756" s="29" t="s">
        <v>1619</v>
      </c>
      <c r="N756" s="29" t="s">
        <v>2397</v>
      </c>
      <c r="O756" s="29" t="s">
        <v>1621</v>
      </c>
      <c r="P756" s="29" t="s">
        <v>3526</v>
      </c>
      <c r="Q756" s="29" t="s">
        <v>1623</v>
      </c>
      <c r="R756" s="29" t="s">
        <v>3527</v>
      </c>
      <c r="S756" s="29" t="s">
        <v>3419</v>
      </c>
      <c r="T756" s="29" t="s">
        <v>3352</v>
      </c>
      <c r="U756" s="29" t="s">
        <v>3337</v>
      </c>
      <c r="V756" s="29" t="s">
        <v>3338</v>
      </c>
      <c r="W756" s="35" t="s">
        <v>1628</v>
      </c>
      <c r="X756" s="35" t="s">
        <v>2399</v>
      </c>
      <c r="Y756" s="35" t="s">
        <v>1630</v>
      </c>
      <c r="Z756" s="35" t="s">
        <v>3420</v>
      </c>
      <c r="AA756" s="35" t="s">
        <v>3339</v>
      </c>
      <c r="AB756" s="29" t="s">
        <v>3429</v>
      </c>
      <c r="AC756" s="35" t="s">
        <v>1633</v>
      </c>
      <c r="AD756" s="35" t="s">
        <v>1634</v>
      </c>
      <c r="AE756" s="35" t="s">
        <v>1634</v>
      </c>
      <c r="AF756" s="35" t="s">
        <v>1635</v>
      </c>
      <c r="AG756" s="35" t="s">
        <v>2634</v>
      </c>
      <c r="AI756" s="35"/>
      <c r="AJ756" s="35" t="s">
        <v>3340</v>
      </c>
      <c r="AK756" s="35" t="s">
        <v>1672</v>
      </c>
      <c r="AL756" s="29" t="s">
        <v>3362</v>
      </c>
      <c r="AM756" s="35"/>
      <c r="AN756" s="35"/>
      <c r="AO756" s="35"/>
      <c r="AP756" s="35"/>
      <c r="AQ756" s="35"/>
      <c r="AS756" s="35"/>
      <c r="AU756" s="35"/>
      <c r="AW756" s="35"/>
      <c r="AY756" s="35"/>
      <c r="AZ756" s="35"/>
      <c r="BA756" s="35" t="s">
        <v>3139</v>
      </c>
      <c r="BB756" s="29" t="s">
        <v>4092</v>
      </c>
      <c r="BC756" s="29" t="s">
        <v>3342</v>
      </c>
      <c r="BD756" s="29" t="s">
        <v>3363</v>
      </c>
      <c r="BE756" s="29" t="s">
        <v>1805</v>
      </c>
      <c r="BF756" s="29" t="s">
        <v>1919</v>
      </c>
      <c r="BG756" s="29" t="s">
        <v>4119</v>
      </c>
      <c r="BH756" s="29" t="s">
        <v>3529</v>
      </c>
      <c r="BI756" s="35"/>
      <c r="BJ756" s="35"/>
      <c r="BK756" s="29" t="str" cm="1">
        <f t="array" ref="BK756">_xlfn.UNIQUE(MID(BB756,16,14))</f>
        <v>U012UNA01UH100</v>
      </c>
    </row>
    <row r="757" spans="1:63" x14ac:dyDescent="0.3">
      <c r="A757" s="29" t="s">
        <v>3524</v>
      </c>
      <c r="B757" s="36" t="str">
        <f t="shared" si="55"/>
        <v>G01NHE01BQ001-QM23</v>
      </c>
      <c r="C757" s="33" t="s">
        <v>4120</v>
      </c>
      <c r="D757" s="34" t="str">
        <f t="shared" si="56"/>
        <v>ELY1 O2 TRT QUAL SV23 CB MAN ON/OPN</v>
      </c>
      <c r="E757" s="31">
        <f t="shared" si="57"/>
        <v>35</v>
      </c>
      <c r="F757" s="32" t="str">
        <f t="shared" si="58"/>
        <v>ELECTROLYSIS SYSTEM ELECTROLYSIS ARRAY 1 O2 TREATMENT O2 TREATMENT SYSTEM QUALITY MEASURING SYSTEMS H2 IN O2 MEASURING SYSTEM 3-WAY VALVE - CAL-GAS MANUAL COMMAND ON/OPEN</v>
      </c>
      <c r="G757" s="29" t="s">
        <v>1614</v>
      </c>
      <c r="H757" s="29" t="s">
        <v>1615</v>
      </c>
      <c r="I757" s="29" t="str">
        <f t="shared" si="59"/>
        <v>01</v>
      </c>
      <c r="J757" s="29" t="s">
        <v>1616</v>
      </c>
      <c r="K757" s="29" t="s">
        <v>2395</v>
      </c>
      <c r="L757" s="29" t="s">
        <v>2396</v>
      </c>
      <c r="M757" s="29" t="s">
        <v>1619</v>
      </c>
      <c r="N757" s="29" t="s">
        <v>2397</v>
      </c>
      <c r="O757" s="29" t="s">
        <v>1621</v>
      </c>
      <c r="P757" s="29" t="s">
        <v>3526</v>
      </c>
      <c r="Q757" s="29" t="s">
        <v>1623</v>
      </c>
      <c r="R757" s="29" t="s">
        <v>3527</v>
      </c>
      <c r="S757" s="29" t="s">
        <v>3455</v>
      </c>
      <c r="T757" s="29" t="s">
        <v>3456</v>
      </c>
      <c r="U757" s="29" t="s">
        <v>3457</v>
      </c>
      <c r="V757" s="29" t="s">
        <v>3338</v>
      </c>
      <c r="W757" s="35" t="s">
        <v>1628</v>
      </c>
      <c r="X757" s="35" t="s">
        <v>2399</v>
      </c>
      <c r="Y757" s="35" t="s">
        <v>1630</v>
      </c>
      <c r="Z757" s="35" t="s">
        <v>3458</v>
      </c>
      <c r="AA757" s="35" t="s">
        <v>3459</v>
      </c>
      <c r="AB757" s="29" t="s">
        <v>3460</v>
      </c>
      <c r="AC757" s="35" t="s">
        <v>1633</v>
      </c>
      <c r="AD757" s="35" t="s">
        <v>2642</v>
      </c>
      <c r="AE757" s="35" t="s">
        <v>2642</v>
      </c>
      <c r="AF757" s="35" t="s">
        <v>1635</v>
      </c>
      <c r="AG757" s="35" t="s">
        <v>1728</v>
      </c>
      <c r="AI757" s="35"/>
      <c r="AJ757" s="35" t="s">
        <v>1637</v>
      </c>
      <c r="AK757" s="35" t="s">
        <v>1672</v>
      </c>
      <c r="AL757" s="29" t="s">
        <v>2954</v>
      </c>
      <c r="AM757" s="35"/>
      <c r="AN757" s="35"/>
      <c r="AO757" s="35"/>
      <c r="AP757" s="35"/>
      <c r="AQ757" s="35"/>
      <c r="AS757" s="35"/>
      <c r="AU757" s="35"/>
      <c r="AW757" s="35"/>
      <c r="AY757" s="35"/>
      <c r="AZ757" s="35"/>
      <c r="BA757" s="35"/>
      <c r="BB757" s="29" t="s">
        <v>2003</v>
      </c>
      <c r="BC757" s="29" t="s">
        <v>2347</v>
      </c>
      <c r="BD757" s="29" t="s">
        <v>3461</v>
      </c>
      <c r="BE757" s="29" t="s">
        <v>1805</v>
      </c>
      <c r="BF757" s="29" t="s">
        <v>1973</v>
      </c>
      <c r="BG757" s="29" t="s">
        <v>4121</v>
      </c>
      <c r="BH757" s="29" t="s">
        <v>3529</v>
      </c>
      <c r="BI757" s="35"/>
      <c r="BJ757" s="35"/>
      <c r="BK757" s="29" t="str" cm="1">
        <f t="array" ref="BK757">_xlfn.UNIQUE(MID(BB757,16,14))</f>
        <v>U012UNA01UH100</v>
      </c>
    </row>
    <row r="758" spans="1:63" x14ac:dyDescent="0.3">
      <c r="A758" s="29" t="s">
        <v>3524</v>
      </c>
      <c r="B758" s="36" t="str">
        <f t="shared" si="55"/>
        <v>G01NHE01BQ001-QM24</v>
      </c>
      <c r="C758" s="33" t="s">
        <v>4122</v>
      </c>
      <c r="D758" s="34" t="str">
        <f t="shared" si="56"/>
        <v>ELY1 O2 TRT QUAL SV24 CB ON/OPN</v>
      </c>
      <c r="E758" s="31">
        <f t="shared" si="57"/>
        <v>31</v>
      </c>
      <c r="F758" s="32" t="str">
        <f t="shared" si="58"/>
        <v>ELECTROLYSIS SYSTEM ELECTROLYSIS ARRAY 1 O2 TREATMENT O2 TREATMENT SYSTEM QUALITY MEASURING SYSTEMS H2 IN O2 MEASURING SYSTEM SOLENOID VALVE CHECK BACK ON/OPEN</v>
      </c>
      <c r="G758" s="29" t="s">
        <v>1614</v>
      </c>
      <c r="H758" s="29" t="s">
        <v>1615</v>
      </c>
      <c r="I758" s="29" t="str">
        <f t="shared" si="59"/>
        <v>01</v>
      </c>
      <c r="J758" s="29" t="s">
        <v>1616</v>
      </c>
      <c r="K758" s="29" t="s">
        <v>2395</v>
      </c>
      <c r="L758" s="29" t="s">
        <v>2396</v>
      </c>
      <c r="M758" s="29" t="s">
        <v>1619</v>
      </c>
      <c r="N758" s="29" t="s">
        <v>2397</v>
      </c>
      <c r="O758" s="29" t="s">
        <v>1621</v>
      </c>
      <c r="P758" s="29" t="s">
        <v>3526</v>
      </c>
      <c r="Q758" s="29" t="s">
        <v>1623</v>
      </c>
      <c r="R758" s="29" t="s">
        <v>3527</v>
      </c>
      <c r="S758" s="29" t="s">
        <v>3480</v>
      </c>
      <c r="T758" s="29" t="s">
        <v>3352</v>
      </c>
      <c r="U758" s="29" t="s">
        <v>790</v>
      </c>
      <c r="V758" s="29" t="s">
        <v>2639</v>
      </c>
      <c r="W758" s="35" t="s">
        <v>1628</v>
      </c>
      <c r="X758" s="35" t="s">
        <v>2399</v>
      </c>
      <c r="Y758" s="35" t="s">
        <v>1630</v>
      </c>
      <c r="Z758" s="35" t="s">
        <v>3481</v>
      </c>
      <c r="AA758" s="35" t="s">
        <v>2641</v>
      </c>
      <c r="AB758" s="29" t="s">
        <v>3482</v>
      </c>
      <c r="AC758" s="35" t="s">
        <v>1633</v>
      </c>
      <c r="AD758" s="35" t="s">
        <v>2642</v>
      </c>
      <c r="AE758" s="35" t="s">
        <v>2642</v>
      </c>
      <c r="AF758" s="35" t="s">
        <v>1635</v>
      </c>
      <c r="AG758" s="35" t="s">
        <v>1636</v>
      </c>
      <c r="AI758" s="35"/>
      <c r="AJ758" s="35" t="s">
        <v>1637</v>
      </c>
      <c r="AK758" s="35" t="s">
        <v>1672</v>
      </c>
      <c r="AL758" s="29" t="s">
        <v>2866</v>
      </c>
      <c r="AM758" s="35"/>
      <c r="AN758" s="35"/>
      <c r="AO758" s="35"/>
      <c r="AP758" s="35"/>
      <c r="AQ758" s="35"/>
      <c r="AS758" s="35"/>
      <c r="AU758" s="35"/>
      <c r="AW758" s="35"/>
      <c r="AY758" s="35"/>
      <c r="AZ758" s="35" t="s">
        <v>1642</v>
      </c>
      <c r="BA758" s="35"/>
      <c r="BB758" s="29" t="s">
        <v>2003</v>
      </c>
      <c r="BC758" s="29" t="s">
        <v>2347</v>
      </c>
      <c r="BD758" s="29" t="s">
        <v>2739</v>
      </c>
      <c r="BE758" s="29" t="s">
        <v>790</v>
      </c>
      <c r="BF758" s="29" t="s">
        <v>2048</v>
      </c>
      <c r="BG758" s="29" t="s">
        <v>4123</v>
      </c>
      <c r="BH758" s="29" t="s">
        <v>3529</v>
      </c>
      <c r="BI758" s="35"/>
      <c r="BJ758" s="35"/>
      <c r="BK758" s="29" t="str" cm="1">
        <f t="array" ref="BK758">_xlfn.UNIQUE(MID(BB758,16,14))</f>
        <v>U012UNA01UH100</v>
      </c>
    </row>
    <row r="759" spans="1:63" x14ac:dyDescent="0.3">
      <c r="A759" s="29" t="s">
        <v>3524</v>
      </c>
      <c r="B759" s="36" t="str">
        <f t="shared" si="55"/>
        <v>G01NHE01BQ001-QM24</v>
      </c>
      <c r="C759" s="33" t="s">
        <v>4124</v>
      </c>
      <c r="D759" s="34" t="str">
        <f t="shared" si="56"/>
        <v>ELY1 O2 TRT QUAL SV24 CB OFF/CLD</v>
      </c>
      <c r="E759" s="31">
        <f t="shared" si="57"/>
        <v>32</v>
      </c>
      <c r="F759" s="32" t="str">
        <f t="shared" si="58"/>
        <v>ELECTROLYSIS SYSTEM ELECTROLYSIS ARRAY 1 O2 TREATMENT O2 TREATMENT SYSTEM QUALITY MEASURING SYSTEMS H2 IN O2 MEASURING SYSTEM SOLENOID VALVE CHECK BACK OFF/CLOSED</v>
      </c>
      <c r="G759" s="29" t="s">
        <v>1614</v>
      </c>
      <c r="H759" s="29" t="s">
        <v>1615</v>
      </c>
      <c r="I759" s="29" t="str">
        <f t="shared" si="59"/>
        <v>01</v>
      </c>
      <c r="J759" s="29" t="s">
        <v>1616</v>
      </c>
      <c r="K759" s="29" t="s">
        <v>2395</v>
      </c>
      <c r="L759" s="29" t="s">
        <v>2396</v>
      </c>
      <c r="M759" s="29" t="s">
        <v>1619</v>
      </c>
      <c r="N759" s="29" t="s">
        <v>2397</v>
      </c>
      <c r="O759" s="29" t="s">
        <v>1621</v>
      </c>
      <c r="P759" s="29" t="s">
        <v>3526</v>
      </c>
      <c r="Q759" s="29" t="s">
        <v>1623</v>
      </c>
      <c r="R759" s="29" t="s">
        <v>3527</v>
      </c>
      <c r="S759" s="29" t="s">
        <v>3480</v>
      </c>
      <c r="T759" s="29" t="s">
        <v>3352</v>
      </c>
      <c r="U759" s="29" t="s">
        <v>363</v>
      </c>
      <c r="V759" s="29" t="s">
        <v>2645</v>
      </c>
      <c r="W759" s="35" t="s">
        <v>1628</v>
      </c>
      <c r="X759" s="35" t="s">
        <v>2399</v>
      </c>
      <c r="Y759" s="35" t="s">
        <v>1630</v>
      </c>
      <c r="Z759" s="35" t="s">
        <v>3481</v>
      </c>
      <c r="AA759" s="35" t="s">
        <v>2646</v>
      </c>
      <c r="AB759" s="29" t="s">
        <v>2653</v>
      </c>
      <c r="AC759" s="35" t="s">
        <v>1633</v>
      </c>
      <c r="AD759" s="35" t="s">
        <v>2642</v>
      </c>
      <c r="AE759" s="35" t="s">
        <v>2642</v>
      </c>
      <c r="AF759" s="35" t="s">
        <v>1635</v>
      </c>
      <c r="AG759" s="35" t="s">
        <v>1636</v>
      </c>
      <c r="AI759" s="35"/>
      <c r="AJ759" s="35" t="s">
        <v>1637</v>
      </c>
      <c r="AK759" s="35" t="s">
        <v>1672</v>
      </c>
      <c r="AL759" s="29" t="s">
        <v>2866</v>
      </c>
      <c r="AM759" s="35"/>
      <c r="AN759" s="35"/>
      <c r="AO759" s="35"/>
      <c r="AP759" s="35"/>
      <c r="AQ759" s="35"/>
      <c r="AS759" s="35"/>
      <c r="AU759" s="35"/>
      <c r="AW759" s="35"/>
      <c r="AY759" s="35"/>
      <c r="AZ759" s="35" t="s">
        <v>1642</v>
      </c>
      <c r="BA759" s="35"/>
      <c r="BB759" s="29" t="s">
        <v>2003</v>
      </c>
      <c r="BC759" s="29" t="s">
        <v>2347</v>
      </c>
      <c r="BD759" s="29" t="s">
        <v>3154</v>
      </c>
      <c r="BE759" s="29" t="s">
        <v>363</v>
      </c>
      <c r="BF759" s="29" t="s">
        <v>2051</v>
      </c>
      <c r="BG759" s="29" t="s">
        <v>4123</v>
      </c>
      <c r="BH759" s="29" t="s">
        <v>3529</v>
      </c>
      <c r="BI759" s="35"/>
      <c r="BJ759" s="35"/>
      <c r="BK759" s="29" t="str" cm="1">
        <f t="array" ref="BK759">_xlfn.UNIQUE(MID(BB759,16,14))</f>
        <v>U012UNA01UH100</v>
      </c>
    </row>
    <row r="760" spans="1:63" hidden="1" x14ac:dyDescent="0.3">
      <c r="A760" s="29" t="s">
        <v>3524</v>
      </c>
      <c r="B760" s="36" t="str">
        <f t="shared" si="55"/>
        <v>G01NHE01BQ001-QM24</v>
      </c>
      <c r="C760" s="33" t="s">
        <v>4125</v>
      </c>
      <c r="D760" s="34" t="str">
        <f t="shared" si="56"/>
        <v>ELY1 O2 TRT QUAL SV24 CMD ON/OP</v>
      </c>
      <c r="E760" s="31">
        <f t="shared" si="57"/>
        <v>31</v>
      </c>
      <c r="F760" s="32" t="str">
        <f t="shared" si="58"/>
        <v>ELECTROLYSIS SYSTEM ELECTROLYSIS ARRAY 1 O2 TREATMENT O2 TREATMENT SYSTEM QUALITY MEASURING SYSTEMS H2 IN O2 MEASURING SYSTEM SOLENOID VALVE MANUAL COMMAND ON/OPEN</v>
      </c>
      <c r="G760" s="29" t="s">
        <v>1614</v>
      </c>
      <c r="H760" s="29" t="s">
        <v>1615</v>
      </c>
      <c r="I760" s="29" t="str">
        <f t="shared" si="59"/>
        <v>01</v>
      </c>
      <c r="J760" s="29" t="s">
        <v>1616</v>
      </c>
      <c r="K760" s="29" t="s">
        <v>2395</v>
      </c>
      <c r="L760" s="29" t="s">
        <v>2396</v>
      </c>
      <c r="M760" s="29" t="s">
        <v>1619</v>
      </c>
      <c r="N760" s="29" t="s">
        <v>2397</v>
      </c>
      <c r="O760" s="29" t="s">
        <v>1621</v>
      </c>
      <c r="P760" s="29" t="s">
        <v>3526</v>
      </c>
      <c r="Q760" s="29" t="s">
        <v>1623</v>
      </c>
      <c r="R760" s="29" t="s">
        <v>3527</v>
      </c>
      <c r="S760" s="29" t="s">
        <v>3480</v>
      </c>
      <c r="T760" s="29" t="s">
        <v>3352</v>
      </c>
      <c r="U760" s="29" t="s">
        <v>3337</v>
      </c>
      <c r="V760" s="29" t="s">
        <v>3338</v>
      </c>
      <c r="W760" s="35" t="s">
        <v>1628</v>
      </c>
      <c r="X760" s="35" t="s">
        <v>2399</v>
      </c>
      <c r="Y760" s="35" t="s">
        <v>1630</v>
      </c>
      <c r="Z760" s="35" t="s">
        <v>3481</v>
      </c>
      <c r="AA760" s="35" t="s">
        <v>3339</v>
      </c>
      <c r="AB760" s="29" t="s">
        <v>3490</v>
      </c>
      <c r="AC760" s="35" t="s">
        <v>1633</v>
      </c>
      <c r="AD760" s="35" t="s">
        <v>1634</v>
      </c>
      <c r="AE760" s="35" t="s">
        <v>1634</v>
      </c>
      <c r="AF760" s="35" t="s">
        <v>1635</v>
      </c>
      <c r="AG760" s="35" t="s">
        <v>2634</v>
      </c>
      <c r="AI760" s="35"/>
      <c r="AJ760" s="35" t="s">
        <v>3340</v>
      </c>
      <c r="AK760" s="35" t="s">
        <v>1672</v>
      </c>
      <c r="AL760" s="29" t="s">
        <v>3362</v>
      </c>
      <c r="AM760" s="35"/>
      <c r="AN760" s="35"/>
      <c r="AO760" s="35"/>
      <c r="AP760" s="35"/>
      <c r="AQ760" s="35"/>
      <c r="AS760" s="35"/>
      <c r="AU760" s="35"/>
      <c r="AW760" s="35"/>
      <c r="AY760" s="35"/>
      <c r="AZ760" s="35"/>
      <c r="BA760" s="35" t="s">
        <v>3139</v>
      </c>
      <c r="BB760" s="29" t="s">
        <v>4092</v>
      </c>
      <c r="BC760" s="29" t="s">
        <v>3342</v>
      </c>
      <c r="BD760" s="29" t="s">
        <v>3363</v>
      </c>
      <c r="BE760" s="29" t="s">
        <v>1805</v>
      </c>
      <c r="BF760" s="29" t="s">
        <v>1922</v>
      </c>
      <c r="BG760" s="29" t="s">
        <v>4126</v>
      </c>
      <c r="BH760" s="29" t="s">
        <v>3529</v>
      </c>
      <c r="BI760" s="35"/>
      <c r="BJ760" s="35"/>
      <c r="BK760" s="29" t="str" cm="1">
        <f t="array" ref="BK760">_xlfn.UNIQUE(MID(BB760,16,14))</f>
        <v>U012UNA01UH100</v>
      </c>
    </row>
    <row r="761" spans="1:63" x14ac:dyDescent="0.3">
      <c r="A761" s="29" t="s">
        <v>3524</v>
      </c>
      <c r="B761" s="36" t="str">
        <f t="shared" si="55"/>
        <v>G01NHE01BQ001-QM27</v>
      </c>
      <c r="C761" s="33" t="s">
        <v>4127</v>
      </c>
      <c r="D761" s="34" t="str">
        <f t="shared" si="56"/>
        <v>ELY1 O2 TRT QUAL SV27 CB MAN ON/OPN</v>
      </c>
      <c r="E761" s="31">
        <f t="shared" si="57"/>
        <v>35</v>
      </c>
      <c r="F761" s="32" t="str">
        <f t="shared" si="58"/>
        <v>ELECTROLYSIS SYSTEM ELECTROLYSIS ARRAY 1 O2 TREATMENT O2 TREATMENT SYSTEM QUALITY MEASURING SYSTEMS H2 IN O2 MEASURING SYSTEM 3-WAY VALVE - CAL-GAS MANUAL COMMAND ON/OPEN</v>
      </c>
      <c r="G761" s="29" t="s">
        <v>1614</v>
      </c>
      <c r="H761" s="29" t="s">
        <v>1615</v>
      </c>
      <c r="I761" s="29" t="str">
        <f t="shared" si="59"/>
        <v>01</v>
      </c>
      <c r="J761" s="29" t="s">
        <v>1616</v>
      </c>
      <c r="K761" s="29" t="s">
        <v>2395</v>
      </c>
      <c r="L761" s="29" t="s">
        <v>2396</v>
      </c>
      <c r="M761" s="29" t="s">
        <v>1619</v>
      </c>
      <c r="N761" s="29" t="s">
        <v>2397</v>
      </c>
      <c r="O761" s="29" t="s">
        <v>1621</v>
      </c>
      <c r="P761" s="29" t="s">
        <v>3526</v>
      </c>
      <c r="Q761" s="29" t="s">
        <v>1623</v>
      </c>
      <c r="R761" s="29" t="s">
        <v>3527</v>
      </c>
      <c r="S761" s="29" t="s">
        <v>3502</v>
      </c>
      <c r="T761" s="29" t="s">
        <v>3456</v>
      </c>
      <c r="U761" s="29" t="s">
        <v>3457</v>
      </c>
      <c r="V761" s="29" t="s">
        <v>3338</v>
      </c>
      <c r="W761" s="35" t="s">
        <v>1628</v>
      </c>
      <c r="X761" s="35" t="s">
        <v>2399</v>
      </c>
      <c r="Y761" s="35" t="s">
        <v>1630</v>
      </c>
      <c r="Z761" s="35" t="s">
        <v>3503</v>
      </c>
      <c r="AA761" s="35" t="s">
        <v>3459</v>
      </c>
      <c r="AB761" s="29" t="s">
        <v>3504</v>
      </c>
      <c r="AC761" s="35" t="s">
        <v>1633</v>
      </c>
      <c r="AD761" s="35" t="s">
        <v>1634</v>
      </c>
      <c r="AE761" s="35" t="s">
        <v>1634</v>
      </c>
      <c r="AF761" s="35" t="s">
        <v>1635</v>
      </c>
      <c r="AG761" s="35" t="s">
        <v>1728</v>
      </c>
      <c r="AI761" s="35"/>
      <c r="AJ761" s="35" t="s">
        <v>1637</v>
      </c>
      <c r="AK761" s="35" t="s">
        <v>1672</v>
      </c>
      <c r="AL761" s="29" t="s">
        <v>2954</v>
      </c>
      <c r="AM761" s="35"/>
      <c r="AN761" s="35"/>
      <c r="AO761" s="35"/>
      <c r="AP761" s="35"/>
      <c r="AQ761" s="35"/>
      <c r="AS761" s="35"/>
      <c r="AU761" s="35"/>
      <c r="AW761" s="35"/>
      <c r="AY761" s="35"/>
      <c r="AZ761" s="35"/>
      <c r="BA761" s="35"/>
      <c r="BB761" s="29" t="s">
        <v>2003</v>
      </c>
      <c r="BC761" s="29" t="s">
        <v>2347</v>
      </c>
      <c r="BD761" s="29" t="s">
        <v>3461</v>
      </c>
      <c r="BE761" s="29" t="s">
        <v>1805</v>
      </c>
      <c r="BF761" s="29" t="s">
        <v>2016</v>
      </c>
      <c r="BG761" s="29" t="s">
        <v>4128</v>
      </c>
      <c r="BH761" s="29" t="s">
        <v>3529</v>
      </c>
      <c r="BI761" s="35"/>
      <c r="BJ761" s="35"/>
      <c r="BK761" s="29" t="str" cm="1">
        <f t="array" ref="BK761">_xlfn.UNIQUE(MID(BB761,16,14))</f>
        <v>U012UNA01UH100</v>
      </c>
    </row>
    <row r="762" spans="1:63" x14ac:dyDescent="0.3">
      <c r="A762" s="29" t="s">
        <v>3524</v>
      </c>
      <c r="B762" s="36" t="str">
        <f t="shared" si="55"/>
        <v>G01NHE01BQ001-QN22</v>
      </c>
      <c r="C762" s="33" t="s">
        <v>4129</v>
      </c>
      <c r="D762" s="34" t="str">
        <f t="shared" si="56"/>
        <v>ELY1 O2 TRT QUAL PRES22 CB ON/OPN/MAX1</v>
      </c>
      <c r="E762" s="31">
        <f t="shared" si="57"/>
        <v>38</v>
      </c>
      <c r="F762" s="32" t="str">
        <f t="shared" si="58"/>
        <v>ELECTROLYSIS SYSTEM ELECTROLYSIS ARRAY 1 O2 TREATMENT O2 TREATMENT SYSTEM QUALITY MEASURING SYSTEMS H2 IN O2 MEASURING SYSTEM PRESSURE GAUGE WITH PRESSURE SWITCH CHECK BACK ON/OPEN // LIMIT VALUE &gt;MAX 1</v>
      </c>
      <c r="G762" s="29" t="s">
        <v>1614</v>
      </c>
      <c r="H762" s="29" t="s">
        <v>1615</v>
      </c>
      <c r="I762" s="29" t="str">
        <f t="shared" si="59"/>
        <v>01</v>
      </c>
      <c r="J762" s="29" t="s">
        <v>1616</v>
      </c>
      <c r="K762" s="29" t="s">
        <v>2395</v>
      </c>
      <c r="L762" s="29" t="s">
        <v>2396</v>
      </c>
      <c r="M762" s="29" t="s">
        <v>1619</v>
      </c>
      <c r="N762" s="29" t="s">
        <v>2397</v>
      </c>
      <c r="O762" s="29" t="s">
        <v>1621</v>
      </c>
      <c r="P762" s="29" t="s">
        <v>3526</v>
      </c>
      <c r="Q762" s="29" t="s">
        <v>1623</v>
      </c>
      <c r="R762" s="29" t="s">
        <v>3527</v>
      </c>
      <c r="S762" s="29" t="s">
        <v>3507</v>
      </c>
      <c r="T762" s="29" t="s">
        <v>3508</v>
      </c>
      <c r="U762" s="29" t="s">
        <v>573</v>
      </c>
      <c r="V762" s="29" t="s">
        <v>2344</v>
      </c>
      <c r="W762" s="35" t="s">
        <v>1628</v>
      </c>
      <c r="X762" s="35" t="s">
        <v>2399</v>
      </c>
      <c r="Y762" s="35" t="s">
        <v>1630</v>
      </c>
      <c r="Z762" s="35" t="s">
        <v>3509</v>
      </c>
      <c r="AA762" s="35" t="s">
        <v>2345</v>
      </c>
      <c r="AB762" s="29" t="s">
        <v>3507</v>
      </c>
      <c r="AC762" s="35" t="s">
        <v>1633</v>
      </c>
      <c r="AD762" s="35" t="s">
        <v>2642</v>
      </c>
      <c r="AE762" s="35" t="s">
        <v>2642</v>
      </c>
      <c r="AF762" s="35" t="s">
        <v>1635</v>
      </c>
      <c r="AG762" s="35" t="s">
        <v>1728</v>
      </c>
      <c r="AI762" s="35"/>
      <c r="AJ762" s="35" t="s">
        <v>1637</v>
      </c>
      <c r="AK762" s="35" t="s">
        <v>1672</v>
      </c>
      <c r="AL762" s="29" t="s">
        <v>3510</v>
      </c>
      <c r="AM762" s="35"/>
      <c r="AN762" s="35"/>
      <c r="AO762" s="35"/>
      <c r="AP762" s="35"/>
      <c r="AQ762" s="35"/>
      <c r="AS762" s="35"/>
      <c r="AU762" s="35"/>
      <c r="AV762" s="29" t="s">
        <v>2387</v>
      </c>
      <c r="AW762" s="35"/>
      <c r="AY762" s="35"/>
      <c r="AZ762" s="35"/>
      <c r="BA762" s="35"/>
      <c r="BB762" s="29" t="s">
        <v>3448</v>
      </c>
      <c r="BC762" s="29" t="s">
        <v>2347</v>
      </c>
      <c r="BD762" s="29" t="s">
        <v>2348</v>
      </c>
      <c r="BE762" s="29" t="s">
        <v>1805</v>
      </c>
      <c r="BF762" s="29" t="s">
        <v>2388</v>
      </c>
      <c r="BG762" s="29" t="s">
        <v>4130</v>
      </c>
      <c r="BH762" s="29" t="s">
        <v>3529</v>
      </c>
      <c r="BI762" s="35"/>
      <c r="BJ762" s="35"/>
      <c r="BK762" s="29" t="str" cm="1">
        <f t="array" ref="BK762">_xlfn.UNIQUE(MID(BB762,16,14))</f>
        <v>U012UNA01UH100</v>
      </c>
    </row>
    <row r="763" spans="1:63" x14ac:dyDescent="0.3">
      <c r="A763" s="29" t="s">
        <v>3524</v>
      </c>
      <c r="B763" s="36" t="str">
        <f t="shared" si="55"/>
        <v>G01NHE01BQ001-SF01</v>
      </c>
      <c r="C763" s="33" t="s">
        <v>4131</v>
      </c>
      <c r="D763" s="34" t="str">
        <f t="shared" si="56"/>
        <v>ELY1 O2 TRT QUAL SW OFF CB MAN ON/OPN</v>
      </c>
      <c r="E763" s="31">
        <f t="shared" si="57"/>
        <v>37</v>
      </c>
      <c r="F763" s="32" t="str">
        <f t="shared" si="58"/>
        <v>ELECTROLYSIS SYSTEM ELECTROLYSIS ARRAY 1 O2 TREATMENT O2 TREATMENT SYSTEM QUALITY MEASURING SYSTEMS H2 IN O2 MEASURING SYSTEM KEY-SWITCH - MAINTENANCE ON/OFF MANUAL COMMAND ON/OPEN</v>
      </c>
      <c r="G763" s="29" t="s">
        <v>1614</v>
      </c>
      <c r="H763" s="29" t="s">
        <v>1615</v>
      </c>
      <c r="I763" s="29" t="str">
        <f t="shared" si="59"/>
        <v>01</v>
      </c>
      <c r="J763" s="29" t="s">
        <v>1616</v>
      </c>
      <c r="K763" s="29" t="s">
        <v>2395</v>
      </c>
      <c r="L763" s="29" t="s">
        <v>2396</v>
      </c>
      <c r="M763" s="29" t="s">
        <v>1619</v>
      </c>
      <c r="N763" s="29" t="s">
        <v>2397</v>
      </c>
      <c r="O763" s="29" t="s">
        <v>1621</v>
      </c>
      <c r="P763" s="29" t="s">
        <v>3526</v>
      </c>
      <c r="Q763" s="29" t="s">
        <v>1623</v>
      </c>
      <c r="R763" s="29" t="s">
        <v>3527</v>
      </c>
      <c r="S763" s="29" t="s">
        <v>2862</v>
      </c>
      <c r="T763" s="29" t="s">
        <v>3521</v>
      </c>
      <c r="U763" s="29" t="s">
        <v>3457</v>
      </c>
      <c r="V763" s="29" t="s">
        <v>3338</v>
      </c>
      <c r="W763" s="35" t="s">
        <v>1628</v>
      </c>
      <c r="X763" s="35" t="s">
        <v>2399</v>
      </c>
      <c r="Y763" s="35" t="s">
        <v>1630</v>
      </c>
      <c r="Z763" s="35" t="s">
        <v>2865</v>
      </c>
      <c r="AA763" s="35" t="s">
        <v>3459</v>
      </c>
      <c r="AB763" s="29" t="s">
        <v>2653</v>
      </c>
      <c r="AC763" s="35" t="s">
        <v>1633</v>
      </c>
      <c r="AD763" s="35" t="s">
        <v>2642</v>
      </c>
      <c r="AE763" s="35" t="s">
        <v>2642</v>
      </c>
      <c r="AF763" s="35" t="s">
        <v>1635</v>
      </c>
      <c r="AG763" s="35" t="s">
        <v>1728</v>
      </c>
      <c r="AI763" s="35"/>
      <c r="AJ763" s="35" t="s">
        <v>1637</v>
      </c>
      <c r="AK763" s="35" t="s">
        <v>1672</v>
      </c>
      <c r="AL763" s="29" t="s">
        <v>3522</v>
      </c>
      <c r="AM763" s="35"/>
      <c r="AN763" s="35"/>
      <c r="AO763" s="35"/>
      <c r="AP763" s="35"/>
      <c r="AQ763" s="35"/>
      <c r="AS763" s="35"/>
      <c r="AU763" s="35"/>
      <c r="AW763" s="35"/>
      <c r="AY763" s="35"/>
      <c r="AZ763" s="35"/>
      <c r="BA763" s="35"/>
      <c r="BB763" s="29" t="s">
        <v>2003</v>
      </c>
      <c r="BC763" s="29" t="s">
        <v>2347</v>
      </c>
      <c r="BD763" s="29" t="s">
        <v>3461</v>
      </c>
      <c r="BE763" s="29" t="s">
        <v>1805</v>
      </c>
      <c r="BF763" s="29" t="s">
        <v>2341</v>
      </c>
      <c r="BG763" s="29" t="s">
        <v>4132</v>
      </c>
      <c r="BH763" s="29" t="s">
        <v>3529</v>
      </c>
      <c r="BI763" s="35"/>
      <c r="BJ763" s="35"/>
      <c r="BK763" s="29" t="str" cm="1">
        <f t="array" ref="BK763">_xlfn.UNIQUE(MID(BB763,16,14))</f>
        <v>U012UNA01UH100</v>
      </c>
    </row>
    <row r="764" spans="1:63" hidden="1" x14ac:dyDescent="0.3">
      <c r="A764" s="29" t="s">
        <v>2427</v>
      </c>
      <c r="B764" s="36" t="str">
        <f t="shared" si="55"/>
        <v>G01NHG01QM001-QM01</v>
      </c>
      <c r="C764" s="33" t="s">
        <v>4133</v>
      </c>
      <c r="D764" s="34" t="str">
        <f t="shared" si="56"/>
        <v>ELY1 PROC WTR SUP DIST SV1 CMD ON/OP</v>
      </c>
      <c r="E764" s="31">
        <f t="shared" si="57"/>
        <v>36</v>
      </c>
      <c r="F764" s="32" t="str">
        <f t="shared" si="58"/>
        <v>ELECTROLYSIS SYSTEM ELECTROLYSIS ARRAY 1 WATER SUPPLY SYSTEMS PROCESS WATER SUPPLY SYSTEM PROCESS WATER DISTRIBUTION SYSTEMS PROCESS WATER DISTRIBUTION SYSTEM 2-WAY SHUT-OFF VALVE - DEMIN WATER SUPPLY MANUAL COMMAND ON/OPEN</v>
      </c>
      <c r="G764" s="29" t="s">
        <v>1614</v>
      </c>
      <c r="H764" s="29" t="s">
        <v>1615</v>
      </c>
      <c r="I764" s="29" t="str">
        <f t="shared" si="59"/>
        <v>01</v>
      </c>
      <c r="J764" s="29" t="s">
        <v>1616</v>
      </c>
      <c r="K764" s="29" t="s">
        <v>2429</v>
      </c>
      <c r="L764" s="29" t="s">
        <v>2430</v>
      </c>
      <c r="M764" s="29" t="s">
        <v>1619</v>
      </c>
      <c r="N764" s="29" t="s">
        <v>2431</v>
      </c>
      <c r="O764" s="29" t="s">
        <v>1811</v>
      </c>
      <c r="P764" s="29" t="s">
        <v>2432</v>
      </c>
      <c r="Q764" s="29" t="s">
        <v>1623</v>
      </c>
      <c r="R764" s="29" t="s">
        <v>2433</v>
      </c>
      <c r="S764" s="29" t="s">
        <v>3471</v>
      </c>
      <c r="T764" s="29" t="s">
        <v>3577</v>
      </c>
      <c r="U764" s="29" t="s">
        <v>3337</v>
      </c>
      <c r="V764" s="29" t="s">
        <v>3338</v>
      </c>
      <c r="W764" s="35" t="s">
        <v>1628</v>
      </c>
      <c r="X764" s="35" t="s">
        <v>2435</v>
      </c>
      <c r="Y764" s="35" t="s">
        <v>1816</v>
      </c>
      <c r="Z764" s="35" t="s">
        <v>3473</v>
      </c>
      <c r="AA764" s="35" t="s">
        <v>3339</v>
      </c>
      <c r="AB764" s="29" t="s">
        <v>4115</v>
      </c>
      <c r="AC764" s="35" t="s">
        <v>1633</v>
      </c>
      <c r="AD764" s="35" t="s">
        <v>1634</v>
      </c>
      <c r="AE764" s="35" t="s">
        <v>1634</v>
      </c>
      <c r="AF764" s="35" t="s">
        <v>1635</v>
      </c>
      <c r="AG764" s="35" t="s">
        <v>2634</v>
      </c>
      <c r="AI764" s="35"/>
      <c r="AJ764" s="35" t="s">
        <v>3340</v>
      </c>
      <c r="AK764" s="35" t="s">
        <v>1672</v>
      </c>
      <c r="AL764" s="29" t="s">
        <v>3362</v>
      </c>
      <c r="AM764" s="35"/>
      <c r="AN764" s="35"/>
      <c r="AO764" s="35"/>
      <c r="AP764" s="35"/>
      <c r="AQ764" s="35"/>
      <c r="AS764" s="35"/>
      <c r="AU764" s="35"/>
      <c r="AW764" s="35"/>
      <c r="AY764" s="35"/>
      <c r="AZ764" s="35"/>
      <c r="BA764" s="35"/>
      <c r="BB764" s="29" t="s">
        <v>4092</v>
      </c>
      <c r="BC764" s="29" t="s">
        <v>3342</v>
      </c>
      <c r="BD764" s="29" t="s">
        <v>3363</v>
      </c>
      <c r="BE764" s="29" t="s">
        <v>1805</v>
      </c>
      <c r="BF764" s="29" t="s">
        <v>1931</v>
      </c>
      <c r="BG764" s="29" t="s">
        <v>3578</v>
      </c>
      <c r="BH764" s="29" t="s">
        <v>2335</v>
      </c>
      <c r="BI764" s="35"/>
      <c r="BJ764" s="35"/>
      <c r="BK764" s="29" t="str" cm="1">
        <f t="array" ref="BK764">_xlfn.UNIQUE(MID(BB764,16,14))</f>
        <v>U012UNA01UH100</v>
      </c>
    </row>
    <row r="765" spans="1:63" hidden="1" x14ac:dyDescent="0.3">
      <c r="A765" s="29" t="s">
        <v>2437</v>
      </c>
      <c r="B765" s="36" t="str">
        <f t="shared" si="55"/>
        <v>G01NHH01HP001-GP01</v>
      </c>
      <c r="C765" s="33" t="s">
        <v>4134</v>
      </c>
      <c r="D765" s="34" t="str">
        <f t="shared" si="56"/>
        <v>ELY1 PROC WTR REF SYS 1 PMP1 INTLK1</v>
      </c>
      <c r="E765" s="31">
        <f t="shared" si="57"/>
        <v>35</v>
      </c>
      <c r="F765" s="32" t="str">
        <f t="shared" si="58"/>
        <v>ELECTROLYSIS SYSTEM ELECTROLYSIS ARRAY 1 PROCESS WATER REFINEMENT PROCESS WATER REFINEMENT LOOP PROCESS WATER REFINEMENT UNIT PROCESS WATER REFINEMENT UNIT 1 WATER REFINEMENT CIRCULATION PUMP SIGNAL INTERLOCK</v>
      </c>
      <c r="G765" s="29" t="s">
        <v>1614</v>
      </c>
      <c r="H765" s="29" t="s">
        <v>1615</v>
      </c>
      <c r="I765" s="29" t="str">
        <f t="shared" si="59"/>
        <v>01</v>
      </c>
      <c r="J765" s="29" t="s">
        <v>1616</v>
      </c>
      <c r="K765" s="29" t="s">
        <v>2439</v>
      </c>
      <c r="L765" s="29" t="s">
        <v>2440</v>
      </c>
      <c r="M765" s="29" t="s">
        <v>1619</v>
      </c>
      <c r="N765" s="29" t="s">
        <v>2441</v>
      </c>
      <c r="O765" s="29" t="s">
        <v>2376</v>
      </c>
      <c r="P765" s="29" t="s">
        <v>2442</v>
      </c>
      <c r="Q765" s="29" t="s">
        <v>1623</v>
      </c>
      <c r="R765" s="29" t="s">
        <v>2443</v>
      </c>
      <c r="S765" s="29" t="s">
        <v>2695</v>
      </c>
      <c r="T765" s="29" t="s">
        <v>4135</v>
      </c>
      <c r="U765" s="29" t="s">
        <v>4136</v>
      </c>
      <c r="V765" s="29" t="s">
        <v>4137</v>
      </c>
      <c r="W765" s="35" t="s">
        <v>1628</v>
      </c>
      <c r="X765" s="35" t="s">
        <v>2445</v>
      </c>
      <c r="Y765" s="35" t="s">
        <v>2380</v>
      </c>
      <c r="Z765" s="35" t="s">
        <v>1683</v>
      </c>
      <c r="AA765" s="35" t="s">
        <v>4138</v>
      </c>
      <c r="AB765" s="29" t="s">
        <v>1667</v>
      </c>
      <c r="AC765" s="35" t="s">
        <v>1633</v>
      </c>
      <c r="AD765" s="35" t="s">
        <v>1634</v>
      </c>
      <c r="AE765" s="35" t="s">
        <v>1634</v>
      </c>
      <c r="AF765" s="35" t="s">
        <v>1635</v>
      </c>
      <c r="AG765" s="35" t="s">
        <v>1728</v>
      </c>
      <c r="AI765" s="35"/>
      <c r="AJ765" s="35" t="s">
        <v>3340</v>
      </c>
      <c r="AK765" s="35" t="s">
        <v>1672</v>
      </c>
      <c r="AL765" s="29" t="s">
        <v>3900</v>
      </c>
      <c r="AM765" s="35"/>
      <c r="AN765" s="35"/>
      <c r="AO765" s="35"/>
      <c r="AP765" s="35"/>
      <c r="AQ765" s="35"/>
      <c r="AS765" s="35"/>
      <c r="AU765" s="35"/>
      <c r="AW765" s="35"/>
      <c r="AY765" s="35"/>
      <c r="AZ765" s="35"/>
      <c r="BA765" s="35"/>
      <c r="BB765" s="29" t="s">
        <v>4092</v>
      </c>
      <c r="BC765" s="29" t="s">
        <v>3342</v>
      </c>
      <c r="BD765" s="29" t="s">
        <v>4139</v>
      </c>
      <c r="BE765" s="29" t="s">
        <v>1805</v>
      </c>
      <c r="BF765" s="29" t="s">
        <v>2035</v>
      </c>
      <c r="BG765" s="29" t="s">
        <v>4140</v>
      </c>
      <c r="BH765" s="29" t="s">
        <v>2450</v>
      </c>
      <c r="BI765" s="35"/>
      <c r="BJ765" s="35"/>
      <c r="BK765" s="29" t="str" cm="1">
        <f t="array" ref="BK765">_xlfn.UNIQUE(MID(BB765,16,14))</f>
        <v>U012UNA01UH100</v>
      </c>
    </row>
    <row r="766" spans="1:63" hidden="1" x14ac:dyDescent="0.3">
      <c r="A766" s="29" t="s">
        <v>2437</v>
      </c>
      <c r="B766" s="36" t="str">
        <f t="shared" si="55"/>
        <v>G01NHH01HP001-GP01</v>
      </c>
      <c r="C766" s="33" t="s">
        <v>4141</v>
      </c>
      <c r="D766" s="34" t="str">
        <f t="shared" si="56"/>
        <v>ELY1 PROC WTR REF SYS 1 PMP1 CMD ON/OP</v>
      </c>
      <c r="E766" s="31">
        <f t="shared" si="57"/>
        <v>38</v>
      </c>
      <c r="F766" s="32" t="str">
        <f t="shared" si="58"/>
        <v>ELECTROLYSIS SYSTEM ELECTROLYSIS ARRAY 1 PROCESS WATER REFINEMENT PROCESS WATER REFINEMENT LOOP PROCESS WATER REFINEMENT UNIT PROCESS WATER REFINEMENT UNIT 1 WATER REFINEMENT CIRCULATION PUMP MANUAL COMMAND ON/OPEN</v>
      </c>
      <c r="G766" s="29" t="s">
        <v>1614</v>
      </c>
      <c r="H766" s="29" t="s">
        <v>1615</v>
      </c>
      <c r="I766" s="29" t="str">
        <f t="shared" si="59"/>
        <v>01</v>
      </c>
      <c r="J766" s="29" t="s">
        <v>1616</v>
      </c>
      <c r="K766" s="29" t="s">
        <v>2439</v>
      </c>
      <c r="L766" s="29" t="s">
        <v>2440</v>
      </c>
      <c r="M766" s="29" t="s">
        <v>1619</v>
      </c>
      <c r="N766" s="29" t="s">
        <v>2441</v>
      </c>
      <c r="O766" s="29" t="s">
        <v>2376</v>
      </c>
      <c r="P766" s="29" t="s">
        <v>2442</v>
      </c>
      <c r="Q766" s="29" t="s">
        <v>1623</v>
      </c>
      <c r="R766" s="29" t="s">
        <v>2443</v>
      </c>
      <c r="S766" s="29" t="s">
        <v>2695</v>
      </c>
      <c r="T766" s="29" t="s">
        <v>4135</v>
      </c>
      <c r="U766" s="29" t="s">
        <v>3337</v>
      </c>
      <c r="V766" s="29" t="s">
        <v>3338</v>
      </c>
      <c r="W766" s="35" t="s">
        <v>1628</v>
      </c>
      <c r="X766" s="35" t="s">
        <v>2445</v>
      </c>
      <c r="Y766" s="35" t="s">
        <v>2380</v>
      </c>
      <c r="Z766" s="35" t="s">
        <v>1683</v>
      </c>
      <c r="AA766" s="35" t="s">
        <v>3339</v>
      </c>
      <c r="AB766" s="29" t="s">
        <v>1667</v>
      </c>
      <c r="AC766" s="35" t="s">
        <v>1633</v>
      </c>
      <c r="AD766" s="35" t="s">
        <v>1634</v>
      </c>
      <c r="AE766" s="35" t="s">
        <v>1634</v>
      </c>
      <c r="AF766" s="35" t="s">
        <v>1635</v>
      </c>
      <c r="AG766" s="35" t="s">
        <v>1636</v>
      </c>
      <c r="AI766" s="35"/>
      <c r="AJ766" s="35" t="s">
        <v>3340</v>
      </c>
      <c r="AK766" s="35" t="s">
        <v>1672</v>
      </c>
      <c r="AL766" s="29" t="s">
        <v>3900</v>
      </c>
      <c r="AM766" s="35"/>
      <c r="AN766" s="35"/>
      <c r="AO766" s="35"/>
      <c r="AP766" s="35"/>
      <c r="AQ766" s="35"/>
      <c r="AS766" s="35"/>
      <c r="AU766" s="35"/>
      <c r="AW766" s="35"/>
      <c r="AY766" s="35"/>
      <c r="AZ766" s="35"/>
      <c r="BA766" s="35"/>
      <c r="BB766" s="29" t="s">
        <v>4092</v>
      </c>
      <c r="BC766" s="29" t="s">
        <v>3342</v>
      </c>
      <c r="BD766" s="29" t="s">
        <v>4142</v>
      </c>
      <c r="BE766" s="29" t="s">
        <v>1646</v>
      </c>
      <c r="BF766" s="29" t="s">
        <v>1936</v>
      </c>
      <c r="BG766" s="29" t="s">
        <v>4140</v>
      </c>
      <c r="BH766" s="29" t="s">
        <v>2450</v>
      </c>
      <c r="BI766" s="35"/>
      <c r="BJ766" s="35"/>
      <c r="BK766" s="29" t="str" cm="1">
        <f t="array" ref="BK766">_xlfn.UNIQUE(MID(BB766,16,14))</f>
        <v>U012UNA01UH100</v>
      </c>
    </row>
    <row r="767" spans="1:63" hidden="1" x14ac:dyDescent="0.3">
      <c r="A767" s="29" t="s">
        <v>2504</v>
      </c>
      <c r="B767" s="36" t="str">
        <f t="shared" si="55"/>
        <v>G01NHX01QN001-QM11</v>
      </c>
      <c r="C767" s="33" t="s">
        <v>4143</v>
      </c>
      <c r="D767" s="34" t="str">
        <f t="shared" si="56"/>
        <v>ELY1 N2 DIST CTRL H2 SV11 CMD OFF/CL</v>
      </c>
      <c r="E767" s="31">
        <f t="shared" si="57"/>
        <v>36</v>
      </c>
      <c r="F767" s="32" t="str">
        <f t="shared" si="58"/>
        <v>ELECTROLYSIS SYSTEM ELECTROLYSIS ARRAY 1 AUXILIARY SYSTEMS NITROGEN DISTRIBUTION NITROGEN REGULATION SYSTEMS NITROGEN REGULATION H2 BALL VALVE - NITROGEN H2 BYPASS MANUAL COMMAND OFF/CLOSE</v>
      </c>
      <c r="G767" s="29" t="s">
        <v>1614</v>
      </c>
      <c r="H767" s="29" t="s">
        <v>1615</v>
      </c>
      <c r="I767" s="29" t="str">
        <f t="shared" si="59"/>
        <v>01</v>
      </c>
      <c r="J767" s="29" t="s">
        <v>1616</v>
      </c>
      <c r="K767" s="29" t="s">
        <v>2506</v>
      </c>
      <c r="L767" s="29" t="s">
        <v>2507</v>
      </c>
      <c r="M767" s="29" t="s">
        <v>1619</v>
      </c>
      <c r="N767" s="29" t="s">
        <v>2508</v>
      </c>
      <c r="O767" s="29" t="s">
        <v>2509</v>
      </c>
      <c r="P767" s="29" t="s">
        <v>2510</v>
      </c>
      <c r="Q767" s="29" t="s">
        <v>1623</v>
      </c>
      <c r="R767" s="29" t="s">
        <v>2511</v>
      </c>
      <c r="S767" s="29" t="s">
        <v>2637</v>
      </c>
      <c r="T767" s="29" t="s">
        <v>3584</v>
      </c>
      <c r="U767" s="29" t="s">
        <v>3918</v>
      </c>
      <c r="V767" s="29" t="s">
        <v>3588</v>
      </c>
      <c r="W767" s="35" t="s">
        <v>1628</v>
      </c>
      <c r="X767" s="35" t="s">
        <v>2512</v>
      </c>
      <c r="Y767" s="35" t="s">
        <v>2513</v>
      </c>
      <c r="Z767" s="35" t="s">
        <v>2640</v>
      </c>
      <c r="AA767" s="35" t="s">
        <v>3919</v>
      </c>
      <c r="AB767" s="29" t="s">
        <v>3361</v>
      </c>
      <c r="AC767" s="35" t="s">
        <v>1633</v>
      </c>
      <c r="AD767" s="35" t="s">
        <v>1634</v>
      </c>
      <c r="AE767" s="35" t="s">
        <v>1634</v>
      </c>
      <c r="AF767" s="35" t="s">
        <v>1635</v>
      </c>
      <c r="AG767" s="35" t="s">
        <v>1636</v>
      </c>
      <c r="AI767" s="35"/>
      <c r="AJ767" s="35" t="s">
        <v>3340</v>
      </c>
      <c r="AK767" s="35" t="s">
        <v>1638</v>
      </c>
      <c r="AL767" s="29" t="s">
        <v>3964</v>
      </c>
      <c r="AM767" s="35"/>
      <c r="AN767" s="35"/>
      <c r="AO767" s="35"/>
      <c r="AP767" s="35"/>
      <c r="AQ767" s="35"/>
      <c r="AS767" s="35"/>
      <c r="AU767" s="35"/>
      <c r="AW767" s="35"/>
      <c r="AY767" s="35"/>
      <c r="AZ767" s="35" t="s">
        <v>1642</v>
      </c>
      <c r="BA767" s="35" t="s">
        <v>2002</v>
      </c>
      <c r="BB767" s="29" t="s">
        <v>3448</v>
      </c>
      <c r="BC767" s="29" t="s">
        <v>3914</v>
      </c>
      <c r="BD767" s="29" t="s">
        <v>4144</v>
      </c>
      <c r="BE767" s="29" t="s">
        <v>4145</v>
      </c>
      <c r="BF767" s="29" t="s">
        <v>1619</v>
      </c>
      <c r="BG767" s="29" t="s">
        <v>3585</v>
      </c>
      <c r="BH767" s="29" t="s">
        <v>2515</v>
      </c>
      <c r="BI767" s="35"/>
      <c r="BJ767" s="35"/>
      <c r="BK767" s="29" t="str" cm="1">
        <f t="array" ref="BK767">_xlfn.UNIQUE(MID(BB767,16,14))</f>
        <v>U012UNA01UH100</v>
      </c>
    </row>
    <row r="768" spans="1:63" hidden="1" x14ac:dyDescent="0.3">
      <c r="A768" s="29" t="s">
        <v>2504</v>
      </c>
      <c r="B768" s="36" t="str">
        <f t="shared" si="55"/>
        <v>G01NHX01QN001-QM21</v>
      </c>
      <c r="C768" s="33" t="s">
        <v>4146</v>
      </c>
      <c r="D768" s="34" t="str">
        <f t="shared" si="56"/>
        <v>ELY1 N2 DIST CTRL H2 SV21 CMD OFF/CL</v>
      </c>
      <c r="E768" s="31">
        <f t="shared" si="57"/>
        <v>36</v>
      </c>
      <c r="F768" s="32" t="str">
        <f t="shared" si="58"/>
        <v>ELECTROLYSIS SYSTEM ELECTROLYSIS ARRAY 1 AUXILIARY SYSTEMS NITROGEN DISTRIBUTION NITROGEN REGULATION SYSTEMS NITROGEN REGULATION H2 BALL VALVE - NITROGEN H2 OUTLET MANUAL COMMAND OFF/CLOSE</v>
      </c>
      <c r="G768" s="29" t="s">
        <v>1614</v>
      </c>
      <c r="H768" s="29" t="s">
        <v>1615</v>
      </c>
      <c r="I768" s="29" t="str">
        <f t="shared" si="59"/>
        <v>01</v>
      </c>
      <c r="J768" s="29" t="s">
        <v>1616</v>
      </c>
      <c r="K768" s="29" t="s">
        <v>2506</v>
      </c>
      <c r="L768" s="29" t="s">
        <v>2507</v>
      </c>
      <c r="M768" s="29" t="s">
        <v>1619</v>
      </c>
      <c r="N768" s="29" t="s">
        <v>2508</v>
      </c>
      <c r="O768" s="29" t="s">
        <v>2509</v>
      </c>
      <c r="P768" s="29" t="s">
        <v>2510</v>
      </c>
      <c r="Q768" s="29" t="s">
        <v>1623</v>
      </c>
      <c r="R768" s="29" t="s">
        <v>2511</v>
      </c>
      <c r="S768" s="29" t="s">
        <v>3592</v>
      </c>
      <c r="T768" s="29" t="s">
        <v>3593</v>
      </c>
      <c r="U768" s="29" t="s">
        <v>3918</v>
      </c>
      <c r="V768" s="29" t="s">
        <v>3588</v>
      </c>
      <c r="W768" s="35" t="s">
        <v>1628</v>
      </c>
      <c r="X768" s="35" t="s">
        <v>2512</v>
      </c>
      <c r="Y768" s="35" t="s">
        <v>2513</v>
      </c>
      <c r="Z768" s="35" t="s">
        <v>3594</v>
      </c>
      <c r="AA768" s="35" t="s">
        <v>3919</v>
      </c>
      <c r="AB768" s="29" t="s">
        <v>4147</v>
      </c>
      <c r="AC768" s="35" t="s">
        <v>1633</v>
      </c>
      <c r="AD768" s="35" t="s">
        <v>1634</v>
      </c>
      <c r="AE768" s="35" t="s">
        <v>1634</v>
      </c>
      <c r="AF768" s="35" t="s">
        <v>1635</v>
      </c>
      <c r="AG768" s="35" t="s">
        <v>1636</v>
      </c>
      <c r="AI768" s="35"/>
      <c r="AJ768" s="35" t="s">
        <v>3340</v>
      </c>
      <c r="AK768" s="35" t="s">
        <v>1638</v>
      </c>
      <c r="AL768" s="29" t="s">
        <v>3964</v>
      </c>
      <c r="AM768" s="35"/>
      <c r="AN768" s="35"/>
      <c r="AO768" s="35"/>
      <c r="AP768" s="35"/>
      <c r="AQ768" s="35"/>
      <c r="AS768" s="35"/>
      <c r="AU768" s="35"/>
      <c r="AW768" s="35"/>
      <c r="AY768" s="35"/>
      <c r="AZ768" s="35" t="s">
        <v>1642</v>
      </c>
      <c r="BA768" s="35" t="s">
        <v>2002</v>
      </c>
      <c r="BB768" s="29" t="s">
        <v>3448</v>
      </c>
      <c r="BC768" s="29" t="s">
        <v>3914</v>
      </c>
      <c r="BD768" s="29" t="s">
        <v>4148</v>
      </c>
      <c r="BE768" s="29" t="s">
        <v>4149</v>
      </c>
      <c r="BF768" s="29" t="s">
        <v>1905</v>
      </c>
      <c r="BG768" s="29" t="s">
        <v>3596</v>
      </c>
      <c r="BH768" s="29" t="s">
        <v>2515</v>
      </c>
      <c r="BI768" s="35"/>
      <c r="BJ768" s="35"/>
      <c r="BK768" s="29" t="str" cm="1">
        <f t="array" ref="BK768">_xlfn.UNIQUE(MID(BB768,16,14))</f>
        <v>U012UNA01UH100</v>
      </c>
    </row>
    <row r="769" spans="1:63" hidden="1" x14ac:dyDescent="0.3">
      <c r="A769" s="29" t="s">
        <v>2529</v>
      </c>
      <c r="B769" s="36" t="str">
        <f t="shared" si="55"/>
        <v>G01NHX01QN002-QM11</v>
      </c>
      <c r="C769" s="33" t="s">
        <v>4150</v>
      </c>
      <c r="D769" s="34" t="str">
        <f t="shared" si="56"/>
        <v>ELY1 N2 DIST CTRL O2 SV11 CMD ON/OP</v>
      </c>
      <c r="E769" s="31">
        <f t="shared" si="57"/>
        <v>35</v>
      </c>
      <c r="F769" s="32" t="str">
        <f t="shared" si="58"/>
        <v>ELECTROLYSIS SYSTEM ELECTROLYSIS ARRAY 1 AUXILIARY SYSTEMS NITROGEN DISTRIBUTION NITROGEN REGULATION SYSTEMS NITROGEN REGULATION O2 BALL VALVE - NITROGEN O2 BYPASS MANUAL COMMAND ON/OPEN</v>
      </c>
      <c r="G769" s="29" t="s">
        <v>1614</v>
      </c>
      <c r="H769" s="29" t="s">
        <v>1615</v>
      </c>
      <c r="I769" s="29" t="str">
        <f t="shared" si="59"/>
        <v>01</v>
      </c>
      <c r="J769" s="29" t="s">
        <v>1616</v>
      </c>
      <c r="K769" s="29" t="s">
        <v>2506</v>
      </c>
      <c r="L769" s="29" t="s">
        <v>2507</v>
      </c>
      <c r="M769" s="29" t="s">
        <v>1619</v>
      </c>
      <c r="N769" s="29" t="s">
        <v>2508</v>
      </c>
      <c r="O769" s="29" t="s">
        <v>2509</v>
      </c>
      <c r="P769" s="29" t="s">
        <v>2510</v>
      </c>
      <c r="Q769" s="29" t="s">
        <v>1872</v>
      </c>
      <c r="R769" s="29" t="s">
        <v>2531</v>
      </c>
      <c r="S769" s="29" t="s">
        <v>2637</v>
      </c>
      <c r="T769" s="29" t="s">
        <v>3600</v>
      </c>
      <c r="U769" s="29" t="s">
        <v>3337</v>
      </c>
      <c r="V769" s="29" t="s">
        <v>3338</v>
      </c>
      <c r="W769" s="35" t="s">
        <v>1628</v>
      </c>
      <c r="X769" s="35" t="s">
        <v>2512</v>
      </c>
      <c r="Y769" s="35" t="s">
        <v>2532</v>
      </c>
      <c r="Z769" s="35" t="s">
        <v>2640</v>
      </c>
      <c r="AA769" s="35" t="s">
        <v>3339</v>
      </c>
      <c r="AB769" s="29" t="s">
        <v>3361</v>
      </c>
      <c r="AC769" s="35" t="s">
        <v>1633</v>
      </c>
      <c r="AD769" s="35" t="s">
        <v>1634</v>
      </c>
      <c r="AE769" s="35" t="s">
        <v>1634</v>
      </c>
      <c r="AF769" s="35" t="s">
        <v>1635</v>
      </c>
      <c r="AG769" s="35" t="s">
        <v>1636</v>
      </c>
      <c r="AI769" s="35"/>
      <c r="AJ769" s="35" t="s">
        <v>3340</v>
      </c>
      <c r="AK769" s="35" t="s">
        <v>1638</v>
      </c>
      <c r="AL769" s="29" t="s">
        <v>3362</v>
      </c>
      <c r="AM769" s="35"/>
      <c r="AN769" s="35"/>
      <c r="AO769" s="35"/>
      <c r="AP769" s="35"/>
      <c r="AQ769" s="35"/>
      <c r="AS769" s="35"/>
      <c r="AU769" s="35"/>
      <c r="AW769" s="35"/>
      <c r="AY769" s="35"/>
      <c r="AZ769" s="35" t="s">
        <v>2339</v>
      </c>
      <c r="BA769" s="35" t="s">
        <v>2002</v>
      </c>
      <c r="BB769" s="29" t="s">
        <v>3448</v>
      </c>
      <c r="BC769" s="29" t="s">
        <v>3914</v>
      </c>
      <c r="BD769" s="29" t="s">
        <v>4151</v>
      </c>
      <c r="BE769" s="29" t="s">
        <v>4152</v>
      </c>
      <c r="BF769" s="29" t="s">
        <v>1909</v>
      </c>
      <c r="BG769" s="29" t="s">
        <v>3601</v>
      </c>
      <c r="BH769" s="29" t="s">
        <v>2515</v>
      </c>
      <c r="BI769" s="35"/>
      <c r="BJ769" s="35"/>
      <c r="BK769" s="29" t="str" cm="1">
        <f t="array" ref="BK769">_xlfn.UNIQUE(MID(BB769,16,14))</f>
        <v>U012UNA01UH100</v>
      </c>
    </row>
    <row r="770" spans="1:63" hidden="1" x14ac:dyDescent="0.3">
      <c r="A770" s="29" t="s">
        <v>2529</v>
      </c>
      <c r="B770" s="36" t="str">
        <f t="shared" ref="B770:B800" si="60">RIGHT(A770,LEN(A770)-1)&amp;S770</f>
        <v>G01NHX01QN002-QM21</v>
      </c>
      <c r="C770" s="33" t="s">
        <v>4153</v>
      </c>
      <c r="D770" s="34" t="str">
        <f t="shared" ref="D770:D800" si="61">UPPER(W770&amp;" "&amp;X770&amp;" "&amp;Y770&amp;" "&amp;Z770&amp;" "&amp;AA770)</f>
        <v>ELY1 N2 DIST CTRL O2 SV21 CMD ON/OP</v>
      </c>
      <c r="E770" s="31">
        <f t="shared" ref="E770:E800" si="62">LEN(D770)</f>
        <v>35</v>
      </c>
      <c r="F770" s="32" t="str">
        <f t="shared" ref="F770:F800" si="63">UPPER(H770&amp;" "&amp;J770&amp;" "&amp;L770&amp;" "&amp;N770&amp;" "&amp;P770&amp;" "&amp;R770&amp;" "&amp;T770&amp;" "&amp;V770)</f>
        <v>ELECTROLYSIS SYSTEM ELECTROLYSIS ARRAY 1 AUXILIARY SYSTEMS NITROGEN DISTRIBUTION NITROGEN REGULATION SYSTEMS NITROGEN REGULATION O2 BALL VALVE - NITROGEN O2 OUTLET MANUAL COMMAND ON/OPEN</v>
      </c>
      <c r="G770" s="29" t="s">
        <v>1614</v>
      </c>
      <c r="H770" s="29" t="s">
        <v>1615</v>
      </c>
      <c r="I770" s="29" t="str">
        <f t="shared" ref="I770:I800" si="64">RIGHT(LEFT(A770,4),2)</f>
        <v>01</v>
      </c>
      <c r="J770" s="29" t="s">
        <v>1616</v>
      </c>
      <c r="K770" s="29" t="s">
        <v>2506</v>
      </c>
      <c r="L770" s="29" t="s">
        <v>2507</v>
      </c>
      <c r="M770" s="29" t="s">
        <v>1619</v>
      </c>
      <c r="N770" s="29" t="s">
        <v>2508</v>
      </c>
      <c r="O770" s="29" t="s">
        <v>2509</v>
      </c>
      <c r="P770" s="29" t="s">
        <v>2510</v>
      </c>
      <c r="Q770" s="29" t="s">
        <v>1872</v>
      </c>
      <c r="R770" s="29" t="s">
        <v>2531</v>
      </c>
      <c r="S770" s="29" t="s">
        <v>3592</v>
      </c>
      <c r="T770" s="29" t="s">
        <v>3604</v>
      </c>
      <c r="U770" s="29" t="s">
        <v>3337</v>
      </c>
      <c r="V770" s="29" t="s">
        <v>3338</v>
      </c>
      <c r="W770" s="35" t="s">
        <v>1628</v>
      </c>
      <c r="X770" s="35" t="s">
        <v>2512</v>
      </c>
      <c r="Y770" s="35" t="s">
        <v>2532</v>
      </c>
      <c r="Z770" s="35" t="s">
        <v>3594</v>
      </c>
      <c r="AA770" s="35" t="s">
        <v>3339</v>
      </c>
      <c r="AB770" s="29" t="s">
        <v>4147</v>
      </c>
      <c r="AC770" s="35" t="s">
        <v>1633</v>
      </c>
      <c r="AD770" s="35" t="s">
        <v>1634</v>
      </c>
      <c r="AE770" s="35" t="s">
        <v>1634</v>
      </c>
      <c r="AF770" s="35" t="s">
        <v>1635</v>
      </c>
      <c r="AG770" s="35" t="s">
        <v>1636</v>
      </c>
      <c r="AI770" s="35"/>
      <c r="AJ770" s="35" t="s">
        <v>3340</v>
      </c>
      <c r="AK770" s="35" t="s">
        <v>1638</v>
      </c>
      <c r="AL770" s="29" t="s">
        <v>3964</v>
      </c>
      <c r="AM770" s="35"/>
      <c r="AN770" s="35"/>
      <c r="AO770" s="35"/>
      <c r="AP770" s="35"/>
      <c r="AQ770" s="35"/>
      <c r="AS770" s="35"/>
      <c r="AU770" s="35"/>
      <c r="AW770" s="35"/>
      <c r="AY770" s="35"/>
      <c r="AZ770" s="35" t="s">
        <v>1642</v>
      </c>
      <c r="BA770" s="35" t="s">
        <v>2002</v>
      </c>
      <c r="BB770" s="29" t="s">
        <v>3448</v>
      </c>
      <c r="BC770" s="29" t="s">
        <v>3914</v>
      </c>
      <c r="BD770" s="29" t="s">
        <v>4154</v>
      </c>
      <c r="BE770" s="29" t="s">
        <v>4155</v>
      </c>
      <c r="BF770" s="29" t="s">
        <v>1915</v>
      </c>
      <c r="BG770" s="29" t="s">
        <v>3605</v>
      </c>
      <c r="BH770" s="29" t="s">
        <v>2515</v>
      </c>
      <c r="BI770" s="35"/>
      <c r="BJ770" s="35"/>
      <c r="BK770" s="29" t="str" cm="1">
        <f t="array" ref="BK770">_xlfn.UNIQUE(MID(BB770,16,14))</f>
        <v>U012UNA01UH100</v>
      </c>
    </row>
    <row r="771" spans="1:63" hidden="1" x14ac:dyDescent="0.3">
      <c r="A771" s="29" t="s">
        <v>3829</v>
      </c>
      <c r="B771" s="36" t="str">
        <f t="shared" si="60"/>
        <v>T01BBA01QA001-QA01</v>
      </c>
      <c r="C771" s="33" t="s">
        <v>4156</v>
      </c>
      <c r="D771" s="34" t="str">
        <f t="shared" si="61"/>
        <v>EL POW SUP MV MV DIST1 SW1 AL/PROT1</v>
      </c>
      <c r="E771" s="31">
        <f t="shared" si="62"/>
        <v>35</v>
      </c>
      <c r="F771" s="32" t="str">
        <f t="shared" si="63"/>
        <v>ELECTRICAL POWER SUPPLY SYSTEM SYSTEM 1 MV SUPPLY SYSTEM - 20KV SYSTEM 1 MV DISTRIBUTION MV DISTRIBUTION UNIT - ARRAY 1 POWER CIRCUIT-BREAKER, 3-POLE COMPONENT PROTECTION</v>
      </c>
      <c r="G771" s="29" t="s">
        <v>3831</v>
      </c>
      <c r="H771" s="29" t="s">
        <v>3832</v>
      </c>
      <c r="I771" s="29" t="str">
        <f t="shared" si="64"/>
        <v>01</v>
      </c>
      <c r="J771" s="29" t="s">
        <v>3833</v>
      </c>
      <c r="K771" s="29" t="s">
        <v>3834</v>
      </c>
      <c r="L771" s="29" t="s">
        <v>3835</v>
      </c>
      <c r="M771" s="29" t="s">
        <v>1619</v>
      </c>
      <c r="N771" s="29" t="s">
        <v>3833</v>
      </c>
      <c r="O771" s="29" t="s">
        <v>3836</v>
      </c>
      <c r="P771" s="29" t="s">
        <v>3837</v>
      </c>
      <c r="Q771" s="29" t="s">
        <v>1623</v>
      </c>
      <c r="R771" s="29" t="s">
        <v>3838</v>
      </c>
      <c r="S771" s="29" t="s">
        <v>2709</v>
      </c>
      <c r="T771" s="29" t="s">
        <v>3839</v>
      </c>
      <c r="U771" s="29" t="s">
        <v>3962</v>
      </c>
      <c r="V771" s="29" t="s">
        <v>2864</v>
      </c>
      <c r="W771" s="35" t="s">
        <v>3841</v>
      </c>
      <c r="X771" s="35" t="s">
        <v>3842</v>
      </c>
      <c r="Y771" s="35" t="s">
        <v>3843</v>
      </c>
      <c r="Z771" s="35" t="s">
        <v>2713</v>
      </c>
      <c r="AA771" s="35" t="s">
        <v>3963</v>
      </c>
      <c r="AB771" s="29" t="s">
        <v>3169</v>
      </c>
      <c r="AC771" s="35" t="s">
        <v>1633</v>
      </c>
      <c r="AD771" s="35"/>
      <c r="AE771" s="35"/>
      <c r="AF771" s="35" t="s">
        <v>1635</v>
      </c>
      <c r="AG771" s="35" t="s">
        <v>1728</v>
      </c>
      <c r="AI771" s="35"/>
      <c r="AJ771" s="35" t="s">
        <v>3340</v>
      </c>
      <c r="AK771" s="35" t="s">
        <v>1638</v>
      </c>
      <c r="AL771" s="29" t="s">
        <v>4157</v>
      </c>
      <c r="AM771" s="35"/>
      <c r="AN771" s="35"/>
      <c r="AO771" s="35"/>
      <c r="AP771" s="35"/>
      <c r="AQ771" s="35"/>
      <c r="AS771" s="35"/>
      <c r="AU771" s="35"/>
      <c r="AW771" s="35"/>
      <c r="AY771" s="35"/>
      <c r="AZ771" s="35"/>
      <c r="BA771" s="35"/>
      <c r="BB771" s="29" t="s">
        <v>2825</v>
      </c>
      <c r="BC771" s="29" t="s">
        <v>3914</v>
      </c>
      <c r="BD771" s="29" t="s">
        <v>3965</v>
      </c>
      <c r="BE771" s="29" t="s">
        <v>3962</v>
      </c>
      <c r="BF771" s="29" t="s">
        <v>1909</v>
      </c>
      <c r="BG771" s="29" t="s">
        <v>4158</v>
      </c>
      <c r="BI771" s="35"/>
      <c r="BJ771" s="35"/>
      <c r="BK771" s="29" t="str" cm="1">
        <f t="array" ref="BK771">_xlfn.UNIQUE(MID(BB771,16,14))</f>
        <v>U012UBB01UC001</v>
      </c>
    </row>
    <row r="772" spans="1:63" hidden="1" x14ac:dyDescent="0.3">
      <c r="A772" s="29" t="s">
        <v>3829</v>
      </c>
      <c r="B772" s="36" t="str">
        <f t="shared" si="60"/>
        <v>T01BBA01QA001-QA01</v>
      </c>
      <c r="C772" s="33" t="s">
        <v>4159</v>
      </c>
      <c r="D772" s="34" t="str">
        <f t="shared" si="61"/>
        <v>EL POW SUP MV MV DIST1 SW1 CMD ON/OP</v>
      </c>
      <c r="E772" s="31">
        <f t="shared" si="62"/>
        <v>36</v>
      </c>
      <c r="F772" s="32" t="str">
        <f t="shared" si="63"/>
        <v>ELECTRICAL POWER SUPPLY SYSTEM SYSTEM 1 MV SUPPLY SYSTEM - 20KV SYSTEM 1 MV DISTRIBUTION MV DISTRIBUTION UNIT - ARRAY 1 POWER CIRCUIT-BREAKER, 3-POLE MANUAL COMMAND ON/OPEN</v>
      </c>
      <c r="G772" s="29" t="s">
        <v>3831</v>
      </c>
      <c r="H772" s="29" t="s">
        <v>3832</v>
      </c>
      <c r="I772" s="29" t="str">
        <f t="shared" si="64"/>
        <v>01</v>
      </c>
      <c r="J772" s="29" t="s">
        <v>3833</v>
      </c>
      <c r="K772" s="29" t="s">
        <v>3834</v>
      </c>
      <c r="L772" s="29" t="s">
        <v>3835</v>
      </c>
      <c r="M772" s="29" t="s">
        <v>1619</v>
      </c>
      <c r="N772" s="29" t="s">
        <v>3833</v>
      </c>
      <c r="O772" s="29" t="s">
        <v>3836</v>
      </c>
      <c r="P772" s="29" t="s">
        <v>3837</v>
      </c>
      <c r="Q772" s="29" t="s">
        <v>1623</v>
      </c>
      <c r="R772" s="29" t="s">
        <v>3838</v>
      </c>
      <c r="S772" s="29" t="s">
        <v>2709</v>
      </c>
      <c r="T772" s="29" t="s">
        <v>3839</v>
      </c>
      <c r="U772" s="29" t="s">
        <v>3337</v>
      </c>
      <c r="V772" s="29" t="s">
        <v>3338</v>
      </c>
      <c r="W772" s="35" t="s">
        <v>3841</v>
      </c>
      <c r="X772" s="35" t="s">
        <v>3842</v>
      </c>
      <c r="Y772" s="35" t="s">
        <v>3843</v>
      </c>
      <c r="Z772" s="35" t="s">
        <v>2713</v>
      </c>
      <c r="AA772" s="35" t="s">
        <v>3339</v>
      </c>
      <c r="AB772" s="29" t="s">
        <v>3169</v>
      </c>
      <c r="AC772" s="35" t="s">
        <v>1633</v>
      </c>
      <c r="AD772" s="35"/>
      <c r="AE772" s="35"/>
      <c r="AF772" s="35" t="s">
        <v>1635</v>
      </c>
      <c r="AG772" s="35" t="s">
        <v>1728</v>
      </c>
      <c r="AI772" s="35"/>
      <c r="AJ772" s="35" t="s">
        <v>3340</v>
      </c>
      <c r="AK772" s="35" t="s">
        <v>1638</v>
      </c>
      <c r="AL772" s="29" t="s">
        <v>4157</v>
      </c>
      <c r="AM772" s="35"/>
      <c r="AN772" s="35"/>
      <c r="AO772" s="35"/>
      <c r="AP772" s="35"/>
      <c r="AQ772" s="35"/>
      <c r="AS772" s="35"/>
      <c r="AU772" s="35"/>
      <c r="AW772" s="35"/>
      <c r="AY772" s="35"/>
      <c r="AZ772" s="35"/>
      <c r="BA772" s="35"/>
      <c r="BB772" s="29" t="s">
        <v>2825</v>
      </c>
      <c r="BC772" s="29" t="s">
        <v>3914</v>
      </c>
      <c r="BD772" s="29" t="s">
        <v>3363</v>
      </c>
      <c r="BE772" s="29" t="s">
        <v>3337</v>
      </c>
      <c r="BF772" s="29" t="s">
        <v>1619</v>
      </c>
      <c r="BG772" s="29" t="s">
        <v>4160</v>
      </c>
      <c r="BI772" s="35"/>
      <c r="BJ772" s="35"/>
      <c r="BK772" s="29" t="str" cm="1">
        <f t="array" ref="BK772">_xlfn.UNIQUE(MID(BB772,16,14))</f>
        <v>U012UBB01UC001</v>
      </c>
    </row>
    <row r="773" spans="1:63" hidden="1" x14ac:dyDescent="0.3">
      <c r="A773" s="29" t="s">
        <v>3829</v>
      </c>
      <c r="B773" s="36" t="str">
        <f t="shared" si="60"/>
        <v>T01BBA01QA001-QA01</v>
      </c>
      <c r="C773" s="33" t="s">
        <v>4161</v>
      </c>
      <c r="D773" s="34" t="str">
        <f t="shared" si="61"/>
        <v>EL POW SUP MV MV DIST1 SW1 CMD OFF/CL</v>
      </c>
      <c r="E773" s="31">
        <f t="shared" si="62"/>
        <v>37</v>
      </c>
      <c r="F773" s="32" t="str">
        <f t="shared" si="63"/>
        <v>ELECTRICAL POWER SUPPLY SYSTEM SYSTEM 1 MV SUPPLY SYSTEM - 20KV SYSTEM 1 MV DISTRIBUTION MV DISTRIBUTION UNIT - ARRAY 1 POWER CIRCUIT-BREAKER, 3-POLE MANUAL COMMAND OFF/CLOSE</v>
      </c>
      <c r="G773" s="29" t="s">
        <v>3831</v>
      </c>
      <c r="H773" s="29" t="s">
        <v>3832</v>
      </c>
      <c r="I773" s="29" t="str">
        <f t="shared" si="64"/>
        <v>01</v>
      </c>
      <c r="J773" s="29" t="s">
        <v>3833</v>
      </c>
      <c r="K773" s="29" t="s">
        <v>3834</v>
      </c>
      <c r="L773" s="29" t="s">
        <v>3835</v>
      </c>
      <c r="M773" s="29" t="s">
        <v>1619</v>
      </c>
      <c r="N773" s="29" t="s">
        <v>3833</v>
      </c>
      <c r="O773" s="29" t="s">
        <v>3836</v>
      </c>
      <c r="P773" s="29" t="s">
        <v>3837</v>
      </c>
      <c r="Q773" s="29" t="s">
        <v>1623</v>
      </c>
      <c r="R773" s="29" t="s">
        <v>3838</v>
      </c>
      <c r="S773" s="29" t="s">
        <v>2709</v>
      </c>
      <c r="T773" s="29" t="s">
        <v>3839</v>
      </c>
      <c r="U773" s="29" t="s">
        <v>3918</v>
      </c>
      <c r="V773" s="29" t="s">
        <v>3588</v>
      </c>
      <c r="W773" s="35" t="s">
        <v>3841</v>
      </c>
      <c r="X773" s="35" t="s">
        <v>3842</v>
      </c>
      <c r="Y773" s="35" t="s">
        <v>3843</v>
      </c>
      <c r="Z773" s="35" t="s">
        <v>2713</v>
      </c>
      <c r="AA773" s="35" t="s">
        <v>3919</v>
      </c>
      <c r="AB773" s="29" t="s">
        <v>3169</v>
      </c>
      <c r="AC773" s="35" t="s">
        <v>1633</v>
      </c>
      <c r="AD773" s="35"/>
      <c r="AE773" s="35"/>
      <c r="AF773" s="35" t="s">
        <v>1635</v>
      </c>
      <c r="AG773" s="35" t="s">
        <v>1728</v>
      </c>
      <c r="AI773" s="35"/>
      <c r="AJ773" s="35" t="s">
        <v>3340</v>
      </c>
      <c r="AK773" s="35" t="s">
        <v>1638</v>
      </c>
      <c r="AL773" s="29" t="s">
        <v>4157</v>
      </c>
      <c r="AM773" s="35"/>
      <c r="AN773" s="35"/>
      <c r="AO773" s="35"/>
      <c r="AP773" s="35"/>
      <c r="AQ773" s="35"/>
      <c r="AS773" s="35"/>
      <c r="AU773" s="35"/>
      <c r="AW773" s="35"/>
      <c r="AY773" s="35"/>
      <c r="AZ773" s="35"/>
      <c r="BA773" s="35"/>
      <c r="BB773" s="29" t="s">
        <v>2825</v>
      </c>
      <c r="BC773" s="29" t="s">
        <v>3914</v>
      </c>
      <c r="BD773" s="29" t="s">
        <v>3925</v>
      </c>
      <c r="BE773" s="29" t="s">
        <v>3918</v>
      </c>
      <c r="BF773" s="29" t="s">
        <v>1905</v>
      </c>
      <c r="BG773" s="29" t="s">
        <v>4160</v>
      </c>
      <c r="BI773" s="35"/>
      <c r="BJ773" s="35"/>
      <c r="BK773" s="29" t="str" cm="1">
        <f t="array" ref="BK773">_xlfn.UNIQUE(MID(BB773,16,14))</f>
        <v>U012UBB01UC001</v>
      </c>
    </row>
    <row r="774" spans="1:63" hidden="1" x14ac:dyDescent="0.3">
      <c r="A774" s="29" t="s">
        <v>2566</v>
      </c>
      <c r="B774" s="36" t="str">
        <f t="shared" si="60"/>
        <v>V01NHC30WP001-QM02</v>
      </c>
      <c r="C774" s="33" t="s">
        <v>4162</v>
      </c>
      <c r="D774" s="34" t="str">
        <f t="shared" si="61"/>
        <v>GAS TRT H2 COMPR PIPING SV2 CMD OFF/CL</v>
      </c>
      <c r="E774" s="31">
        <f t="shared" si="62"/>
        <v>38</v>
      </c>
      <c r="F774" s="32" t="str">
        <f t="shared" si="63"/>
        <v>GAS TREATMENT SYSTEM GAS TREATMENT SYSTEM 1 H2 TREATMENT H2 COMPRESSOR SYSTEM 30BAR COMPRESSOR PIPE SYSTEMS COMPRESSOR PIPE SYSTEM INLET LINE 2-WAY SHUT-OFF VALVE (GENERAL) MANUAL COMMAND OFF/CLOSE</v>
      </c>
      <c r="G774" s="29" t="s">
        <v>2544</v>
      </c>
      <c r="H774" s="29" t="s">
        <v>2545</v>
      </c>
      <c r="I774" s="29" t="str">
        <f t="shared" si="64"/>
        <v>01</v>
      </c>
      <c r="J774" s="29" t="s">
        <v>2546</v>
      </c>
      <c r="K774" s="29" t="s">
        <v>1617</v>
      </c>
      <c r="L774" s="29" t="s">
        <v>1618</v>
      </c>
      <c r="M774" s="29" t="s">
        <v>2568</v>
      </c>
      <c r="N774" s="29" t="s">
        <v>2569</v>
      </c>
      <c r="O774" s="29" t="s">
        <v>1781</v>
      </c>
      <c r="P774" s="29" t="s">
        <v>2570</v>
      </c>
      <c r="Q774" s="29" t="s">
        <v>1623</v>
      </c>
      <c r="R774" s="29" t="s">
        <v>2571</v>
      </c>
      <c r="S774" s="29" t="s">
        <v>3860</v>
      </c>
      <c r="T774" s="29" t="s">
        <v>3861</v>
      </c>
      <c r="U774" s="29" t="s">
        <v>3918</v>
      </c>
      <c r="V774" s="29" t="s">
        <v>3588</v>
      </c>
      <c r="W774" s="35" t="s">
        <v>2549</v>
      </c>
      <c r="X774" s="35" t="s">
        <v>2573</v>
      </c>
      <c r="Y774" s="35" t="s">
        <v>1785</v>
      </c>
      <c r="Z774" s="35" t="s">
        <v>3862</v>
      </c>
      <c r="AA774" s="35" t="s">
        <v>3919</v>
      </c>
      <c r="AC774" s="35" t="s">
        <v>1633</v>
      </c>
      <c r="AD774" s="35" t="s">
        <v>1634</v>
      </c>
      <c r="AE774" s="35" t="s">
        <v>1634</v>
      </c>
      <c r="AF774" s="35" t="s">
        <v>1635</v>
      </c>
      <c r="AG774" s="35" t="s">
        <v>1636</v>
      </c>
      <c r="AI774" s="35"/>
      <c r="AJ774" s="35" t="s">
        <v>3340</v>
      </c>
      <c r="AK774" s="35" t="s">
        <v>1672</v>
      </c>
      <c r="AL774" s="29" t="s">
        <v>3362</v>
      </c>
      <c r="AM774" s="35"/>
      <c r="AN774" s="35"/>
      <c r="AO774" s="35"/>
      <c r="AP774" s="35"/>
      <c r="AQ774" s="35"/>
      <c r="AS774" s="35"/>
      <c r="AU774" s="35"/>
      <c r="AW774" s="35"/>
      <c r="AY774" s="35"/>
      <c r="AZ774" s="35"/>
      <c r="BA774" s="35"/>
      <c r="BH774" s="29" t="s">
        <v>2574</v>
      </c>
      <c r="BI774" s="35"/>
      <c r="BJ774" s="35"/>
      <c r="BK774" s="29" t="str" cm="1">
        <f t="array" ref="BK774">_xlfn.UNIQUE(MID(BB774,16,14))</f>
        <v/>
      </c>
    </row>
    <row r="775" spans="1:63" hidden="1" x14ac:dyDescent="0.3">
      <c r="A775" s="29" t="s">
        <v>2566</v>
      </c>
      <c r="B775" s="36" t="str">
        <f t="shared" si="60"/>
        <v>V01NHC30WP001-QM03</v>
      </c>
      <c r="C775" s="33" t="s">
        <v>4163</v>
      </c>
      <c r="D775" s="34" t="str">
        <f t="shared" si="61"/>
        <v>GAS TRT H2 COMPR PIPING SV3 CMD OFF/CL</v>
      </c>
      <c r="E775" s="31">
        <f t="shared" si="62"/>
        <v>38</v>
      </c>
      <c r="F775" s="32" t="str">
        <f t="shared" si="63"/>
        <v>GAS TREATMENT SYSTEM GAS TREATMENT SYSTEM 1 H2 TREATMENT H2 COMPRESSOR SYSTEM 30BAR COMPRESSOR PIPE SYSTEMS COMPRESSOR PIPE SYSTEM INLET LINE BALL VALVE (GENERAL) MANUAL COMMAND OFF/CLOSE</v>
      </c>
      <c r="G775" s="29" t="s">
        <v>2544</v>
      </c>
      <c r="H775" s="29" t="s">
        <v>2545</v>
      </c>
      <c r="I775" s="29" t="str">
        <f t="shared" si="64"/>
        <v>01</v>
      </c>
      <c r="J775" s="29" t="s">
        <v>2546</v>
      </c>
      <c r="K775" s="29" t="s">
        <v>1617</v>
      </c>
      <c r="L775" s="29" t="s">
        <v>1618</v>
      </c>
      <c r="M775" s="29" t="s">
        <v>2568</v>
      </c>
      <c r="N775" s="29" t="s">
        <v>2569</v>
      </c>
      <c r="O775" s="29" t="s">
        <v>1781</v>
      </c>
      <c r="P775" s="29" t="s">
        <v>2570</v>
      </c>
      <c r="Q775" s="29" t="s">
        <v>1623</v>
      </c>
      <c r="R775" s="29" t="s">
        <v>2571</v>
      </c>
      <c r="S775" s="29" t="s">
        <v>3865</v>
      </c>
      <c r="T775" s="29" t="s">
        <v>2638</v>
      </c>
      <c r="U775" s="29" t="s">
        <v>3918</v>
      </c>
      <c r="V775" s="29" t="s">
        <v>3588</v>
      </c>
      <c r="W775" s="35" t="s">
        <v>2549</v>
      </c>
      <c r="X775" s="35" t="s">
        <v>2573</v>
      </c>
      <c r="Y775" s="35" t="s">
        <v>1785</v>
      </c>
      <c r="Z775" s="35" t="s">
        <v>3866</v>
      </c>
      <c r="AA775" s="35" t="s">
        <v>3919</v>
      </c>
      <c r="AC775" s="35" t="s">
        <v>1633</v>
      </c>
      <c r="AD775" s="35" t="s">
        <v>1634</v>
      </c>
      <c r="AE775" s="35" t="s">
        <v>1634</v>
      </c>
      <c r="AF775" s="35" t="s">
        <v>1635</v>
      </c>
      <c r="AG775" s="35" t="s">
        <v>1636</v>
      </c>
      <c r="AI775" s="35"/>
      <c r="AJ775" s="35" t="s">
        <v>3340</v>
      </c>
      <c r="AK775" s="35" t="s">
        <v>1672</v>
      </c>
      <c r="AL775" s="29" t="s">
        <v>3362</v>
      </c>
      <c r="AM775" s="35"/>
      <c r="AN775" s="35"/>
      <c r="AO775" s="35"/>
      <c r="AP775" s="35"/>
      <c r="AQ775" s="35"/>
      <c r="AS775" s="35"/>
      <c r="AU775" s="35"/>
      <c r="AW775" s="35"/>
      <c r="AY775" s="35"/>
      <c r="AZ775" s="35"/>
      <c r="BA775" s="35"/>
      <c r="BH775" s="29" t="s">
        <v>2574</v>
      </c>
      <c r="BI775" s="35"/>
      <c r="BJ775" s="35"/>
      <c r="BK775" s="29" t="str" cm="1">
        <f t="array" ref="BK775">_xlfn.UNIQUE(MID(BB775,16,14))</f>
        <v/>
      </c>
    </row>
    <row r="776" spans="1:63" hidden="1" x14ac:dyDescent="0.3">
      <c r="A776" s="29" t="s">
        <v>2566</v>
      </c>
      <c r="B776" s="36" t="str">
        <f t="shared" si="60"/>
        <v>V01NHC30WP001-QM06</v>
      </c>
      <c r="C776" s="33" t="s">
        <v>4164</v>
      </c>
      <c r="D776" s="34" t="str">
        <f t="shared" si="61"/>
        <v>GAS TRT H2 COMPR PIPING SV6 CMD OFF/CL</v>
      </c>
      <c r="E776" s="31">
        <f t="shared" si="62"/>
        <v>38</v>
      </c>
      <c r="F776" s="32" t="str">
        <f t="shared" si="63"/>
        <v>GAS TREATMENT SYSTEM GAS TREATMENT SYSTEM 1 H2 TREATMENT H2 COMPRESSOR SYSTEM 30BAR COMPRESSOR PIPE SYSTEMS COMPRESSOR PIPE SYSTEM INLET LINE BUTTERFLY VALVE (GEN.) MANUAL COMMAND OFF/CLOSE</v>
      </c>
      <c r="G776" s="29" t="s">
        <v>2544</v>
      </c>
      <c r="H776" s="29" t="s">
        <v>2545</v>
      </c>
      <c r="I776" s="29" t="str">
        <f t="shared" si="64"/>
        <v>01</v>
      </c>
      <c r="J776" s="29" t="s">
        <v>2546</v>
      </c>
      <c r="K776" s="29" t="s">
        <v>1617</v>
      </c>
      <c r="L776" s="29" t="s">
        <v>1618</v>
      </c>
      <c r="M776" s="29" t="s">
        <v>2568</v>
      </c>
      <c r="N776" s="29" t="s">
        <v>2569</v>
      </c>
      <c r="O776" s="29" t="s">
        <v>1781</v>
      </c>
      <c r="P776" s="29" t="s">
        <v>2570</v>
      </c>
      <c r="Q776" s="29" t="s">
        <v>1623</v>
      </c>
      <c r="R776" s="29" t="s">
        <v>2571</v>
      </c>
      <c r="S776" s="29" t="s">
        <v>3869</v>
      </c>
      <c r="T776" s="29" t="s">
        <v>3870</v>
      </c>
      <c r="U776" s="29" t="s">
        <v>3918</v>
      </c>
      <c r="V776" s="29" t="s">
        <v>3588</v>
      </c>
      <c r="W776" s="35" t="s">
        <v>2549</v>
      </c>
      <c r="X776" s="35" t="s">
        <v>2573</v>
      </c>
      <c r="Y776" s="35" t="s">
        <v>1785</v>
      </c>
      <c r="Z776" s="35" t="s">
        <v>3871</v>
      </c>
      <c r="AA776" s="35" t="s">
        <v>3919</v>
      </c>
      <c r="AC776" s="35" t="s">
        <v>1633</v>
      </c>
      <c r="AD776" s="35" t="s">
        <v>1634</v>
      </c>
      <c r="AE776" s="35" t="s">
        <v>1634</v>
      </c>
      <c r="AF776" s="35" t="s">
        <v>1635</v>
      </c>
      <c r="AG776" s="35" t="s">
        <v>1636</v>
      </c>
      <c r="AI776" s="35"/>
      <c r="AJ776" s="35" t="s">
        <v>3340</v>
      </c>
      <c r="AK776" s="35" t="s">
        <v>1672</v>
      </c>
      <c r="AL776" s="29" t="s">
        <v>3362</v>
      </c>
      <c r="AM776" s="35"/>
      <c r="AN776" s="35"/>
      <c r="AO776" s="35"/>
      <c r="AP776" s="35"/>
      <c r="AQ776" s="35"/>
      <c r="AS776" s="35"/>
      <c r="AU776" s="35"/>
      <c r="AW776" s="35"/>
      <c r="AY776" s="35"/>
      <c r="AZ776" s="35"/>
      <c r="BA776" s="35"/>
      <c r="BH776" s="29" t="s">
        <v>2574</v>
      </c>
      <c r="BI776" s="35"/>
      <c r="BJ776" s="35"/>
      <c r="BK776" s="29" t="str" cm="1">
        <f t="array" ref="BK776">_xlfn.UNIQUE(MID(BB776,16,14))</f>
        <v/>
      </c>
    </row>
    <row r="777" spans="1:63" hidden="1" x14ac:dyDescent="0.3">
      <c r="A777" s="29" t="s">
        <v>3873</v>
      </c>
      <c r="B777" s="36" t="str">
        <f t="shared" si="60"/>
        <v>V01NHC30WP002-QM01</v>
      </c>
      <c r="C777" s="33" t="s">
        <v>4165</v>
      </c>
      <c r="D777" s="34" t="str">
        <f t="shared" si="61"/>
        <v>GAS TRT H2 COMPR PIPING SV1 CMD OFF/CL</v>
      </c>
      <c r="E777" s="31">
        <f t="shared" si="62"/>
        <v>38</v>
      </c>
      <c r="F777" s="32" t="str">
        <f t="shared" si="63"/>
        <v>GAS TREATMENT SYSTEM GAS TREATMENT SYSTEM 1 H2 TREATMENT H2 COMPRESSOR SYSTEM 30BAR COMPRESSOR PIPE SYSTEMS COMPRESSOR PIPE SYSTEM OUTLET LINE BALL VALVE (GENERAL) MANUAL COMMAND OFF/CLOSE</v>
      </c>
      <c r="G777" s="29" t="s">
        <v>2544</v>
      </c>
      <c r="H777" s="29" t="s">
        <v>2545</v>
      </c>
      <c r="I777" s="29" t="str">
        <f t="shared" si="64"/>
        <v>01</v>
      </c>
      <c r="J777" s="29" t="s">
        <v>2546</v>
      </c>
      <c r="K777" s="29" t="s">
        <v>1617</v>
      </c>
      <c r="L777" s="29" t="s">
        <v>1618</v>
      </c>
      <c r="M777" s="29" t="s">
        <v>2568</v>
      </c>
      <c r="N777" s="29" t="s">
        <v>2569</v>
      </c>
      <c r="O777" s="29" t="s">
        <v>1781</v>
      </c>
      <c r="P777" s="29" t="s">
        <v>2570</v>
      </c>
      <c r="Q777" s="29" t="s">
        <v>1872</v>
      </c>
      <c r="R777" s="29" t="s">
        <v>3875</v>
      </c>
      <c r="S777" s="29" t="s">
        <v>3471</v>
      </c>
      <c r="T777" s="29" t="s">
        <v>2638</v>
      </c>
      <c r="U777" s="29" t="s">
        <v>3918</v>
      </c>
      <c r="V777" s="29" t="s">
        <v>3588</v>
      </c>
      <c r="W777" s="35" t="s">
        <v>2549</v>
      </c>
      <c r="X777" s="35" t="s">
        <v>2573</v>
      </c>
      <c r="Y777" s="35" t="s">
        <v>1785</v>
      </c>
      <c r="Z777" s="35" t="s">
        <v>3473</v>
      </c>
      <c r="AA777" s="35" t="s">
        <v>3919</v>
      </c>
      <c r="AC777" s="35" t="s">
        <v>1633</v>
      </c>
      <c r="AD777" s="35" t="s">
        <v>1634</v>
      </c>
      <c r="AE777" s="35" t="s">
        <v>1634</v>
      </c>
      <c r="AF777" s="35" t="s">
        <v>1635</v>
      </c>
      <c r="AG777" s="35" t="s">
        <v>1636</v>
      </c>
      <c r="AI777" s="35"/>
      <c r="AJ777" s="35" t="s">
        <v>3340</v>
      </c>
      <c r="AK777" s="35" t="s">
        <v>1672</v>
      </c>
      <c r="AL777" s="29" t="s">
        <v>3362</v>
      </c>
      <c r="AM777" s="35"/>
      <c r="AN777" s="35"/>
      <c r="AO777" s="35"/>
      <c r="AP777" s="35"/>
      <c r="AQ777" s="35"/>
      <c r="AS777" s="35"/>
      <c r="AU777" s="35"/>
      <c r="AW777" s="35"/>
      <c r="AY777" s="35"/>
      <c r="AZ777" s="35"/>
      <c r="BA777" s="35"/>
      <c r="BH777" s="29" t="s">
        <v>2574</v>
      </c>
      <c r="BI777" s="35"/>
      <c r="BJ777" s="35"/>
      <c r="BK777" s="29" t="str" cm="1">
        <f t="array" ref="BK777">_xlfn.UNIQUE(MID(BB777,16,14))</f>
        <v/>
      </c>
    </row>
    <row r="778" spans="1:63" hidden="1" x14ac:dyDescent="0.3">
      <c r="A778" s="29" t="s">
        <v>2575</v>
      </c>
      <c r="B778" s="36" t="str">
        <f t="shared" si="60"/>
        <v>V01NHC31WP001-QM01</v>
      </c>
      <c r="C778" s="33" t="s">
        <v>4166</v>
      </c>
      <c r="D778" s="34" t="str">
        <f t="shared" si="61"/>
        <v>GAS TRT H2 COMPR PIPING SV1 CMD OFF/CL</v>
      </c>
      <c r="E778" s="31">
        <f t="shared" si="62"/>
        <v>38</v>
      </c>
      <c r="F778" s="32" t="str">
        <f t="shared" si="63"/>
        <v>GAS TREATMENT SYSTEM GAS TREATMENT SYSTEM 1 H2 TREATMENT H2 COMPRESSOR SYSTEM 100BAR COMPRESSOR PIPE SYSTEMS COMPRESSOR PIPE SYSTEM INLET LINE BUTTERFLY VALVE (GEN.) MANUAL COMMAND OFF/CLOSE</v>
      </c>
      <c r="G778" s="29" t="s">
        <v>2544</v>
      </c>
      <c r="H778" s="29" t="s">
        <v>2545</v>
      </c>
      <c r="I778" s="29" t="str">
        <f t="shared" si="64"/>
        <v>01</v>
      </c>
      <c r="J778" s="29" t="s">
        <v>2546</v>
      </c>
      <c r="K778" s="29" t="s">
        <v>1617</v>
      </c>
      <c r="L778" s="29" t="s">
        <v>1618</v>
      </c>
      <c r="M778" s="29" t="s">
        <v>2577</v>
      </c>
      <c r="N778" s="29" t="s">
        <v>2578</v>
      </c>
      <c r="O778" s="29" t="s">
        <v>1781</v>
      </c>
      <c r="P778" s="29" t="s">
        <v>2570</v>
      </c>
      <c r="Q778" s="29" t="s">
        <v>1623</v>
      </c>
      <c r="R778" s="29" t="s">
        <v>2571</v>
      </c>
      <c r="S778" s="29" t="s">
        <v>3471</v>
      </c>
      <c r="T778" s="29" t="s">
        <v>3870</v>
      </c>
      <c r="U778" s="29" t="s">
        <v>3918</v>
      </c>
      <c r="V778" s="29" t="s">
        <v>3588</v>
      </c>
      <c r="W778" s="35" t="s">
        <v>2549</v>
      </c>
      <c r="X778" s="35" t="s">
        <v>2573</v>
      </c>
      <c r="Y778" s="35" t="s">
        <v>1785</v>
      </c>
      <c r="Z778" s="35" t="s">
        <v>3473</v>
      </c>
      <c r="AA778" s="35" t="s">
        <v>3919</v>
      </c>
      <c r="AC778" s="35" t="s">
        <v>1633</v>
      </c>
      <c r="AD778" s="35" t="s">
        <v>1634</v>
      </c>
      <c r="AE778" s="35" t="s">
        <v>1634</v>
      </c>
      <c r="AF778" s="35" t="s">
        <v>1635</v>
      </c>
      <c r="AG778" s="35" t="s">
        <v>1636</v>
      </c>
      <c r="AI778" s="35"/>
      <c r="AJ778" s="35" t="s">
        <v>3340</v>
      </c>
      <c r="AK778" s="35" t="s">
        <v>1672</v>
      </c>
      <c r="AL778" s="29" t="s">
        <v>3362</v>
      </c>
      <c r="AM778" s="35"/>
      <c r="AN778" s="35"/>
      <c r="AO778" s="35"/>
      <c r="AP778" s="35"/>
      <c r="AQ778" s="35"/>
      <c r="AS778" s="35"/>
      <c r="AU778" s="35"/>
      <c r="AW778" s="35"/>
      <c r="AY778" s="35"/>
      <c r="AZ778" s="35"/>
      <c r="BA778" s="35"/>
      <c r="BH778" s="29" t="s">
        <v>2579</v>
      </c>
      <c r="BI778" s="35"/>
      <c r="BJ778" s="35"/>
      <c r="BK778" s="29" t="str" cm="1">
        <f t="array" ref="BK778">_xlfn.UNIQUE(MID(BB778,16,14))</f>
        <v/>
      </c>
    </row>
    <row r="779" spans="1:63" hidden="1" x14ac:dyDescent="0.3">
      <c r="A779" s="29" t="s">
        <v>2575</v>
      </c>
      <c r="B779" s="36" t="str">
        <f t="shared" si="60"/>
        <v>V01NHC31WP001-QM02</v>
      </c>
      <c r="C779" s="33" t="s">
        <v>4167</v>
      </c>
      <c r="D779" s="34" t="str">
        <f t="shared" si="61"/>
        <v>GAS TRT H2 COMPR PIPING SV2 CMD OFF/CL</v>
      </c>
      <c r="E779" s="31">
        <f t="shared" si="62"/>
        <v>38</v>
      </c>
      <c r="F779" s="32" t="str">
        <f t="shared" si="63"/>
        <v>GAS TREATMENT SYSTEM GAS TREATMENT SYSTEM 1 H2 TREATMENT H2 COMPRESSOR SYSTEM 100BAR COMPRESSOR PIPE SYSTEMS COMPRESSOR PIPE SYSTEM INLET LINE 2-WAY SHUT-OFF VALVE (GENERAL) MANUAL COMMAND OFF/CLOSE</v>
      </c>
      <c r="G779" s="29" t="s">
        <v>2544</v>
      </c>
      <c r="H779" s="29" t="s">
        <v>2545</v>
      </c>
      <c r="I779" s="29" t="str">
        <f t="shared" si="64"/>
        <v>01</v>
      </c>
      <c r="J779" s="29" t="s">
        <v>2546</v>
      </c>
      <c r="K779" s="29" t="s">
        <v>1617</v>
      </c>
      <c r="L779" s="29" t="s">
        <v>1618</v>
      </c>
      <c r="M779" s="29" t="s">
        <v>2577</v>
      </c>
      <c r="N779" s="29" t="s">
        <v>2578</v>
      </c>
      <c r="O779" s="29" t="s">
        <v>1781</v>
      </c>
      <c r="P779" s="29" t="s">
        <v>2570</v>
      </c>
      <c r="Q779" s="29" t="s">
        <v>1623</v>
      </c>
      <c r="R779" s="29" t="s">
        <v>2571</v>
      </c>
      <c r="S779" s="29" t="s">
        <v>3860</v>
      </c>
      <c r="T779" s="29" t="s">
        <v>3861</v>
      </c>
      <c r="U779" s="29" t="s">
        <v>3918</v>
      </c>
      <c r="V779" s="29" t="s">
        <v>3588</v>
      </c>
      <c r="W779" s="35" t="s">
        <v>2549</v>
      </c>
      <c r="X779" s="35" t="s">
        <v>2573</v>
      </c>
      <c r="Y779" s="35" t="s">
        <v>1785</v>
      </c>
      <c r="Z779" s="35" t="s">
        <v>3862</v>
      </c>
      <c r="AA779" s="35" t="s">
        <v>3919</v>
      </c>
      <c r="AC779" s="35" t="s">
        <v>1633</v>
      </c>
      <c r="AD779" s="35" t="s">
        <v>1634</v>
      </c>
      <c r="AE779" s="35" t="s">
        <v>1634</v>
      </c>
      <c r="AF779" s="35" t="s">
        <v>1635</v>
      </c>
      <c r="AG779" s="35" t="s">
        <v>1636</v>
      </c>
      <c r="AI779" s="35"/>
      <c r="AJ779" s="35" t="s">
        <v>3340</v>
      </c>
      <c r="AK779" s="35" t="s">
        <v>1672</v>
      </c>
      <c r="AL779" s="29" t="s">
        <v>3362</v>
      </c>
      <c r="AM779" s="35"/>
      <c r="AN779" s="35"/>
      <c r="AO779" s="35"/>
      <c r="AP779" s="35"/>
      <c r="AQ779" s="35"/>
      <c r="AS779" s="35"/>
      <c r="AU779" s="35"/>
      <c r="AW779" s="35"/>
      <c r="AY779" s="35"/>
      <c r="AZ779" s="35"/>
      <c r="BA779" s="35"/>
      <c r="BH779" s="29" t="s">
        <v>2579</v>
      </c>
      <c r="BI779" s="35"/>
      <c r="BJ779" s="35"/>
      <c r="BK779" s="29" t="str" cm="1">
        <f t="array" ref="BK779">_xlfn.UNIQUE(MID(BB779,16,14))</f>
        <v/>
      </c>
    </row>
    <row r="780" spans="1:63" hidden="1" x14ac:dyDescent="0.3">
      <c r="A780" s="29" t="s">
        <v>2575</v>
      </c>
      <c r="B780" s="36" t="str">
        <f t="shared" si="60"/>
        <v>V01NHC31WP001-QM03</v>
      </c>
      <c r="C780" s="33" t="s">
        <v>4168</v>
      </c>
      <c r="D780" s="34" t="str">
        <f t="shared" si="61"/>
        <v>GAS TRT H2 COMPR PIPING SV3 CMD OFF/CL</v>
      </c>
      <c r="E780" s="31">
        <f t="shared" si="62"/>
        <v>38</v>
      </c>
      <c r="F780" s="32" t="str">
        <f t="shared" si="63"/>
        <v>GAS TREATMENT SYSTEM GAS TREATMENT SYSTEM 1 H2 TREATMENT H2 COMPRESSOR SYSTEM 100BAR COMPRESSOR PIPE SYSTEMS COMPRESSOR PIPE SYSTEM INLET LINE BALL VALVE (GENERAL) MANUAL COMMAND OFF/CLOSE</v>
      </c>
      <c r="G780" s="29" t="s">
        <v>2544</v>
      </c>
      <c r="H780" s="29" t="s">
        <v>2545</v>
      </c>
      <c r="I780" s="29" t="str">
        <f t="shared" si="64"/>
        <v>01</v>
      </c>
      <c r="J780" s="29" t="s">
        <v>2546</v>
      </c>
      <c r="K780" s="29" t="s">
        <v>1617</v>
      </c>
      <c r="L780" s="29" t="s">
        <v>1618</v>
      </c>
      <c r="M780" s="29" t="s">
        <v>2577</v>
      </c>
      <c r="N780" s="29" t="s">
        <v>2578</v>
      </c>
      <c r="O780" s="29" t="s">
        <v>1781</v>
      </c>
      <c r="P780" s="29" t="s">
        <v>2570</v>
      </c>
      <c r="Q780" s="29" t="s">
        <v>1623</v>
      </c>
      <c r="R780" s="29" t="s">
        <v>2571</v>
      </c>
      <c r="S780" s="29" t="s">
        <v>3865</v>
      </c>
      <c r="T780" s="29" t="s">
        <v>2638</v>
      </c>
      <c r="U780" s="29" t="s">
        <v>3918</v>
      </c>
      <c r="V780" s="29" t="s">
        <v>3588</v>
      </c>
      <c r="W780" s="35" t="s">
        <v>2549</v>
      </c>
      <c r="X780" s="35" t="s">
        <v>2573</v>
      </c>
      <c r="Y780" s="35" t="s">
        <v>1785</v>
      </c>
      <c r="Z780" s="35" t="s">
        <v>3866</v>
      </c>
      <c r="AA780" s="35" t="s">
        <v>3919</v>
      </c>
      <c r="AC780" s="35" t="s">
        <v>1633</v>
      </c>
      <c r="AD780" s="35" t="s">
        <v>1634</v>
      </c>
      <c r="AE780" s="35" t="s">
        <v>1634</v>
      </c>
      <c r="AF780" s="35" t="s">
        <v>1635</v>
      </c>
      <c r="AG780" s="35" t="s">
        <v>1636</v>
      </c>
      <c r="AI780" s="35"/>
      <c r="AJ780" s="35" t="s">
        <v>3340</v>
      </c>
      <c r="AK780" s="35" t="s">
        <v>1672</v>
      </c>
      <c r="AL780" s="29" t="s">
        <v>3362</v>
      </c>
      <c r="AM780" s="35"/>
      <c r="AN780" s="35"/>
      <c r="AO780" s="35"/>
      <c r="AP780" s="35"/>
      <c r="AQ780" s="35"/>
      <c r="AS780" s="35"/>
      <c r="AU780" s="35"/>
      <c r="AW780" s="35"/>
      <c r="AY780" s="35"/>
      <c r="AZ780" s="35"/>
      <c r="BA780" s="35"/>
      <c r="BH780" s="29" t="s">
        <v>2579</v>
      </c>
      <c r="BI780" s="35"/>
      <c r="BJ780" s="35"/>
      <c r="BK780" s="29" t="str" cm="1">
        <f t="array" ref="BK780">_xlfn.UNIQUE(MID(BB780,16,14))</f>
        <v/>
      </c>
    </row>
    <row r="781" spans="1:63" hidden="1" x14ac:dyDescent="0.3">
      <c r="A781" s="29" t="s">
        <v>2580</v>
      </c>
      <c r="B781" s="36" t="str">
        <f t="shared" si="60"/>
        <v>V01NHC60BZ001-QM01</v>
      </c>
      <c r="C781" s="33" t="s">
        <v>4169</v>
      </c>
      <c r="D781" s="34" t="str">
        <f t="shared" si="61"/>
        <v>GAS TRT H2 HANDOVR MEAS1 SV1 CMD OFF/CL</v>
      </c>
      <c r="E781" s="31">
        <f t="shared" si="62"/>
        <v>39</v>
      </c>
      <c r="F781" s="32" t="str">
        <f t="shared" si="63"/>
        <v>GAS TREATMENT SYSTEM GAS TREATMENT SYSTEM 1 H2 TREATMENT PRODUCT GAS ANALYTIC SYSTEM MEASUREMENT SYSTEMS MEASUREMENT SYSTEM 1 BALL VALVE (GENERAL) MANUAL COMMAND OFF/CLOSE</v>
      </c>
      <c r="G781" s="29" t="s">
        <v>2544</v>
      </c>
      <c r="H781" s="29" t="s">
        <v>2545</v>
      </c>
      <c r="I781" s="29" t="str">
        <f t="shared" si="64"/>
        <v>01</v>
      </c>
      <c r="J781" s="29" t="s">
        <v>2546</v>
      </c>
      <c r="K781" s="29" t="s">
        <v>1617</v>
      </c>
      <c r="L781" s="29" t="s">
        <v>1618</v>
      </c>
      <c r="M781" s="29" t="s">
        <v>2582</v>
      </c>
      <c r="N781" s="29" t="s">
        <v>2583</v>
      </c>
      <c r="O781" s="29" t="s">
        <v>1845</v>
      </c>
      <c r="P781" s="29" t="s">
        <v>2584</v>
      </c>
      <c r="Q781" s="29" t="s">
        <v>1623</v>
      </c>
      <c r="R781" s="29" t="s">
        <v>2585</v>
      </c>
      <c r="S781" s="29" t="s">
        <v>3471</v>
      </c>
      <c r="T781" s="29" t="s">
        <v>2638</v>
      </c>
      <c r="U781" s="29" t="s">
        <v>3918</v>
      </c>
      <c r="V781" s="29" t="s">
        <v>3588</v>
      </c>
      <c r="W781" s="35" t="s">
        <v>2549</v>
      </c>
      <c r="X781" s="35" t="s">
        <v>2586</v>
      </c>
      <c r="Y781" s="35" t="s">
        <v>1851</v>
      </c>
      <c r="Z781" s="35" t="s">
        <v>3473</v>
      </c>
      <c r="AA781" s="35" t="s">
        <v>3919</v>
      </c>
      <c r="AC781" s="35" t="s">
        <v>1633</v>
      </c>
      <c r="AD781" s="35" t="s">
        <v>1634</v>
      </c>
      <c r="AE781" s="35" t="s">
        <v>1634</v>
      </c>
      <c r="AF781" s="35" t="s">
        <v>1635</v>
      </c>
      <c r="AG781" s="35" t="s">
        <v>1636</v>
      </c>
      <c r="AI781" s="35"/>
      <c r="AJ781" s="35" t="s">
        <v>3340</v>
      </c>
      <c r="AK781" s="35" t="s">
        <v>1672</v>
      </c>
      <c r="AL781" s="29" t="s">
        <v>3362</v>
      </c>
      <c r="AM781" s="35"/>
      <c r="AN781" s="35"/>
      <c r="AO781" s="35"/>
      <c r="AP781" s="35"/>
      <c r="AQ781" s="35"/>
      <c r="AS781" s="35"/>
      <c r="AU781" s="35"/>
      <c r="AW781" s="35"/>
      <c r="AY781" s="35"/>
      <c r="AZ781" s="35"/>
      <c r="BA781" s="35"/>
      <c r="BH781" s="29" t="s">
        <v>2587</v>
      </c>
      <c r="BI781" s="35"/>
      <c r="BJ781" s="35"/>
      <c r="BK781" s="29" t="str" cm="1">
        <f t="array" ref="BK781">_xlfn.UNIQUE(MID(BB781,16,14))</f>
        <v/>
      </c>
    </row>
    <row r="782" spans="1:63" hidden="1" x14ac:dyDescent="0.3">
      <c r="A782" s="29" t="s">
        <v>2580</v>
      </c>
      <c r="B782" s="36" t="str">
        <f t="shared" si="60"/>
        <v>V01NHC60BZ001-QM02</v>
      </c>
      <c r="C782" s="33" t="s">
        <v>4170</v>
      </c>
      <c r="D782" s="34" t="str">
        <f t="shared" si="61"/>
        <v>GAS TRT H2 HANDOVR MEAS1 SV2 CMD OFF/CL</v>
      </c>
      <c r="E782" s="31">
        <f t="shared" si="62"/>
        <v>39</v>
      </c>
      <c r="F782" s="32" t="str">
        <f t="shared" si="63"/>
        <v>GAS TREATMENT SYSTEM GAS TREATMENT SYSTEM 1 H2 TREATMENT PRODUCT GAS ANALYTIC SYSTEM MEASUREMENT SYSTEMS MEASUREMENT SYSTEM 1 BALL VALVE (GENERAL) MANUAL COMMAND OFF/CLOSE</v>
      </c>
      <c r="G782" s="29" t="s">
        <v>2544</v>
      </c>
      <c r="H782" s="29" t="s">
        <v>2545</v>
      </c>
      <c r="I782" s="29" t="str">
        <f t="shared" si="64"/>
        <v>01</v>
      </c>
      <c r="J782" s="29" t="s">
        <v>2546</v>
      </c>
      <c r="K782" s="29" t="s">
        <v>1617</v>
      </c>
      <c r="L782" s="29" t="s">
        <v>1618</v>
      </c>
      <c r="M782" s="29" t="s">
        <v>2582</v>
      </c>
      <c r="N782" s="29" t="s">
        <v>2583</v>
      </c>
      <c r="O782" s="29" t="s">
        <v>1845</v>
      </c>
      <c r="P782" s="29" t="s">
        <v>2584</v>
      </c>
      <c r="Q782" s="29" t="s">
        <v>1623</v>
      </c>
      <c r="R782" s="29" t="s">
        <v>2585</v>
      </c>
      <c r="S782" s="29" t="s">
        <v>3860</v>
      </c>
      <c r="T782" s="29" t="s">
        <v>2638</v>
      </c>
      <c r="U782" s="29" t="s">
        <v>3918</v>
      </c>
      <c r="V782" s="29" t="s">
        <v>3588</v>
      </c>
      <c r="W782" s="35" t="s">
        <v>2549</v>
      </c>
      <c r="X782" s="35" t="s">
        <v>2586</v>
      </c>
      <c r="Y782" s="35" t="s">
        <v>1851</v>
      </c>
      <c r="Z782" s="35" t="s">
        <v>3862</v>
      </c>
      <c r="AA782" s="35" t="s">
        <v>3919</v>
      </c>
      <c r="AC782" s="35" t="s">
        <v>1633</v>
      </c>
      <c r="AD782" s="35" t="s">
        <v>1634</v>
      </c>
      <c r="AE782" s="35" t="s">
        <v>1634</v>
      </c>
      <c r="AF782" s="35" t="s">
        <v>1635</v>
      </c>
      <c r="AG782" s="35" t="s">
        <v>1636</v>
      </c>
      <c r="AI782" s="35"/>
      <c r="AJ782" s="35" t="s">
        <v>3340</v>
      </c>
      <c r="AK782" s="35" t="s">
        <v>1672</v>
      </c>
      <c r="AL782" s="29" t="s">
        <v>3362</v>
      </c>
      <c r="AM782" s="35"/>
      <c r="AN782" s="35"/>
      <c r="AO782" s="35"/>
      <c r="AP782" s="35"/>
      <c r="AQ782" s="35"/>
      <c r="AS782" s="35"/>
      <c r="AU782" s="35"/>
      <c r="AW782" s="35"/>
      <c r="AY782" s="35"/>
      <c r="AZ782" s="35"/>
      <c r="BA782" s="35"/>
      <c r="BH782" s="29" t="s">
        <v>2587</v>
      </c>
      <c r="BI782" s="35"/>
      <c r="BJ782" s="35"/>
      <c r="BK782" s="29" t="str" cm="1">
        <f t="array" ref="BK782">_xlfn.UNIQUE(MID(BB782,16,14))</f>
        <v/>
      </c>
    </row>
    <row r="783" spans="1:63" hidden="1" x14ac:dyDescent="0.3">
      <c r="A783" s="29" t="s">
        <v>2580</v>
      </c>
      <c r="B783" s="36" t="str">
        <f t="shared" si="60"/>
        <v>V01NHC60BZ001-QM03</v>
      </c>
      <c r="C783" s="33" t="s">
        <v>4171</v>
      </c>
      <c r="D783" s="34" t="str">
        <f t="shared" si="61"/>
        <v>GAS TRT H2 HANDOVR MEAS1 SV3 CMD OFF/CL</v>
      </c>
      <c r="E783" s="31">
        <f t="shared" si="62"/>
        <v>39</v>
      </c>
      <c r="F783" s="32" t="str">
        <f t="shared" si="63"/>
        <v>GAS TREATMENT SYSTEM GAS TREATMENT SYSTEM 1 H2 TREATMENT PRODUCT GAS ANALYTIC SYSTEM MEASUREMENT SYSTEMS MEASUREMENT SYSTEM 1 BALL VALVE (GENERAL) MANUAL COMMAND OFF/CLOSE</v>
      </c>
      <c r="G783" s="29" t="s">
        <v>2544</v>
      </c>
      <c r="H783" s="29" t="s">
        <v>2545</v>
      </c>
      <c r="I783" s="29" t="str">
        <f t="shared" si="64"/>
        <v>01</v>
      </c>
      <c r="J783" s="29" t="s">
        <v>2546</v>
      </c>
      <c r="K783" s="29" t="s">
        <v>1617</v>
      </c>
      <c r="L783" s="29" t="s">
        <v>1618</v>
      </c>
      <c r="M783" s="29" t="s">
        <v>2582</v>
      </c>
      <c r="N783" s="29" t="s">
        <v>2583</v>
      </c>
      <c r="O783" s="29" t="s">
        <v>1845</v>
      </c>
      <c r="P783" s="29" t="s">
        <v>2584</v>
      </c>
      <c r="Q783" s="29" t="s">
        <v>1623</v>
      </c>
      <c r="R783" s="29" t="s">
        <v>2585</v>
      </c>
      <c r="S783" s="29" t="s">
        <v>3865</v>
      </c>
      <c r="T783" s="29" t="s">
        <v>2638</v>
      </c>
      <c r="U783" s="29" t="s">
        <v>3918</v>
      </c>
      <c r="V783" s="29" t="s">
        <v>3588</v>
      </c>
      <c r="W783" s="35" t="s">
        <v>2549</v>
      </c>
      <c r="X783" s="35" t="s">
        <v>2586</v>
      </c>
      <c r="Y783" s="35" t="s">
        <v>1851</v>
      </c>
      <c r="Z783" s="35" t="s">
        <v>3866</v>
      </c>
      <c r="AA783" s="35" t="s">
        <v>3919</v>
      </c>
      <c r="AC783" s="35" t="s">
        <v>1633</v>
      </c>
      <c r="AD783" s="35" t="s">
        <v>1634</v>
      </c>
      <c r="AE783" s="35" t="s">
        <v>1634</v>
      </c>
      <c r="AF783" s="35" t="s">
        <v>1635</v>
      </c>
      <c r="AG783" s="35" t="s">
        <v>1636</v>
      </c>
      <c r="AI783" s="35"/>
      <c r="AJ783" s="35" t="s">
        <v>3340</v>
      </c>
      <c r="AK783" s="35" t="s">
        <v>1672</v>
      </c>
      <c r="AL783" s="29" t="s">
        <v>3362</v>
      </c>
      <c r="AM783" s="35"/>
      <c r="AN783" s="35"/>
      <c r="AO783" s="35"/>
      <c r="AP783" s="35"/>
      <c r="AQ783" s="35"/>
      <c r="AS783" s="35"/>
      <c r="AU783" s="35"/>
      <c r="AW783" s="35"/>
      <c r="AY783" s="35"/>
      <c r="AZ783" s="35"/>
      <c r="BA783" s="35"/>
      <c r="BH783" s="29" t="s">
        <v>2587</v>
      </c>
      <c r="BI783" s="35"/>
      <c r="BJ783" s="35"/>
      <c r="BK783" s="29" t="str" cm="1">
        <f t="array" ref="BK783">_xlfn.UNIQUE(MID(BB783,16,14))</f>
        <v/>
      </c>
    </row>
    <row r="784" spans="1:63" hidden="1" x14ac:dyDescent="0.3">
      <c r="A784" s="29" t="s">
        <v>2590</v>
      </c>
      <c r="B784" s="36" t="str">
        <f t="shared" si="60"/>
        <v>V01NHC61BZ001-QM01</v>
      </c>
      <c r="C784" s="33" t="s">
        <v>4172</v>
      </c>
      <c r="D784" s="34" t="str">
        <f t="shared" si="61"/>
        <v>GAS TRT H2 HANDOVR MEAS1 SV1 CMD OFF/CL</v>
      </c>
      <c r="E784" s="31">
        <f t="shared" si="62"/>
        <v>39</v>
      </c>
      <c r="F784" s="32" t="str">
        <f t="shared" si="63"/>
        <v>GAS TREATMENT SYSTEM GAS TREATMENT SYSTEM 1 H2 TREATMENT PRODUCT GAS ANALYTIK SYSTEM MEASUREMENT SYSTEMS MEASUREMENT SYSTEM 1 BALL VALVE (GENERAL) MANUAL COMMAND OFF/CLOSE</v>
      </c>
      <c r="G784" s="29" t="s">
        <v>2544</v>
      </c>
      <c r="H784" s="29" t="s">
        <v>2545</v>
      </c>
      <c r="I784" s="29" t="str">
        <f t="shared" si="64"/>
        <v>01</v>
      </c>
      <c r="J784" s="29" t="s">
        <v>2546</v>
      </c>
      <c r="K784" s="29" t="s">
        <v>1617</v>
      </c>
      <c r="L784" s="29" t="s">
        <v>1618</v>
      </c>
      <c r="M784" s="29" t="s">
        <v>2592</v>
      </c>
      <c r="N784" s="29" t="s">
        <v>2593</v>
      </c>
      <c r="O784" s="29" t="s">
        <v>1845</v>
      </c>
      <c r="P784" s="29" t="s">
        <v>2584</v>
      </c>
      <c r="Q784" s="29" t="s">
        <v>1623</v>
      </c>
      <c r="R784" s="29" t="s">
        <v>2585</v>
      </c>
      <c r="S784" s="29" t="s">
        <v>3471</v>
      </c>
      <c r="T784" s="29" t="s">
        <v>2638</v>
      </c>
      <c r="U784" s="29" t="s">
        <v>3918</v>
      </c>
      <c r="V784" s="29" t="s">
        <v>3588</v>
      </c>
      <c r="W784" s="35" t="s">
        <v>2549</v>
      </c>
      <c r="X784" s="35" t="s">
        <v>2586</v>
      </c>
      <c r="Y784" s="35" t="s">
        <v>1851</v>
      </c>
      <c r="Z784" s="35" t="s">
        <v>3473</v>
      </c>
      <c r="AA784" s="35" t="s">
        <v>3919</v>
      </c>
      <c r="AC784" s="35" t="s">
        <v>1633</v>
      </c>
      <c r="AD784" s="35" t="s">
        <v>1634</v>
      </c>
      <c r="AE784" s="35" t="s">
        <v>1634</v>
      </c>
      <c r="AF784" s="35" t="s">
        <v>1635</v>
      </c>
      <c r="AG784" s="35" t="s">
        <v>1636</v>
      </c>
      <c r="AI784" s="35"/>
      <c r="AJ784" s="35" t="s">
        <v>3340</v>
      </c>
      <c r="AK784" s="35" t="s">
        <v>1672</v>
      </c>
      <c r="AL784" s="29" t="s">
        <v>3362</v>
      </c>
      <c r="AM784" s="35"/>
      <c r="AN784" s="35"/>
      <c r="AO784" s="35"/>
      <c r="AP784" s="35"/>
      <c r="AQ784" s="35"/>
      <c r="AS784" s="35"/>
      <c r="AU784" s="35"/>
      <c r="AW784" s="35"/>
      <c r="AY784" s="35"/>
      <c r="AZ784" s="35"/>
      <c r="BA784" s="35"/>
      <c r="BH784" s="29" t="s">
        <v>2594</v>
      </c>
      <c r="BI784" s="35"/>
      <c r="BJ784" s="35"/>
      <c r="BK784" s="29" t="str" cm="1">
        <f t="array" ref="BK784">_xlfn.UNIQUE(MID(BB784,16,14))</f>
        <v/>
      </c>
    </row>
    <row r="785" spans="1:63" hidden="1" x14ac:dyDescent="0.3">
      <c r="A785" s="29" t="s">
        <v>2590</v>
      </c>
      <c r="B785" s="36" t="str">
        <f t="shared" si="60"/>
        <v>V01NHC61BZ001-QM02</v>
      </c>
      <c r="C785" s="33" t="s">
        <v>4173</v>
      </c>
      <c r="D785" s="34" t="str">
        <f t="shared" si="61"/>
        <v>GAS TRT H2 HANDOVR MEAS1 SV2 CMD OFF/CL</v>
      </c>
      <c r="E785" s="31">
        <f t="shared" si="62"/>
        <v>39</v>
      </c>
      <c r="F785" s="32" t="str">
        <f t="shared" si="63"/>
        <v>GAS TREATMENT SYSTEM GAS TREATMENT SYSTEM 1 H2 TREATMENT PRODUCT GAS ANALYTIK SYSTEM MEASUREMENT SYSTEMS MEASUREMENT SYSTEM 1 BALL VALVE (GENERAL) MANUAL COMMAND OFF/CLOSE</v>
      </c>
      <c r="G785" s="29" t="s">
        <v>2544</v>
      </c>
      <c r="H785" s="29" t="s">
        <v>2545</v>
      </c>
      <c r="I785" s="29" t="str">
        <f t="shared" si="64"/>
        <v>01</v>
      </c>
      <c r="J785" s="29" t="s">
        <v>2546</v>
      </c>
      <c r="K785" s="29" t="s">
        <v>1617</v>
      </c>
      <c r="L785" s="29" t="s">
        <v>1618</v>
      </c>
      <c r="M785" s="29" t="s">
        <v>2592</v>
      </c>
      <c r="N785" s="29" t="s">
        <v>2593</v>
      </c>
      <c r="O785" s="29" t="s">
        <v>1845</v>
      </c>
      <c r="P785" s="29" t="s">
        <v>2584</v>
      </c>
      <c r="Q785" s="29" t="s">
        <v>1623</v>
      </c>
      <c r="R785" s="29" t="s">
        <v>2585</v>
      </c>
      <c r="S785" s="29" t="s">
        <v>3860</v>
      </c>
      <c r="T785" s="29" t="s">
        <v>2638</v>
      </c>
      <c r="U785" s="29" t="s">
        <v>3918</v>
      </c>
      <c r="V785" s="29" t="s">
        <v>3588</v>
      </c>
      <c r="W785" s="35" t="s">
        <v>2549</v>
      </c>
      <c r="X785" s="35" t="s">
        <v>2586</v>
      </c>
      <c r="Y785" s="35" t="s">
        <v>1851</v>
      </c>
      <c r="Z785" s="35" t="s">
        <v>3862</v>
      </c>
      <c r="AA785" s="35" t="s">
        <v>3919</v>
      </c>
      <c r="AC785" s="35" t="s">
        <v>1633</v>
      </c>
      <c r="AD785" s="35" t="s">
        <v>1634</v>
      </c>
      <c r="AE785" s="35" t="s">
        <v>1634</v>
      </c>
      <c r="AF785" s="35" t="s">
        <v>1635</v>
      </c>
      <c r="AG785" s="35" t="s">
        <v>1636</v>
      </c>
      <c r="AI785" s="35"/>
      <c r="AJ785" s="35" t="s">
        <v>3340</v>
      </c>
      <c r="AK785" s="35" t="s">
        <v>1672</v>
      </c>
      <c r="AL785" s="29" t="s">
        <v>3362</v>
      </c>
      <c r="AM785" s="35"/>
      <c r="AN785" s="35"/>
      <c r="AO785" s="35"/>
      <c r="AP785" s="35"/>
      <c r="AQ785" s="35"/>
      <c r="AS785" s="35"/>
      <c r="AU785" s="35"/>
      <c r="AW785" s="35"/>
      <c r="AY785" s="35"/>
      <c r="AZ785" s="35"/>
      <c r="BA785" s="35"/>
      <c r="BH785" s="29" t="s">
        <v>2594</v>
      </c>
      <c r="BI785" s="35"/>
      <c r="BJ785" s="35"/>
      <c r="BK785" s="29" t="str" cm="1">
        <f t="array" ref="BK785">_xlfn.UNIQUE(MID(BB785,16,14))</f>
        <v/>
      </c>
    </row>
    <row r="786" spans="1:63" hidden="1" x14ac:dyDescent="0.3">
      <c r="A786" s="29" t="s">
        <v>2590</v>
      </c>
      <c r="B786" s="36" t="str">
        <f t="shared" si="60"/>
        <v>V01NHC61BZ001-QM03</v>
      </c>
      <c r="C786" s="33" t="s">
        <v>4174</v>
      </c>
      <c r="D786" s="34" t="str">
        <f t="shared" si="61"/>
        <v>GAS TRT H2 HANDOVR MEAS1 SV3 CMD OFF/CL</v>
      </c>
      <c r="E786" s="31">
        <f t="shared" si="62"/>
        <v>39</v>
      </c>
      <c r="F786" s="32" t="str">
        <f t="shared" si="63"/>
        <v>GAS TREATMENT SYSTEM GAS TREATMENT SYSTEM 1 H2 TREATMENT PRODUCT GAS ANALYTIK SYSTEM MEASUREMENT SYSTEMS MEASUREMENT SYSTEM 1 BALL VALVE (GENERAL) MANUAL COMMAND OFF/CLOSE</v>
      </c>
      <c r="G786" s="29" t="s">
        <v>2544</v>
      </c>
      <c r="H786" s="29" t="s">
        <v>2545</v>
      </c>
      <c r="I786" s="29" t="str">
        <f t="shared" si="64"/>
        <v>01</v>
      </c>
      <c r="J786" s="29" t="s">
        <v>2546</v>
      </c>
      <c r="K786" s="29" t="s">
        <v>1617</v>
      </c>
      <c r="L786" s="29" t="s">
        <v>1618</v>
      </c>
      <c r="M786" s="29" t="s">
        <v>2592</v>
      </c>
      <c r="N786" s="29" t="s">
        <v>2593</v>
      </c>
      <c r="O786" s="29" t="s">
        <v>1845</v>
      </c>
      <c r="P786" s="29" t="s">
        <v>2584</v>
      </c>
      <c r="Q786" s="29" t="s">
        <v>1623</v>
      </c>
      <c r="R786" s="29" t="s">
        <v>2585</v>
      </c>
      <c r="S786" s="29" t="s">
        <v>3865</v>
      </c>
      <c r="T786" s="29" t="s">
        <v>2638</v>
      </c>
      <c r="U786" s="29" t="s">
        <v>3918</v>
      </c>
      <c r="V786" s="29" t="s">
        <v>3588</v>
      </c>
      <c r="W786" s="35" t="s">
        <v>2549</v>
      </c>
      <c r="X786" s="35" t="s">
        <v>2586</v>
      </c>
      <c r="Y786" s="35" t="s">
        <v>1851</v>
      </c>
      <c r="Z786" s="35" t="s">
        <v>3866</v>
      </c>
      <c r="AA786" s="35" t="s">
        <v>3919</v>
      </c>
      <c r="AC786" s="35" t="s">
        <v>1633</v>
      </c>
      <c r="AD786" s="35" t="s">
        <v>1634</v>
      </c>
      <c r="AE786" s="35" t="s">
        <v>1634</v>
      </c>
      <c r="AF786" s="35" t="s">
        <v>1635</v>
      </c>
      <c r="AG786" s="35" t="s">
        <v>1636</v>
      </c>
      <c r="AI786" s="35"/>
      <c r="AJ786" s="35" t="s">
        <v>3340</v>
      </c>
      <c r="AK786" s="35" t="s">
        <v>1672</v>
      </c>
      <c r="AL786" s="29" t="s">
        <v>3362</v>
      </c>
      <c r="AM786" s="35"/>
      <c r="AN786" s="35"/>
      <c r="AO786" s="35"/>
      <c r="AP786" s="35"/>
      <c r="AQ786" s="35"/>
      <c r="AS786" s="35"/>
      <c r="AU786" s="35"/>
      <c r="AW786" s="35"/>
      <c r="AY786" s="35"/>
      <c r="AZ786" s="35"/>
      <c r="BA786" s="35"/>
      <c r="BH786" s="29" t="s">
        <v>2594</v>
      </c>
      <c r="BI786" s="35"/>
      <c r="BJ786" s="35"/>
      <c r="BK786" s="29" t="str" cm="1">
        <f t="array" ref="BK786">_xlfn.UNIQUE(MID(BB786,16,14))</f>
        <v/>
      </c>
    </row>
    <row r="787" spans="1:63" x14ac:dyDescent="0.3">
      <c r="A787" s="29" t="s">
        <v>1892</v>
      </c>
      <c r="B787" s="36" t="str">
        <f t="shared" si="60"/>
        <v>G01NHA01EQ001-KZ01</v>
      </c>
      <c r="C787" s="33"/>
      <c r="D787" s="34" t="str">
        <f t="shared" si="61"/>
        <v>ELY1 RECT1 COOL AUTOM FKT ANALOG1</v>
      </c>
      <c r="E787" s="31">
        <f t="shared" si="62"/>
        <v>33</v>
      </c>
      <c r="F787" s="32" t="str">
        <f t="shared" si="63"/>
        <v>ELECTROLYSIS SYSTEM ELECTROLYSIS ARRAY 1 RECTIFIER SYSTEMS RECTIFIER SYSTEM 1 COOLING SYSTEMS RECTIFIER COOLING SYSTEM DIFFERENTIAL PRESSURE PUMP ANALOG PROCESS SIGNAL</v>
      </c>
      <c r="G787" s="29" t="s">
        <v>1614</v>
      </c>
      <c r="H787" s="29" t="s">
        <v>1615</v>
      </c>
      <c r="I787" s="29" t="str">
        <f t="shared" si="64"/>
        <v>01</v>
      </c>
      <c r="J787" s="29" t="s">
        <v>1616</v>
      </c>
      <c r="K787" s="29" t="s">
        <v>1842</v>
      </c>
      <c r="L787" s="29" t="s">
        <v>1843</v>
      </c>
      <c r="M787" s="29" t="s">
        <v>1619</v>
      </c>
      <c r="N787" s="29" t="s">
        <v>1844</v>
      </c>
      <c r="O787" s="29" t="s">
        <v>1894</v>
      </c>
      <c r="P787" s="29" t="s">
        <v>1895</v>
      </c>
      <c r="Q787" s="29" t="s">
        <v>1623</v>
      </c>
      <c r="R787" s="29" t="s">
        <v>1896</v>
      </c>
      <c r="S787" s="29" t="s">
        <v>4175</v>
      </c>
      <c r="T787" s="29" t="s">
        <v>4176</v>
      </c>
      <c r="U787" s="29" t="s">
        <v>193</v>
      </c>
      <c r="V787" s="29" t="s">
        <v>1083</v>
      </c>
      <c r="W787" s="35" t="s">
        <v>1628</v>
      </c>
      <c r="X787" s="35" t="s">
        <v>1850</v>
      </c>
      <c r="Y787" s="35" t="s">
        <v>1898</v>
      </c>
      <c r="Z787" s="35" t="s">
        <v>4177</v>
      </c>
      <c r="AA787" s="35" t="s">
        <v>1666</v>
      </c>
      <c r="AC787" s="35" t="s">
        <v>4178</v>
      </c>
      <c r="AD787" s="35"/>
      <c r="AE787" s="35"/>
      <c r="AF787" s="35" t="s">
        <v>4179</v>
      </c>
      <c r="AG787" s="35" t="s">
        <v>1728</v>
      </c>
      <c r="AI787" s="35"/>
      <c r="AJ787" s="35"/>
      <c r="AK787" s="35"/>
      <c r="AL787" s="29" t="s">
        <v>4180</v>
      </c>
      <c r="AM787" s="35"/>
      <c r="AN787" s="35"/>
      <c r="AO787" s="35"/>
      <c r="AP787" s="35"/>
      <c r="AQ787" s="35"/>
      <c r="AR787" s="29" t="s">
        <v>1756</v>
      </c>
      <c r="AS787" s="35"/>
      <c r="AT787" s="29" t="s">
        <v>1640</v>
      </c>
      <c r="AU787" s="35"/>
      <c r="AW787" s="35"/>
      <c r="AY787" s="35"/>
      <c r="AZ787" s="35"/>
      <c r="BA787" s="35"/>
      <c r="BH787" s="29" t="s">
        <v>1902</v>
      </c>
      <c r="BI787" s="35"/>
      <c r="BJ787" s="35"/>
      <c r="BK787" s="29" t="str" cm="1">
        <f t="array" ref="BK787">_xlfn.UNIQUE(MID(BB787,16,14))</f>
        <v/>
      </c>
    </row>
    <row r="788" spans="1:63" x14ac:dyDescent="0.3">
      <c r="A788" s="29" t="s">
        <v>3129</v>
      </c>
      <c r="B788" s="36" t="str">
        <f t="shared" si="60"/>
        <v>G01NHA01TB001-BC01</v>
      </c>
      <c r="C788" s="33"/>
      <c r="D788" s="34" t="str">
        <f t="shared" si="61"/>
        <v>ELY1 RECT1 RECT1 CURR1 ANALOG1</v>
      </c>
      <c r="E788" s="31">
        <f t="shared" si="62"/>
        <v>30</v>
      </c>
      <c r="F788" s="32" t="str">
        <f t="shared" si="63"/>
        <v>ELECTROLYSIS SYSTEM ELECTROLYSIS ARRAY 1 RECTIFIER SYSTEMS RECTIFIER SYSTEM 1 RECTIFIERS RECTIFIER 1 CURRENT TRANSFORMER - U AC CURRENT MEASUREMENT - PHASE U</v>
      </c>
      <c r="G788" s="29" t="s">
        <v>1614</v>
      </c>
      <c r="H788" s="29" t="s">
        <v>1615</v>
      </c>
      <c r="I788" s="29" t="str">
        <f t="shared" si="64"/>
        <v>01</v>
      </c>
      <c r="J788" s="29" t="s">
        <v>1616</v>
      </c>
      <c r="K788" s="29" t="s">
        <v>1842</v>
      </c>
      <c r="L788" s="29" t="s">
        <v>1843</v>
      </c>
      <c r="M788" s="29" t="s">
        <v>1619</v>
      </c>
      <c r="N788" s="29" t="s">
        <v>1844</v>
      </c>
      <c r="O788" s="29" t="s">
        <v>3131</v>
      </c>
      <c r="P788" s="29" t="s">
        <v>3132</v>
      </c>
      <c r="Q788" s="29" t="s">
        <v>1623</v>
      </c>
      <c r="R788" s="29" t="s">
        <v>3133</v>
      </c>
      <c r="S788" s="29" t="s">
        <v>1848</v>
      </c>
      <c r="T788" s="29" t="s">
        <v>4181</v>
      </c>
      <c r="U788" s="29" t="s">
        <v>193</v>
      </c>
      <c r="V788" s="29" t="s">
        <v>4182</v>
      </c>
      <c r="W788" s="35" t="s">
        <v>1628</v>
      </c>
      <c r="X788" s="35" t="s">
        <v>1850</v>
      </c>
      <c r="Y788" s="35" t="s">
        <v>1850</v>
      </c>
      <c r="Z788" s="35" t="s">
        <v>1852</v>
      </c>
      <c r="AA788" s="35" t="s">
        <v>1666</v>
      </c>
      <c r="AB788" s="29" t="s">
        <v>1667</v>
      </c>
      <c r="AC788" s="35" t="s">
        <v>1633</v>
      </c>
      <c r="AD788" s="35"/>
      <c r="AE788" s="35"/>
      <c r="AF788" s="35" t="s">
        <v>4179</v>
      </c>
      <c r="AG788" s="35" t="s">
        <v>1728</v>
      </c>
      <c r="AI788" s="35"/>
      <c r="AJ788" s="35"/>
      <c r="AK788" s="35"/>
      <c r="AL788" s="29" t="s">
        <v>4183</v>
      </c>
      <c r="AM788" s="35"/>
      <c r="AN788" s="35"/>
      <c r="AO788" s="35"/>
      <c r="AP788" s="35"/>
      <c r="AQ788" s="35"/>
      <c r="AS788" s="35"/>
      <c r="AU788" s="35"/>
      <c r="AW788" s="35"/>
      <c r="AY788" s="35"/>
      <c r="AZ788" s="35"/>
      <c r="BA788" s="35"/>
      <c r="BI788" s="35"/>
      <c r="BJ788" s="35"/>
      <c r="BK788" s="29" t="str" cm="1">
        <f t="array" ref="BK788">_xlfn.UNIQUE(MID(BB788,16,14))</f>
        <v/>
      </c>
    </row>
    <row r="789" spans="1:63" x14ac:dyDescent="0.3">
      <c r="A789" s="29" t="s">
        <v>3129</v>
      </c>
      <c r="B789" s="36" t="str">
        <f t="shared" si="60"/>
        <v>G01NHA01TB001-BC02</v>
      </c>
      <c r="C789" s="33"/>
      <c r="D789" s="34" t="str">
        <f t="shared" si="61"/>
        <v>ELY1 RECT1 RECT1 CURR2 ANALOG1</v>
      </c>
      <c r="E789" s="31">
        <f t="shared" si="62"/>
        <v>30</v>
      </c>
      <c r="F789" s="32" t="str">
        <f t="shared" si="63"/>
        <v>ELECTROLYSIS SYSTEM ELECTROLYSIS ARRAY 1 RECTIFIER SYSTEMS RECTIFIER SYSTEM 1 RECTIFIERS RECTIFIER 1 CURRENT TRANSFORMER - V AC CURRENT MEASUREMENT - PHASE V</v>
      </c>
      <c r="G789" s="29" t="s">
        <v>1614</v>
      </c>
      <c r="H789" s="29" t="s">
        <v>1615</v>
      </c>
      <c r="I789" s="29" t="str">
        <f t="shared" si="64"/>
        <v>01</v>
      </c>
      <c r="J789" s="29" t="s">
        <v>1616</v>
      </c>
      <c r="K789" s="29" t="s">
        <v>1842</v>
      </c>
      <c r="L789" s="29" t="s">
        <v>1843</v>
      </c>
      <c r="M789" s="29" t="s">
        <v>1619</v>
      </c>
      <c r="N789" s="29" t="s">
        <v>1844</v>
      </c>
      <c r="O789" s="29" t="s">
        <v>3131</v>
      </c>
      <c r="P789" s="29" t="s">
        <v>3132</v>
      </c>
      <c r="Q789" s="29" t="s">
        <v>1623</v>
      </c>
      <c r="R789" s="29" t="s">
        <v>3133</v>
      </c>
      <c r="S789" s="29" t="s">
        <v>4184</v>
      </c>
      <c r="T789" s="29" t="s">
        <v>4185</v>
      </c>
      <c r="U789" s="29" t="s">
        <v>193</v>
      </c>
      <c r="V789" s="29" t="s">
        <v>4186</v>
      </c>
      <c r="W789" s="35" t="s">
        <v>1628</v>
      </c>
      <c r="X789" s="35" t="s">
        <v>1850</v>
      </c>
      <c r="Y789" s="35" t="s">
        <v>1850</v>
      </c>
      <c r="Z789" s="35" t="s">
        <v>4187</v>
      </c>
      <c r="AA789" s="35" t="s">
        <v>1666</v>
      </c>
      <c r="AB789" s="29" t="s">
        <v>1667</v>
      </c>
      <c r="AC789" s="35" t="s">
        <v>1633</v>
      </c>
      <c r="AD789" s="35"/>
      <c r="AE789" s="35"/>
      <c r="AF789" s="35" t="s">
        <v>4179</v>
      </c>
      <c r="AG789" s="35" t="s">
        <v>1728</v>
      </c>
      <c r="AI789" s="35"/>
      <c r="AJ789" s="35"/>
      <c r="AK789" s="35"/>
      <c r="AL789" s="29" t="s">
        <v>4183</v>
      </c>
      <c r="AM789" s="35"/>
      <c r="AN789" s="35"/>
      <c r="AO789" s="35"/>
      <c r="AP789" s="35"/>
      <c r="AQ789" s="35"/>
      <c r="AS789" s="35"/>
      <c r="AU789" s="35"/>
      <c r="AW789" s="35"/>
      <c r="AY789" s="35"/>
      <c r="AZ789" s="35"/>
      <c r="BA789" s="35"/>
      <c r="BI789" s="35"/>
      <c r="BJ789" s="35"/>
      <c r="BK789" s="29" t="str" cm="1">
        <f t="array" ref="BK789">_xlfn.UNIQUE(MID(BB789,16,14))</f>
        <v/>
      </c>
    </row>
    <row r="790" spans="1:63" x14ac:dyDescent="0.3">
      <c r="A790" s="29" t="s">
        <v>3129</v>
      </c>
      <c r="B790" s="36" t="str">
        <f t="shared" si="60"/>
        <v>G01NHA01TB001-BC03</v>
      </c>
      <c r="C790" s="33"/>
      <c r="D790" s="34" t="str">
        <f t="shared" si="61"/>
        <v>ELY1 RECT1 RECT1 CURR3 ANALOG1</v>
      </c>
      <c r="E790" s="31">
        <f t="shared" si="62"/>
        <v>30</v>
      </c>
      <c r="F790" s="32" t="str">
        <f t="shared" si="63"/>
        <v>ELECTROLYSIS SYSTEM ELECTROLYSIS ARRAY 1 RECTIFIER SYSTEMS RECTIFIER SYSTEM 1 RECTIFIERS RECTIFIER 1 CURRENT TRANSFORMER - W AC CURRENT MEASUREMENT - PHASE W</v>
      </c>
      <c r="G790" s="29" t="s">
        <v>1614</v>
      </c>
      <c r="H790" s="29" t="s">
        <v>1615</v>
      </c>
      <c r="I790" s="29" t="str">
        <f t="shared" si="64"/>
        <v>01</v>
      </c>
      <c r="J790" s="29" t="s">
        <v>1616</v>
      </c>
      <c r="K790" s="29" t="s">
        <v>1842</v>
      </c>
      <c r="L790" s="29" t="s">
        <v>1843</v>
      </c>
      <c r="M790" s="29" t="s">
        <v>1619</v>
      </c>
      <c r="N790" s="29" t="s">
        <v>1844</v>
      </c>
      <c r="O790" s="29" t="s">
        <v>3131</v>
      </c>
      <c r="P790" s="29" t="s">
        <v>3132</v>
      </c>
      <c r="Q790" s="29" t="s">
        <v>1623</v>
      </c>
      <c r="R790" s="29" t="s">
        <v>3133</v>
      </c>
      <c r="S790" s="29" t="s">
        <v>4188</v>
      </c>
      <c r="T790" s="29" t="s">
        <v>4189</v>
      </c>
      <c r="U790" s="29" t="s">
        <v>193</v>
      </c>
      <c r="V790" s="29" t="s">
        <v>4190</v>
      </c>
      <c r="W790" s="35" t="s">
        <v>1628</v>
      </c>
      <c r="X790" s="35" t="s">
        <v>1850</v>
      </c>
      <c r="Y790" s="35" t="s">
        <v>1850</v>
      </c>
      <c r="Z790" s="35" t="s">
        <v>4191</v>
      </c>
      <c r="AA790" s="35" t="s">
        <v>1666</v>
      </c>
      <c r="AB790" s="29" t="s">
        <v>1667</v>
      </c>
      <c r="AC790" s="35" t="s">
        <v>1633</v>
      </c>
      <c r="AD790" s="35"/>
      <c r="AE790" s="35"/>
      <c r="AF790" s="35" t="s">
        <v>4179</v>
      </c>
      <c r="AG790" s="35" t="s">
        <v>1728</v>
      </c>
      <c r="AI790" s="35"/>
      <c r="AJ790" s="35"/>
      <c r="AK790" s="35"/>
      <c r="AL790" s="29" t="s">
        <v>4183</v>
      </c>
      <c r="AM790" s="35"/>
      <c r="AN790" s="35"/>
      <c r="AO790" s="35"/>
      <c r="AP790" s="35"/>
      <c r="AQ790" s="35"/>
      <c r="AS790" s="35"/>
      <c r="AU790" s="35"/>
      <c r="AW790" s="35"/>
      <c r="AY790" s="35"/>
      <c r="AZ790" s="35"/>
      <c r="BA790" s="35"/>
      <c r="BI790" s="35"/>
      <c r="BJ790" s="35"/>
      <c r="BK790" s="29" t="str" cm="1">
        <f t="array" ref="BK790">_xlfn.UNIQUE(MID(BB790,16,14))</f>
        <v/>
      </c>
    </row>
    <row r="791" spans="1:63" x14ac:dyDescent="0.3">
      <c r="A791" s="29" t="s">
        <v>3142</v>
      </c>
      <c r="B791" s="36" t="str">
        <f t="shared" si="60"/>
        <v>G01NHA01TB002-BC01</v>
      </c>
      <c r="C791" s="33"/>
      <c r="D791" s="34" t="str">
        <f t="shared" si="61"/>
        <v>ELY1 RECT1 RECT2 CURR1 ANALOG1</v>
      </c>
      <c r="E791" s="31">
        <f t="shared" si="62"/>
        <v>30</v>
      </c>
      <c r="F791" s="32" t="str">
        <f t="shared" si="63"/>
        <v>ELECTROLYSIS SYSTEM ELECTROLYSIS ARRAY 1 RECTIFIER SYSTEMS RECTIFIER SYSTEM 1 RECTIFIERS RECTIFIER 2 CURRENT TRANSFORMER - U AC CURRENT MEASUREMENT - PHASE U</v>
      </c>
      <c r="G791" s="29" t="s">
        <v>1614</v>
      </c>
      <c r="H791" s="29" t="s">
        <v>1615</v>
      </c>
      <c r="I791" s="29" t="str">
        <f t="shared" si="64"/>
        <v>01</v>
      </c>
      <c r="J791" s="29" t="s">
        <v>1616</v>
      </c>
      <c r="K791" s="29" t="s">
        <v>1842</v>
      </c>
      <c r="L791" s="29" t="s">
        <v>1843</v>
      </c>
      <c r="M791" s="29" t="s">
        <v>1619</v>
      </c>
      <c r="N791" s="29" t="s">
        <v>1844</v>
      </c>
      <c r="O791" s="29" t="s">
        <v>3131</v>
      </c>
      <c r="P791" s="29" t="s">
        <v>3132</v>
      </c>
      <c r="Q791" s="29" t="s">
        <v>1872</v>
      </c>
      <c r="R791" s="29" t="s">
        <v>3144</v>
      </c>
      <c r="S791" s="29" t="s">
        <v>1848</v>
      </c>
      <c r="T791" s="29" t="s">
        <v>4181</v>
      </c>
      <c r="U791" s="29" t="s">
        <v>193</v>
      </c>
      <c r="V791" s="29" t="s">
        <v>4182</v>
      </c>
      <c r="W791" s="35" t="s">
        <v>1628</v>
      </c>
      <c r="X791" s="35" t="s">
        <v>1850</v>
      </c>
      <c r="Y791" s="35" t="s">
        <v>3145</v>
      </c>
      <c r="Z791" s="35" t="s">
        <v>1852</v>
      </c>
      <c r="AA791" s="35" t="s">
        <v>1666</v>
      </c>
      <c r="AB791" s="29" t="s">
        <v>1667</v>
      </c>
      <c r="AC791" s="35" t="s">
        <v>1633</v>
      </c>
      <c r="AD791" s="35"/>
      <c r="AE791" s="35"/>
      <c r="AF791" s="35" t="s">
        <v>4179</v>
      </c>
      <c r="AG791" s="35" t="s">
        <v>1728</v>
      </c>
      <c r="AI791" s="35"/>
      <c r="AJ791" s="35"/>
      <c r="AK791" s="35"/>
      <c r="AL791" s="29" t="s">
        <v>4183</v>
      </c>
      <c r="AM791" s="35"/>
      <c r="AN791" s="35"/>
      <c r="AO791" s="35"/>
      <c r="AP791" s="35"/>
      <c r="AQ791" s="35"/>
      <c r="AS791" s="35"/>
      <c r="AU791" s="35"/>
      <c r="AW791" s="35"/>
      <c r="AY791" s="35"/>
      <c r="AZ791" s="35"/>
      <c r="BA791" s="35"/>
      <c r="BI791" s="35"/>
      <c r="BJ791" s="35"/>
      <c r="BK791" s="29" t="str" cm="1">
        <f t="array" ref="BK791">_xlfn.UNIQUE(MID(BB791,16,14))</f>
        <v/>
      </c>
    </row>
    <row r="792" spans="1:63" x14ac:dyDescent="0.3">
      <c r="A792" s="29" t="s">
        <v>3142</v>
      </c>
      <c r="B792" s="36" t="str">
        <f t="shared" si="60"/>
        <v>G01NHA01TB002-BC02</v>
      </c>
      <c r="C792" s="33"/>
      <c r="D792" s="34" t="str">
        <f t="shared" si="61"/>
        <v>ELY1 RECT1 RECT2 CURR2 ANALOG1</v>
      </c>
      <c r="E792" s="31">
        <f t="shared" si="62"/>
        <v>30</v>
      </c>
      <c r="F792" s="32" t="str">
        <f t="shared" si="63"/>
        <v>ELECTROLYSIS SYSTEM ELECTROLYSIS ARRAY 1 RECTIFIER SYSTEMS RECTIFIER SYSTEM 1 RECTIFIERS RECTIFIER 2 CURRENT TRANSFORMER - V AC CURRENT MEASUREMENT - PHASE V</v>
      </c>
      <c r="G792" s="29" t="s">
        <v>1614</v>
      </c>
      <c r="H792" s="29" t="s">
        <v>1615</v>
      </c>
      <c r="I792" s="29" t="str">
        <f t="shared" si="64"/>
        <v>01</v>
      </c>
      <c r="J792" s="29" t="s">
        <v>1616</v>
      </c>
      <c r="K792" s="29" t="s">
        <v>1842</v>
      </c>
      <c r="L792" s="29" t="s">
        <v>1843</v>
      </c>
      <c r="M792" s="29" t="s">
        <v>1619</v>
      </c>
      <c r="N792" s="29" t="s">
        <v>1844</v>
      </c>
      <c r="O792" s="29" t="s">
        <v>3131</v>
      </c>
      <c r="P792" s="29" t="s">
        <v>3132</v>
      </c>
      <c r="Q792" s="29" t="s">
        <v>1872</v>
      </c>
      <c r="R792" s="29" t="s">
        <v>3144</v>
      </c>
      <c r="S792" s="29" t="s">
        <v>4184</v>
      </c>
      <c r="T792" s="29" t="s">
        <v>4185</v>
      </c>
      <c r="U792" s="29" t="s">
        <v>193</v>
      </c>
      <c r="V792" s="29" t="s">
        <v>4186</v>
      </c>
      <c r="W792" s="35" t="s">
        <v>1628</v>
      </c>
      <c r="X792" s="35" t="s">
        <v>1850</v>
      </c>
      <c r="Y792" s="35" t="s">
        <v>3145</v>
      </c>
      <c r="Z792" s="35" t="s">
        <v>4187</v>
      </c>
      <c r="AA792" s="35" t="s">
        <v>1666</v>
      </c>
      <c r="AB792" s="29" t="s">
        <v>1667</v>
      </c>
      <c r="AC792" s="35" t="s">
        <v>1633</v>
      </c>
      <c r="AD792" s="35"/>
      <c r="AE792" s="35"/>
      <c r="AF792" s="35" t="s">
        <v>4179</v>
      </c>
      <c r="AG792" s="35" t="s">
        <v>1728</v>
      </c>
      <c r="AI792" s="35"/>
      <c r="AJ792" s="35"/>
      <c r="AK792" s="35"/>
      <c r="AL792" s="29" t="s">
        <v>4183</v>
      </c>
      <c r="AM792" s="35"/>
      <c r="AN792" s="35"/>
      <c r="AO792" s="35"/>
      <c r="AP792" s="35"/>
      <c r="AQ792" s="35"/>
      <c r="AS792" s="35"/>
      <c r="AU792" s="35"/>
      <c r="AW792" s="35"/>
      <c r="AY792" s="35"/>
      <c r="AZ792" s="35"/>
      <c r="BA792" s="35"/>
      <c r="BI792" s="35"/>
      <c r="BJ792" s="35"/>
      <c r="BK792" s="29" t="str" cm="1">
        <f t="array" ref="BK792">_xlfn.UNIQUE(MID(BB792,16,14))</f>
        <v/>
      </c>
    </row>
    <row r="793" spans="1:63" x14ac:dyDescent="0.3">
      <c r="A793" s="29" t="s">
        <v>3142</v>
      </c>
      <c r="B793" s="36" t="str">
        <f t="shared" si="60"/>
        <v>G01NHA01TB002-BC03</v>
      </c>
      <c r="C793" s="33"/>
      <c r="D793" s="34" t="str">
        <f t="shared" si="61"/>
        <v>ELY1 RECT1 RECT2 CURR3 ANALOG1</v>
      </c>
      <c r="E793" s="31">
        <f t="shared" si="62"/>
        <v>30</v>
      </c>
      <c r="F793" s="32" t="str">
        <f t="shared" si="63"/>
        <v>ELECTROLYSIS SYSTEM ELECTROLYSIS ARRAY 1 RECTIFIER SYSTEMS RECTIFIER SYSTEM 1 RECTIFIERS RECTIFIER 2 CURRENT TRANSFORMER - W AC CURRENT MEASUREMENT - PHASE W</v>
      </c>
      <c r="G793" s="29" t="s">
        <v>1614</v>
      </c>
      <c r="H793" s="29" t="s">
        <v>1615</v>
      </c>
      <c r="I793" s="29" t="str">
        <f t="shared" si="64"/>
        <v>01</v>
      </c>
      <c r="J793" s="29" t="s">
        <v>1616</v>
      </c>
      <c r="K793" s="29" t="s">
        <v>1842</v>
      </c>
      <c r="L793" s="29" t="s">
        <v>1843</v>
      </c>
      <c r="M793" s="29" t="s">
        <v>1619</v>
      </c>
      <c r="N793" s="29" t="s">
        <v>1844</v>
      </c>
      <c r="O793" s="29" t="s">
        <v>3131</v>
      </c>
      <c r="P793" s="29" t="s">
        <v>3132</v>
      </c>
      <c r="Q793" s="29" t="s">
        <v>1872</v>
      </c>
      <c r="R793" s="29" t="s">
        <v>3144</v>
      </c>
      <c r="S793" s="29" t="s">
        <v>4188</v>
      </c>
      <c r="T793" s="29" t="s">
        <v>4189</v>
      </c>
      <c r="U793" s="29" t="s">
        <v>193</v>
      </c>
      <c r="V793" s="29" t="s">
        <v>4190</v>
      </c>
      <c r="W793" s="35" t="s">
        <v>1628</v>
      </c>
      <c r="X793" s="35" t="s">
        <v>1850</v>
      </c>
      <c r="Y793" s="35" t="s">
        <v>3145</v>
      </c>
      <c r="Z793" s="35" t="s">
        <v>4191</v>
      </c>
      <c r="AA793" s="35" t="s">
        <v>1666</v>
      </c>
      <c r="AB793" s="29" t="s">
        <v>1667</v>
      </c>
      <c r="AC793" s="35" t="s">
        <v>1633</v>
      </c>
      <c r="AD793" s="35"/>
      <c r="AE793" s="35"/>
      <c r="AF793" s="35" t="s">
        <v>4179</v>
      </c>
      <c r="AG793" s="35" t="s">
        <v>1728</v>
      </c>
      <c r="AI793" s="35"/>
      <c r="AJ793" s="35"/>
      <c r="AK793" s="35"/>
      <c r="AL793" s="29" t="s">
        <v>4183</v>
      </c>
      <c r="AM793" s="35"/>
      <c r="AN793" s="35"/>
      <c r="AO793" s="35"/>
      <c r="AP793" s="35"/>
      <c r="AQ793" s="35"/>
      <c r="AS793" s="35"/>
      <c r="AU793" s="35"/>
      <c r="AW793" s="35"/>
      <c r="AY793" s="35"/>
      <c r="AZ793" s="35"/>
      <c r="BA793" s="35"/>
      <c r="BI793" s="35"/>
      <c r="BJ793" s="35"/>
      <c r="BK793" s="29" t="str" cm="1">
        <f t="array" ref="BK793">_xlfn.UNIQUE(MID(BB793,16,14))</f>
        <v/>
      </c>
    </row>
    <row r="794" spans="1:63" x14ac:dyDescent="0.3">
      <c r="A794" s="29" t="s">
        <v>3148</v>
      </c>
      <c r="B794" s="36" t="str">
        <f t="shared" si="60"/>
        <v>G01NHA01TB003-BC01</v>
      </c>
      <c r="C794" s="33"/>
      <c r="D794" s="34" t="str">
        <f t="shared" si="61"/>
        <v>ELY1 RECT1 RECT3 CURR1 ANALOG1</v>
      </c>
      <c r="E794" s="31">
        <f t="shared" si="62"/>
        <v>30</v>
      </c>
      <c r="F794" s="32" t="str">
        <f t="shared" si="63"/>
        <v>ELECTROLYSIS SYSTEM ELECTROLYSIS ARRAY 1 RECTIFIER SYSTEMS RECTIFIER SYSTEM 1 RECTIFIERS RECTIFIER 3 CURRENT TRANSFORMER - U AC CURRENT MEASUREMENT - PHASE U</v>
      </c>
      <c r="G794" s="29" t="s">
        <v>1614</v>
      </c>
      <c r="H794" s="29" t="s">
        <v>1615</v>
      </c>
      <c r="I794" s="29" t="str">
        <f t="shared" si="64"/>
        <v>01</v>
      </c>
      <c r="J794" s="29" t="s">
        <v>1616</v>
      </c>
      <c r="K794" s="29" t="s">
        <v>1842</v>
      </c>
      <c r="L794" s="29" t="s">
        <v>1843</v>
      </c>
      <c r="M794" s="29" t="s">
        <v>1619</v>
      </c>
      <c r="N794" s="29" t="s">
        <v>1844</v>
      </c>
      <c r="O794" s="29" t="s">
        <v>3131</v>
      </c>
      <c r="P794" s="29" t="s">
        <v>3132</v>
      </c>
      <c r="Q794" s="29" t="s">
        <v>1830</v>
      </c>
      <c r="R794" s="29" t="s">
        <v>3150</v>
      </c>
      <c r="S794" s="29" t="s">
        <v>1848</v>
      </c>
      <c r="T794" s="29" t="s">
        <v>4181</v>
      </c>
      <c r="U794" s="29" t="s">
        <v>193</v>
      </c>
      <c r="V794" s="29" t="s">
        <v>4182</v>
      </c>
      <c r="W794" s="35" t="s">
        <v>1628</v>
      </c>
      <c r="X794" s="35" t="s">
        <v>1850</v>
      </c>
      <c r="Y794" s="35" t="s">
        <v>3151</v>
      </c>
      <c r="Z794" s="35" t="s">
        <v>1852</v>
      </c>
      <c r="AA794" s="35" t="s">
        <v>1666</v>
      </c>
      <c r="AB794" s="29" t="s">
        <v>1667</v>
      </c>
      <c r="AC794" s="35" t="s">
        <v>1633</v>
      </c>
      <c r="AD794" s="35"/>
      <c r="AE794" s="35"/>
      <c r="AF794" s="35" t="s">
        <v>4179</v>
      </c>
      <c r="AG794" s="35" t="s">
        <v>1728</v>
      </c>
      <c r="AI794" s="35"/>
      <c r="AJ794" s="35"/>
      <c r="AK794" s="35"/>
      <c r="AL794" s="29" t="s">
        <v>4183</v>
      </c>
      <c r="AM794" s="35"/>
      <c r="AN794" s="35"/>
      <c r="AO794" s="35"/>
      <c r="AP794" s="35"/>
      <c r="AQ794" s="35"/>
      <c r="AS794" s="35"/>
      <c r="AU794" s="35"/>
      <c r="AW794" s="35"/>
      <c r="AY794" s="35"/>
      <c r="AZ794" s="35"/>
      <c r="BA794" s="35"/>
      <c r="BI794" s="35"/>
      <c r="BJ794" s="35"/>
      <c r="BK794" s="29" t="str" cm="1">
        <f t="array" ref="BK794">_xlfn.UNIQUE(MID(BB794,16,14))</f>
        <v/>
      </c>
    </row>
    <row r="795" spans="1:63" x14ac:dyDescent="0.3">
      <c r="A795" s="29" t="s">
        <v>3148</v>
      </c>
      <c r="B795" s="36" t="str">
        <f t="shared" si="60"/>
        <v>G01NHA01TB003-BC02</v>
      </c>
      <c r="C795" s="33"/>
      <c r="D795" s="34" t="str">
        <f t="shared" si="61"/>
        <v>ELY1 RECT1 RECT3 CURR2 ANALOG1</v>
      </c>
      <c r="E795" s="31">
        <f t="shared" si="62"/>
        <v>30</v>
      </c>
      <c r="F795" s="32" t="str">
        <f t="shared" si="63"/>
        <v>ELECTROLYSIS SYSTEM ELECTROLYSIS ARRAY 1 RECTIFIER SYSTEMS RECTIFIER SYSTEM 1 RECTIFIERS RECTIFIER 3 CURRENT TRANSFORMER - V AC CURRENT MEASUREMENT - PHASE V</v>
      </c>
      <c r="G795" s="29" t="s">
        <v>1614</v>
      </c>
      <c r="H795" s="29" t="s">
        <v>1615</v>
      </c>
      <c r="I795" s="29" t="str">
        <f t="shared" si="64"/>
        <v>01</v>
      </c>
      <c r="J795" s="29" t="s">
        <v>1616</v>
      </c>
      <c r="K795" s="29" t="s">
        <v>1842</v>
      </c>
      <c r="L795" s="29" t="s">
        <v>1843</v>
      </c>
      <c r="M795" s="29" t="s">
        <v>1619</v>
      </c>
      <c r="N795" s="29" t="s">
        <v>1844</v>
      </c>
      <c r="O795" s="29" t="s">
        <v>3131</v>
      </c>
      <c r="P795" s="29" t="s">
        <v>3132</v>
      </c>
      <c r="Q795" s="29" t="s">
        <v>1830</v>
      </c>
      <c r="R795" s="29" t="s">
        <v>3150</v>
      </c>
      <c r="S795" s="29" t="s">
        <v>4184</v>
      </c>
      <c r="T795" s="29" t="s">
        <v>4185</v>
      </c>
      <c r="U795" s="29" t="s">
        <v>193</v>
      </c>
      <c r="V795" s="29" t="s">
        <v>4186</v>
      </c>
      <c r="W795" s="35" t="s">
        <v>1628</v>
      </c>
      <c r="X795" s="35" t="s">
        <v>1850</v>
      </c>
      <c r="Y795" s="35" t="s">
        <v>3151</v>
      </c>
      <c r="Z795" s="35" t="s">
        <v>4187</v>
      </c>
      <c r="AA795" s="35" t="s">
        <v>1666</v>
      </c>
      <c r="AB795" s="29" t="s">
        <v>1667</v>
      </c>
      <c r="AC795" s="35" t="s">
        <v>1633</v>
      </c>
      <c r="AD795" s="35"/>
      <c r="AE795" s="35"/>
      <c r="AF795" s="35" t="s">
        <v>4179</v>
      </c>
      <c r="AG795" s="35" t="s">
        <v>1728</v>
      </c>
      <c r="AI795" s="35"/>
      <c r="AJ795" s="35"/>
      <c r="AK795" s="35"/>
      <c r="AL795" s="29" t="s">
        <v>4183</v>
      </c>
      <c r="AM795" s="35"/>
      <c r="AN795" s="35"/>
      <c r="AO795" s="35"/>
      <c r="AP795" s="35"/>
      <c r="AQ795" s="35"/>
      <c r="AS795" s="35"/>
      <c r="AU795" s="35"/>
      <c r="AW795" s="35"/>
      <c r="AY795" s="35"/>
      <c r="AZ795" s="35"/>
      <c r="BA795" s="35"/>
      <c r="BI795" s="35"/>
      <c r="BJ795" s="35"/>
      <c r="BK795" s="29" t="str" cm="1">
        <f t="array" ref="BK795">_xlfn.UNIQUE(MID(BB795,16,14))</f>
        <v/>
      </c>
    </row>
    <row r="796" spans="1:63" x14ac:dyDescent="0.3">
      <c r="A796" s="29" t="s">
        <v>3148</v>
      </c>
      <c r="B796" s="36" t="str">
        <f t="shared" si="60"/>
        <v>G01NHA01TB003-BC03</v>
      </c>
      <c r="C796" s="33"/>
      <c r="D796" s="34" t="str">
        <f t="shared" si="61"/>
        <v>ELY1 RECT1 RECT3 CURR3 ANALOG1</v>
      </c>
      <c r="E796" s="31">
        <f t="shared" si="62"/>
        <v>30</v>
      </c>
      <c r="F796" s="32" t="str">
        <f t="shared" si="63"/>
        <v>ELECTROLYSIS SYSTEM ELECTROLYSIS ARRAY 1 RECTIFIER SYSTEMS RECTIFIER SYSTEM 1 RECTIFIERS RECTIFIER 3 CURRENT TRANSFORMER - W AC CURRENT MEASUREMENT - PHASE W</v>
      </c>
      <c r="G796" s="29" t="s">
        <v>1614</v>
      </c>
      <c r="H796" s="29" t="s">
        <v>1615</v>
      </c>
      <c r="I796" s="29" t="str">
        <f t="shared" si="64"/>
        <v>01</v>
      </c>
      <c r="J796" s="29" t="s">
        <v>1616</v>
      </c>
      <c r="K796" s="29" t="s">
        <v>1842</v>
      </c>
      <c r="L796" s="29" t="s">
        <v>1843</v>
      </c>
      <c r="M796" s="29" t="s">
        <v>1619</v>
      </c>
      <c r="N796" s="29" t="s">
        <v>1844</v>
      </c>
      <c r="O796" s="29" t="s">
        <v>3131</v>
      </c>
      <c r="P796" s="29" t="s">
        <v>3132</v>
      </c>
      <c r="Q796" s="29" t="s">
        <v>1830</v>
      </c>
      <c r="R796" s="29" t="s">
        <v>3150</v>
      </c>
      <c r="S796" s="29" t="s">
        <v>4188</v>
      </c>
      <c r="T796" s="29" t="s">
        <v>4189</v>
      </c>
      <c r="U796" s="29" t="s">
        <v>193</v>
      </c>
      <c r="V796" s="29" t="s">
        <v>4190</v>
      </c>
      <c r="W796" s="35" t="s">
        <v>1628</v>
      </c>
      <c r="X796" s="35" t="s">
        <v>1850</v>
      </c>
      <c r="Y796" s="35" t="s">
        <v>3151</v>
      </c>
      <c r="Z796" s="35" t="s">
        <v>4191</v>
      </c>
      <c r="AA796" s="35" t="s">
        <v>1666</v>
      </c>
      <c r="AB796" s="29" t="s">
        <v>1667</v>
      </c>
      <c r="AC796" s="35" t="s">
        <v>1633</v>
      </c>
      <c r="AD796" s="35"/>
      <c r="AE796" s="35"/>
      <c r="AF796" s="35" t="s">
        <v>4179</v>
      </c>
      <c r="AG796" s="35" t="s">
        <v>1728</v>
      </c>
      <c r="AI796" s="35"/>
      <c r="AJ796" s="35"/>
      <c r="AK796" s="35"/>
      <c r="AL796" s="29" t="s">
        <v>4183</v>
      </c>
      <c r="AM796" s="35"/>
      <c r="AN796" s="35"/>
      <c r="AO796" s="35"/>
      <c r="AP796" s="35"/>
      <c r="AQ796" s="35"/>
      <c r="AS796" s="35"/>
      <c r="AU796" s="35"/>
      <c r="AW796" s="35"/>
      <c r="AY796" s="35"/>
      <c r="AZ796" s="35"/>
      <c r="BA796" s="35"/>
      <c r="BI796" s="35"/>
      <c r="BJ796" s="35"/>
      <c r="BK796" s="29" t="str" cm="1">
        <f t="array" ref="BK796">_xlfn.UNIQUE(MID(BB796,16,14))</f>
        <v/>
      </c>
    </row>
    <row r="797" spans="1:63" x14ac:dyDescent="0.3">
      <c r="A797" s="29" t="s">
        <v>3157</v>
      </c>
      <c r="B797" s="36" t="str">
        <f t="shared" si="60"/>
        <v>G01NHA01TB004-BC01</v>
      </c>
      <c r="C797" s="33"/>
      <c r="D797" s="34" t="str">
        <f t="shared" si="61"/>
        <v>ELY1 RECT1 RECT4 CURR1 ANALOG1</v>
      </c>
      <c r="E797" s="31">
        <f t="shared" si="62"/>
        <v>30</v>
      </c>
      <c r="F797" s="32" t="str">
        <f t="shared" si="63"/>
        <v>ELECTROLYSIS SYSTEM ELECTROLYSIS ARRAY 1 RECTIFIER SYSTEMS RECTIFIER SYSTEM 1 RECTIFIERS RECTIFIER 4 CURRENT TRANSFORMER - U AC CURRENT MEASUREMENT - PHASE U</v>
      </c>
      <c r="G797" s="29" t="s">
        <v>1614</v>
      </c>
      <c r="H797" s="29" t="s">
        <v>1615</v>
      </c>
      <c r="I797" s="29" t="str">
        <f t="shared" si="64"/>
        <v>01</v>
      </c>
      <c r="J797" s="29" t="s">
        <v>1616</v>
      </c>
      <c r="K797" s="29" t="s">
        <v>1842</v>
      </c>
      <c r="L797" s="29" t="s">
        <v>1843</v>
      </c>
      <c r="M797" s="29" t="s">
        <v>1619</v>
      </c>
      <c r="N797" s="29" t="s">
        <v>1844</v>
      </c>
      <c r="O797" s="29" t="s">
        <v>3131</v>
      </c>
      <c r="P797" s="29" t="s">
        <v>3132</v>
      </c>
      <c r="Q797" s="29" t="s">
        <v>1838</v>
      </c>
      <c r="R797" s="29" t="s">
        <v>3159</v>
      </c>
      <c r="S797" s="29" t="s">
        <v>1848</v>
      </c>
      <c r="T797" s="29" t="s">
        <v>4181</v>
      </c>
      <c r="U797" s="29" t="s">
        <v>193</v>
      </c>
      <c r="V797" s="29" t="s">
        <v>4182</v>
      </c>
      <c r="W797" s="35" t="s">
        <v>1628</v>
      </c>
      <c r="X797" s="35" t="s">
        <v>1850</v>
      </c>
      <c r="Y797" s="35" t="s">
        <v>3160</v>
      </c>
      <c r="Z797" s="35" t="s">
        <v>1852</v>
      </c>
      <c r="AA797" s="35" t="s">
        <v>1666</v>
      </c>
      <c r="AB797" s="29" t="s">
        <v>1667</v>
      </c>
      <c r="AC797" s="35" t="s">
        <v>1633</v>
      </c>
      <c r="AD797" s="35"/>
      <c r="AE797" s="35"/>
      <c r="AF797" s="35" t="s">
        <v>4179</v>
      </c>
      <c r="AG797" s="35" t="s">
        <v>1728</v>
      </c>
      <c r="AI797" s="35"/>
      <c r="AJ797" s="35"/>
      <c r="AK797" s="35"/>
      <c r="AL797" s="29" t="s">
        <v>4183</v>
      </c>
      <c r="AM797" s="35"/>
      <c r="AN797" s="35"/>
      <c r="AO797" s="35"/>
      <c r="AP797" s="35"/>
      <c r="AQ797" s="35"/>
      <c r="AS797" s="35"/>
      <c r="AU797" s="35"/>
      <c r="AW797" s="35"/>
      <c r="AY797" s="35"/>
      <c r="AZ797" s="35"/>
      <c r="BA797" s="35"/>
      <c r="BI797" s="35"/>
      <c r="BJ797" s="35"/>
      <c r="BK797" s="29" t="str" cm="1">
        <f t="array" ref="BK797">_xlfn.UNIQUE(MID(BB797,16,14))</f>
        <v/>
      </c>
    </row>
    <row r="798" spans="1:63" x14ac:dyDescent="0.3">
      <c r="A798" s="29" t="s">
        <v>3157</v>
      </c>
      <c r="B798" s="36" t="str">
        <f t="shared" si="60"/>
        <v>G01NHA01TB004-BC02</v>
      </c>
      <c r="C798" s="33"/>
      <c r="D798" s="34" t="str">
        <f t="shared" si="61"/>
        <v>ELY1 RECT1 RECT4 CURR2 ANALOG1</v>
      </c>
      <c r="E798" s="31">
        <f t="shared" si="62"/>
        <v>30</v>
      </c>
      <c r="F798" s="32" t="str">
        <f t="shared" si="63"/>
        <v>ELECTROLYSIS SYSTEM ELECTROLYSIS ARRAY 1 RECTIFIER SYSTEMS RECTIFIER SYSTEM 1 RECTIFIERS RECTIFIER 4 CURRENT TRANSFORMER - V AC CURRENT MEASUREMENT - PHASE V</v>
      </c>
      <c r="G798" s="29" t="s">
        <v>1614</v>
      </c>
      <c r="H798" s="29" t="s">
        <v>1615</v>
      </c>
      <c r="I798" s="29" t="str">
        <f t="shared" si="64"/>
        <v>01</v>
      </c>
      <c r="J798" s="29" t="s">
        <v>1616</v>
      </c>
      <c r="K798" s="29" t="s">
        <v>1842</v>
      </c>
      <c r="L798" s="29" t="s">
        <v>1843</v>
      </c>
      <c r="M798" s="29" t="s">
        <v>1619</v>
      </c>
      <c r="N798" s="29" t="s">
        <v>1844</v>
      </c>
      <c r="O798" s="29" t="s">
        <v>3131</v>
      </c>
      <c r="P798" s="29" t="s">
        <v>3132</v>
      </c>
      <c r="Q798" s="29" t="s">
        <v>1838</v>
      </c>
      <c r="R798" s="29" t="s">
        <v>3159</v>
      </c>
      <c r="S798" s="29" t="s">
        <v>4184</v>
      </c>
      <c r="T798" s="29" t="s">
        <v>4185</v>
      </c>
      <c r="U798" s="29" t="s">
        <v>193</v>
      </c>
      <c r="V798" s="29" t="s">
        <v>4186</v>
      </c>
      <c r="W798" s="35" t="s">
        <v>1628</v>
      </c>
      <c r="X798" s="35" t="s">
        <v>1850</v>
      </c>
      <c r="Y798" s="35" t="s">
        <v>3160</v>
      </c>
      <c r="Z798" s="35" t="s">
        <v>4187</v>
      </c>
      <c r="AA798" s="35" t="s">
        <v>1666</v>
      </c>
      <c r="AB798" s="29" t="s">
        <v>1667</v>
      </c>
      <c r="AC798" s="35" t="s">
        <v>1633</v>
      </c>
      <c r="AD798" s="35"/>
      <c r="AE798" s="35"/>
      <c r="AF798" s="35" t="s">
        <v>4179</v>
      </c>
      <c r="AG798" s="35" t="s">
        <v>1728</v>
      </c>
      <c r="AI798" s="35"/>
      <c r="AJ798" s="35"/>
      <c r="AK798" s="35"/>
      <c r="AL798" s="29" t="s">
        <v>4183</v>
      </c>
      <c r="AM798" s="35"/>
      <c r="AN798" s="35"/>
      <c r="AO798" s="35"/>
      <c r="AP798" s="35"/>
      <c r="AQ798" s="35"/>
      <c r="AS798" s="35"/>
      <c r="AU798" s="35"/>
      <c r="AW798" s="35"/>
      <c r="AY798" s="35"/>
      <c r="AZ798" s="35"/>
      <c r="BA798" s="35"/>
      <c r="BI798" s="35"/>
      <c r="BJ798" s="35"/>
      <c r="BK798" s="29" t="str" cm="1">
        <f t="array" ref="BK798">_xlfn.UNIQUE(MID(BB798,16,14))</f>
        <v/>
      </c>
    </row>
    <row r="799" spans="1:63" x14ac:dyDescent="0.3">
      <c r="A799" s="29" t="s">
        <v>3157</v>
      </c>
      <c r="B799" s="36" t="str">
        <f t="shared" si="60"/>
        <v>G01NHA01TB004-BC03</v>
      </c>
      <c r="C799" s="33"/>
      <c r="D799" s="34" t="str">
        <f t="shared" si="61"/>
        <v>ELY1 RECT1 RECT4 CURR3 ANALOG1</v>
      </c>
      <c r="E799" s="31">
        <f t="shared" si="62"/>
        <v>30</v>
      </c>
      <c r="F799" s="32" t="str">
        <f t="shared" si="63"/>
        <v>ELECTROLYSIS SYSTEM ELECTROLYSIS ARRAY 1 RECTIFIER SYSTEMS RECTIFIER SYSTEM 1 RECTIFIERS RECTIFIER 4 CURRENT TRANSFORMER - W AC CURRENT MEASUREMENT - PHASE W</v>
      </c>
      <c r="G799" s="29" t="s">
        <v>1614</v>
      </c>
      <c r="H799" s="29" t="s">
        <v>1615</v>
      </c>
      <c r="I799" s="29" t="str">
        <f t="shared" si="64"/>
        <v>01</v>
      </c>
      <c r="J799" s="29" t="s">
        <v>1616</v>
      </c>
      <c r="K799" s="29" t="s">
        <v>1842</v>
      </c>
      <c r="L799" s="29" t="s">
        <v>1843</v>
      </c>
      <c r="M799" s="29" t="s">
        <v>1619</v>
      </c>
      <c r="N799" s="29" t="s">
        <v>1844</v>
      </c>
      <c r="O799" s="29" t="s">
        <v>3131</v>
      </c>
      <c r="P799" s="29" t="s">
        <v>3132</v>
      </c>
      <c r="Q799" s="29" t="s">
        <v>1838</v>
      </c>
      <c r="R799" s="29" t="s">
        <v>3159</v>
      </c>
      <c r="S799" s="29" t="s">
        <v>4188</v>
      </c>
      <c r="T799" s="29" t="s">
        <v>4189</v>
      </c>
      <c r="U799" s="29" t="s">
        <v>193</v>
      </c>
      <c r="V799" s="29" t="s">
        <v>4190</v>
      </c>
      <c r="W799" s="35" t="s">
        <v>1628</v>
      </c>
      <c r="X799" s="35" t="s">
        <v>1850</v>
      </c>
      <c r="Y799" s="35" t="s">
        <v>3160</v>
      </c>
      <c r="Z799" s="35" t="s">
        <v>4191</v>
      </c>
      <c r="AA799" s="35" t="s">
        <v>1666</v>
      </c>
      <c r="AB799" s="29" t="s">
        <v>1667</v>
      </c>
      <c r="AC799" s="35" t="s">
        <v>1633</v>
      </c>
      <c r="AD799" s="35"/>
      <c r="AE799" s="35"/>
      <c r="AF799" s="35" t="s">
        <v>4179</v>
      </c>
      <c r="AG799" s="35" t="s">
        <v>1728</v>
      </c>
      <c r="AI799" s="35"/>
      <c r="AJ799" s="35"/>
      <c r="AK799" s="35"/>
      <c r="AL799" s="29" t="s">
        <v>4183</v>
      </c>
      <c r="AM799" s="35"/>
      <c r="AN799" s="35"/>
      <c r="AO799" s="35"/>
      <c r="AP799" s="35"/>
      <c r="AQ799" s="35"/>
      <c r="AS799" s="35"/>
      <c r="AU799" s="35"/>
      <c r="AW799" s="35"/>
      <c r="AY799" s="35"/>
      <c r="AZ799" s="35"/>
      <c r="BA799" s="35"/>
      <c r="BI799" s="35"/>
      <c r="BJ799" s="35"/>
      <c r="BK799" s="29" t="str" cm="1">
        <f t="array" ref="BK799">_xlfn.UNIQUE(MID(BB799,16,14))</f>
        <v/>
      </c>
    </row>
    <row r="800" spans="1:63" x14ac:dyDescent="0.3">
      <c r="A800" s="29" t="s">
        <v>3829</v>
      </c>
      <c r="B800" s="36" t="str">
        <f t="shared" si="60"/>
        <v>T01BBA01QA001-QA01</v>
      </c>
      <c r="C800" s="33"/>
      <c r="D800" s="34" t="str">
        <f t="shared" si="61"/>
        <v>EL POW SUP MV MV DIST1 SW1 GRP FLT</v>
      </c>
      <c r="E800" s="31">
        <f t="shared" si="62"/>
        <v>34</v>
      </c>
      <c r="F800" s="32" t="str">
        <f t="shared" si="63"/>
        <v>ELECTRICAL POWER SUPPLY SYSTEM SYSTEM 1 MV SUPPLY SYSTEM - 20KV SYSTEM 1 MV DISTRIBUTION MV DISTRIBUTION UNIT - ARRAY 1 POWER CIRCUIT-BREAKER, 3-POLE CIRCUIT BREAKER TRIPPING</v>
      </c>
      <c r="G800" s="29" t="s">
        <v>3831</v>
      </c>
      <c r="H800" s="29" t="s">
        <v>3832</v>
      </c>
      <c r="I800" s="29" t="str">
        <f t="shared" si="64"/>
        <v>01</v>
      </c>
      <c r="J800" s="29" t="s">
        <v>3833</v>
      </c>
      <c r="K800" s="29" t="s">
        <v>3834</v>
      </c>
      <c r="L800" s="29" t="s">
        <v>3835</v>
      </c>
      <c r="M800" s="29" t="s">
        <v>1619</v>
      </c>
      <c r="N800" s="29" t="s">
        <v>3833</v>
      </c>
      <c r="O800" s="29" t="s">
        <v>3836</v>
      </c>
      <c r="P800" s="29" t="s">
        <v>3837</v>
      </c>
      <c r="Q800" s="29" t="s">
        <v>1623</v>
      </c>
      <c r="R800" s="29" t="s">
        <v>3838</v>
      </c>
      <c r="S800" s="29" t="s">
        <v>2709</v>
      </c>
      <c r="T800" s="29" t="s">
        <v>3839</v>
      </c>
      <c r="U800" s="29" t="s">
        <v>1033</v>
      </c>
      <c r="V800" s="29" t="s">
        <v>4192</v>
      </c>
      <c r="W800" s="35" t="s">
        <v>3841</v>
      </c>
      <c r="X800" s="35" t="s">
        <v>3842</v>
      </c>
      <c r="Y800" s="35" t="s">
        <v>3843</v>
      </c>
      <c r="Z800" s="35" t="s">
        <v>2713</v>
      </c>
      <c r="AA800" s="35" t="s">
        <v>2633</v>
      </c>
      <c r="AC800" s="35" t="s">
        <v>1633</v>
      </c>
      <c r="AD800" s="35"/>
      <c r="AE800" s="35"/>
      <c r="AF800" s="35"/>
      <c r="AG800" s="35" t="s">
        <v>1728</v>
      </c>
      <c r="AI800" s="35"/>
      <c r="AJ800" s="35"/>
      <c r="AK800" s="35"/>
      <c r="AL800" s="29" t="s">
        <v>3845</v>
      </c>
      <c r="AM800" s="35"/>
      <c r="AN800" s="35"/>
      <c r="AO800" s="35"/>
      <c r="AP800" s="35"/>
      <c r="AQ800" s="35"/>
      <c r="AS800" s="35"/>
      <c r="AU800" s="35"/>
      <c r="AW800" s="35"/>
      <c r="AY800" s="35"/>
      <c r="AZ800" s="35"/>
      <c r="BA800" s="35"/>
      <c r="BI800" s="35"/>
      <c r="BJ800" s="35"/>
      <c r="BK800" s="29" t="str" cm="1">
        <f t="array" ref="BK800">_xlfn.UNIQUE(MID(BB800,16,14))</f>
        <v/>
      </c>
    </row>
  </sheetData>
  <autoFilter ref="A1:BN800" xr:uid="{E8733438-1FF2-4927-9F8F-E485B77D4046}">
    <filterColumn colId="35">
      <filters blank="1">
        <filter val="AI"/>
        <filter val="DI"/>
      </filters>
    </filterColumn>
    <sortState xmlns:xlrd2="http://schemas.microsoft.com/office/spreadsheetml/2017/richdata2" ref="A2:BN763">
      <sortCondition ref="B1:B800"/>
    </sortState>
  </autoFilter>
  <sortState xmlns:xlrd2="http://schemas.microsoft.com/office/spreadsheetml/2017/richdata2" ref="A2:BJ800">
    <sortCondition ref="B2:B800"/>
    <sortCondition ref="AK2:AK800"/>
  </sortState>
  <pageMargins left="0.7" right="0.7" top="0.75" bottom="0.75" header="0.3" footer="0.3"/>
  <pageSetup orientation="portrait" r:id="rId1"/>
  <headerFooter>
    <oddFooter xml:space="preserve">&amp;LRestricted </oddFooter>
    <evenFooter xml:space="preserve">&amp;LRestricted </evenFooter>
    <firstFooter xml:space="preserve">&amp;LRestricted </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E943E-BF8D-4D57-96D4-F7BE7E9766D9}">
  <sheetPr codeName="Tabelle9">
    <pageSetUpPr fitToPage="1"/>
  </sheetPr>
  <dimension ref="A1:BE360"/>
  <sheetViews>
    <sheetView defaultGridColor="0" view="pageBreakPreview" colorId="8" zoomScaleNormal="90" zoomScaleSheetLayoutView="100" workbookViewId="0">
      <selection activeCell="A14" sqref="A14:B14"/>
    </sheetView>
  </sheetViews>
  <sheetFormatPr baseColWidth="10" defaultColWidth="11.44140625" defaultRowHeight="13.2" x14ac:dyDescent="0.25"/>
  <cols>
    <col min="1" max="1" width="16.33203125" bestFit="1" customWidth="1"/>
    <col min="2" max="2" width="155" customWidth="1"/>
  </cols>
  <sheetData>
    <row r="1" spans="1:2" x14ac:dyDescent="0.25">
      <c r="A1" s="43" t="s">
        <v>4193</v>
      </c>
    </row>
    <row r="2" spans="1:2" ht="12.75" customHeight="1" x14ac:dyDescent="0.25">
      <c r="A2" s="1310" t="s">
        <v>4194</v>
      </c>
      <c r="B2" s="1310"/>
    </row>
    <row r="3" spans="1:2" ht="12.75" customHeight="1" x14ac:dyDescent="0.25">
      <c r="A3" s="1312" t="s">
        <v>4195</v>
      </c>
      <c r="B3" s="1310"/>
    </row>
    <row r="4" spans="1:2" ht="12.75" customHeight="1" x14ac:dyDescent="0.25">
      <c r="A4" s="1312" t="s">
        <v>4196</v>
      </c>
      <c r="B4" s="1310"/>
    </row>
    <row r="5" spans="1:2" ht="12.75" customHeight="1" x14ac:dyDescent="0.25">
      <c r="A5" s="1310" t="s">
        <v>4197</v>
      </c>
      <c r="B5" s="1310"/>
    </row>
    <row r="6" spans="1:2" x14ac:dyDescent="0.25">
      <c r="A6" s="1310" t="s">
        <v>4198</v>
      </c>
      <c r="B6" s="1310"/>
    </row>
    <row r="7" spans="1:2" s="60" customFormat="1" ht="14.4" x14ac:dyDescent="0.3">
      <c r="A7" s="1310" t="s">
        <v>4199</v>
      </c>
      <c r="B7" s="1310"/>
    </row>
    <row r="8" spans="1:2" s="61" customFormat="1" ht="14.4" x14ac:dyDescent="0.3">
      <c r="A8" s="1310" t="s">
        <v>4200</v>
      </c>
      <c r="B8" s="1310"/>
    </row>
    <row r="9" spans="1:2" s="61" customFormat="1" ht="14.4" x14ac:dyDescent="0.3">
      <c r="A9" s="1312" t="s">
        <v>4201</v>
      </c>
      <c r="B9" s="1310"/>
    </row>
    <row r="10" spans="1:2" x14ac:dyDescent="0.25">
      <c r="A10" s="1310" t="s">
        <v>4202</v>
      </c>
      <c r="B10" s="1310"/>
    </row>
    <row r="11" spans="1:2" x14ac:dyDescent="0.25">
      <c r="A11" s="1313" t="s">
        <v>4203</v>
      </c>
      <c r="B11" s="1313"/>
    </row>
    <row r="12" spans="1:2" ht="16.95" customHeight="1" x14ac:dyDescent="0.25">
      <c r="A12" s="1314" t="s">
        <v>4204</v>
      </c>
      <c r="B12" s="1314"/>
    </row>
    <row r="13" spans="1:2" ht="16.95" customHeight="1" x14ac:dyDescent="0.25">
      <c r="A13" s="1314" t="s">
        <v>4205</v>
      </c>
      <c r="B13" s="1314"/>
    </row>
    <row r="14" spans="1:2" ht="16.95" customHeight="1" x14ac:dyDescent="0.25">
      <c r="A14" s="1314" t="s">
        <v>4206</v>
      </c>
      <c r="B14" s="1314"/>
    </row>
    <row r="15" spans="1:2" x14ac:dyDescent="0.25">
      <c r="A15" s="1311"/>
      <c r="B15" s="1311"/>
    </row>
    <row r="16" spans="1:2" x14ac:dyDescent="0.25">
      <c r="A16" s="1312" t="s">
        <v>4207</v>
      </c>
      <c r="B16" s="1310"/>
    </row>
    <row r="17" spans="1:57" x14ac:dyDescent="0.25">
      <c r="A17" s="48"/>
      <c r="B17" s="47" t="s">
        <v>4208</v>
      </c>
    </row>
    <row r="18" spans="1:57" s="61" customFormat="1" ht="14.4" x14ac:dyDescent="0.3">
      <c r="A18" s="49"/>
      <c r="B18" s="44" t="s">
        <v>4209</v>
      </c>
    </row>
    <row r="19" spans="1:57" s="60" customFormat="1" ht="14.4" x14ac:dyDescent="0.3">
      <c r="A19" s="59"/>
      <c r="B19" s="44" t="s">
        <v>4210</v>
      </c>
    </row>
    <row r="20" spans="1:57" s="61" customFormat="1" ht="14.4" x14ac:dyDescent="0.3">
      <c r="A20" s="44"/>
      <c r="B20"/>
    </row>
    <row r="21" spans="1:57" s="61" customFormat="1" ht="14.4" x14ac:dyDescent="0.3">
      <c r="A21" s="43" t="s">
        <v>4211</v>
      </c>
      <c r="B21"/>
    </row>
    <row r="22" spans="1:57" s="62" customFormat="1" ht="14.4" x14ac:dyDescent="0.3">
      <c r="A22" s="44" t="s">
        <v>4212</v>
      </c>
      <c r="B22" s="44" t="s">
        <v>4213</v>
      </c>
    </row>
    <row r="23" spans="1:57" s="62" customFormat="1" ht="14.4" x14ac:dyDescent="0.3">
      <c r="A23" t="s">
        <v>758</v>
      </c>
      <c r="B23" s="44" t="s">
        <v>4214</v>
      </c>
      <c r="BE23" s="113"/>
    </row>
    <row r="24" spans="1:57" s="61" customFormat="1" ht="14.4" x14ac:dyDescent="0.3">
      <c r="A24" t="s">
        <v>759</v>
      </c>
      <c r="B24" s="44" t="s">
        <v>4215</v>
      </c>
    </row>
    <row r="25" spans="1:57" s="61" customFormat="1" ht="14.4" x14ac:dyDescent="0.3">
      <c r="A25" s="21" t="s">
        <v>4216</v>
      </c>
      <c r="B25" s="21" t="s">
        <v>4217</v>
      </c>
    </row>
    <row r="26" spans="1:57" s="61" customFormat="1" ht="14.4" x14ac:dyDescent="0.3">
      <c r="A26" s="44" t="s">
        <v>1641</v>
      </c>
      <c r="B26" s="44" t="s">
        <v>4218</v>
      </c>
    </row>
    <row r="27" spans="1:57" s="61" customFormat="1" ht="14.4" x14ac:dyDescent="0.3">
      <c r="A27" s="44" t="s">
        <v>150</v>
      </c>
      <c r="B27" s="44" t="s">
        <v>4219</v>
      </c>
    </row>
    <row r="28" spans="1:57" s="61" customFormat="1" ht="14.4" x14ac:dyDescent="0.3">
      <c r="A28" s="44" t="s">
        <v>4220</v>
      </c>
      <c r="B28" s="44" t="s">
        <v>4221</v>
      </c>
    </row>
    <row r="29" spans="1:57" s="61" customFormat="1" ht="14.4" x14ac:dyDescent="0.3">
      <c r="A29" t="s">
        <v>128</v>
      </c>
      <c r="B29" s="44" t="s">
        <v>4222</v>
      </c>
    </row>
    <row r="30" spans="1:57" s="61" customFormat="1" ht="14.4" x14ac:dyDescent="0.3">
      <c r="A30" s="44" t="s">
        <v>4</v>
      </c>
      <c r="B30" s="44" t="s">
        <v>4223</v>
      </c>
    </row>
    <row r="31" spans="1:57" s="61" customFormat="1" ht="14.4" x14ac:dyDescent="0.3">
      <c r="A31" s="44" t="s">
        <v>4224</v>
      </c>
      <c r="B31" s="44" t="s">
        <v>4225</v>
      </c>
    </row>
    <row r="32" spans="1:57" s="61" customFormat="1" ht="14.4" x14ac:dyDescent="0.3">
      <c r="A32" s="44" t="s">
        <v>4226</v>
      </c>
      <c r="B32" s="44" t="s">
        <v>4227</v>
      </c>
    </row>
    <row r="33" spans="1:2" s="61" customFormat="1" ht="14.4" x14ac:dyDescent="0.3">
      <c r="A33" s="44" t="s">
        <v>4228</v>
      </c>
      <c r="B33" s="44" t="s">
        <v>4229</v>
      </c>
    </row>
    <row r="34" spans="1:2" s="61" customFormat="1" ht="14.4" x14ac:dyDescent="0.3">
      <c r="A34" s="44" t="s">
        <v>4230</v>
      </c>
      <c r="B34" s="44" t="s">
        <v>4231</v>
      </c>
    </row>
    <row r="35" spans="1:2" s="61" customFormat="1" ht="14.4" x14ac:dyDescent="0.3">
      <c r="A35" s="44" t="s">
        <v>4232</v>
      </c>
      <c r="B35" s="44" t="s">
        <v>4233</v>
      </c>
    </row>
    <row r="36" spans="1:2" s="61" customFormat="1" ht="14.4" x14ac:dyDescent="0.3">
      <c r="A36" t="s">
        <v>4234</v>
      </c>
      <c r="B36" s="44" t="s">
        <v>4235</v>
      </c>
    </row>
    <row r="37" spans="1:2" s="61" customFormat="1" ht="14.4" x14ac:dyDescent="0.3">
      <c r="A37" s="44" t="s">
        <v>4236</v>
      </c>
      <c r="B37" s="44" t="s">
        <v>4237</v>
      </c>
    </row>
    <row r="38" spans="1:2" s="61" customFormat="1" ht="14.4" x14ac:dyDescent="0.3">
      <c r="A38" s="44" t="s">
        <v>4238</v>
      </c>
      <c r="B38" s="44" t="s">
        <v>4239</v>
      </c>
    </row>
    <row r="39" spans="1:2" s="61" customFormat="1" ht="14.4" x14ac:dyDescent="0.3">
      <c r="A39" t="s">
        <v>4240</v>
      </c>
      <c r="B39" s="44" t="s">
        <v>4241</v>
      </c>
    </row>
    <row r="40" spans="1:2" s="60" customFormat="1" ht="14.4" x14ac:dyDescent="0.3">
      <c r="A40" s="44" t="s">
        <v>4242</v>
      </c>
      <c r="B40" s="44" t="s">
        <v>4243</v>
      </c>
    </row>
    <row r="41" spans="1:2" s="61" customFormat="1" ht="14.4" x14ac:dyDescent="0.3">
      <c r="A41" s="44" t="s">
        <v>4244</v>
      </c>
      <c r="B41" s="44" t="s">
        <v>4245</v>
      </c>
    </row>
    <row r="42" spans="1:2" s="61" customFormat="1" ht="14.4" x14ac:dyDescent="0.3">
      <c r="A42" s="44" t="s">
        <v>3842</v>
      </c>
      <c r="B42" s="44" t="s">
        <v>4246</v>
      </c>
    </row>
    <row r="43" spans="1:2" s="62" customFormat="1" ht="14.4" x14ac:dyDescent="0.3">
      <c r="A43" s="44" t="s">
        <v>4247</v>
      </c>
      <c r="B43" s="44" t="s">
        <v>4248</v>
      </c>
    </row>
    <row r="44" spans="1:2" s="62" customFormat="1" ht="14.4" x14ac:dyDescent="0.3">
      <c r="A44" s="44" t="s">
        <v>4249</v>
      </c>
      <c r="B44" s="44" t="s">
        <v>4250</v>
      </c>
    </row>
    <row r="45" spans="1:2" s="61" customFormat="1" ht="14.4" x14ac:dyDescent="0.3">
      <c r="A45" s="44" t="s">
        <v>4251</v>
      </c>
      <c r="B45" s="44" t="s">
        <v>4252</v>
      </c>
    </row>
    <row r="46" spans="1:2" s="61" customFormat="1" ht="14.4" x14ac:dyDescent="0.3">
      <c r="A46" t="s">
        <v>754</v>
      </c>
      <c r="B46" s="44" t="s">
        <v>4253</v>
      </c>
    </row>
    <row r="47" spans="1:2" s="62" customFormat="1" ht="14.4" x14ac:dyDescent="0.3">
      <c r="A47" s="44" t="s">
        <v>4254</v>
      </c>
      <c r="B47" s="44" t="s">
        <v>4255</v>
      </c>
    </row>
    <row r="48" spans="1:2" s="62" customFormat="1" ht="14.4" x14ac:dyDescent="0.3">
      <c r="A48" s="44" t="s">
        <v>4256</v>
      </c>
      <c r="B48" s="44" t="s">
        <v>4257</v>
      </c>
    </row>
    <row r="49" spans="1:2" s="61" customFormat="1" ht="14.4" x14ac:dyDescent="0.3">
      <c r="A49" s="44" t="s">
        <v>4258</v>
      </c>
      <c r="B49" s="44" t="s">
        <v>4259</v>
      </c>
    </row>
    <row r="50" spans="1:2" s="61" customFormat="1" ht="14.4" x14ac:dyDescent="0.3">
      <c r="A50" s="44" t="s">
        <v>4260</v>
      </c>
      <c r="B50" s="44" t="s">
        <v>4261</v>
      </c>
    </row>
    <row r="51" spans="1:2" s="61" customFormat="1" ht="14.4" x14ac:dyDescent="0.3">
      <c r="A51" t="s">
        <v>4262</v>
      </c>
      <c r="B51" s="44" t="s">
        <v>4263</v>
      </c>
    </row>
    <row r="52" spans="1:2" s="61" customFormat="1" ht="14.4" x14ac:dyDescent="0.3">
      <c r="A52" s="44" t="s">
        <v>4264</v>
      </c>
      <c r="B52" s="44" t="s">
        <v>4265</v>
      </c>
    </row>
    <row r="53" spans="1:2" s="61" customFormat="1" ht="14.4" x14ac:dyDescent="0.3">
      <c r="A53" s="44" t="s">
        <v>4266</v>
      </c>
      <c r="B53" s="44" t="s">
        <v>4267</v>
      </c>
    </row>
    <row r="54" spans="1:2" s="61" customFormat="1" ht="14.4" x14ac:dyDescent="0.3">
      <c r="A54" s="44" t="s">
        <v>4268</v>
      </c>
      <c r="B54" s="44" t="s">
        <v>4269</v>
      </c>
    </row>
    <row r="55" spans="1:2" s="61" customFormat="1" ht="14.4" x14ac:dyDescent="0.3">
      <c r="A55" s="44" t="s">
        <v>4270</v>
      </c>
      <c r="B55" s="44" t="s">
        <v>4271</v>
      </c>
    </row>
    <row r="56" spans="1:2" s="61" customFormat="1" ht="14.4" x14ac:dyDescent="0.3">
      <c r="A56" s="44" t="s">
        <v>4272</v>
      </c>
      <c r="B56" s="44" t="s">
        <v>4273</v>
      </c>
    </row>
    <row r="57" spans="1:2" s="61" customFormat="1" ht="14.4" x14ac:dyDescent="0.3">
      <c r="A57" s="44" t="s">
        <v>4274</v>
      </c>
      <c r="B57" s="44" t="s">
        <v>4275</v>
      </c>
    </row>
    <row r="58" spans="1:2" s="61" customFormat="1" ht="14.4" x14ac:dyDescent="0.3">
      <c r="A58" t="s">
        <v>131</v>
      </c>
      <c r="B58" s="44" t="s">
        <v>4276</v>
      </c>
    </row>
    <row r="59" spans="1:2" s="61" customFormat="1" ht="14.4" x14ac:dyDescent="0.3">
      <c r="A59" s="44" t="s">
        <v>4277</v>
      </c>
      <c r="B59" s="44" t="s">
        <v>4278</v>
      </c>
    </row>
    <row r="60" spans="1:2" s="61" customFormat="1" ht="14.4" x14ac:dyDescent="0.3"/>
    <row r="61" spans="1:2" s="61" customFormat="1" ht="14.4" x14ac:dyDescent="0.3"/>
    <row r="62" spans="1:2" s="61" customFormat="1" ht="14.4" x14ac:dyDescent="0.3"/>
    <row r="63" spans="1:2" s="61" customFormat="1" ht="14.4" x14ac:dyDescent="0.3"/>
    <row r="64" spans="1:2" s="61" customFormat="1" ht="14.4" x14ac:dyDescent="0.3"/>
    <row r="65" s="61" customFormat="1" ht="14.4" x14ac:dyDescent="0.3"/>
    <row r="66" s="61" customFormat="1" ht="14.4" x14ac:dyDescent="0.3"/>
    <row r="67" s="61" customFormat="1" ht="14.4" x14ac:dyDescent="0.3"/>
    <row r="68" s="61" customFormat="1" ht="14.4" x14ac:dyDescent="0.3"/>
    <row r="69" s="60" customFormat="1" ht="14.4" x14ac:dyDescent="0.3"/>
    <row r="70" s="61" customFormat="1" ht="14.4" x14ac:dyDescent="0.3"/>
    <row r="71" s="61" customFormat="1" ht="14.4" x14ac:dyDescent="0.3"/>
    <row r="72" s="61" customFormat="1" ht="14.4" x14ac:dyDescent="0.3"/>
    <row r="73" s="61" customFormat="1" ht="14.4" x14ac:dyDescent="0.3"/>
    <row r="74" s="61" customFormat="1" ht="14.4" x14ac:dyDescent="0.3"/>
    <row r="75" s="61" customFormat="1" ht="14.4" x14ac:dyDescent="0.3"/>
    <row r="76" s="61" customFormat="1" ht="14.4" x14ac:dyDescent="0.3"/>
    <row r="77" s="61" customFormat="1" ht="14.4" x14ac:dyDescent="0.3"/>
    <row r="78" s="61" customFormat="1" ht="14.4" x14ac:dyDescent="0.3"/>
    <row r="79" s="61" customFormat="1" ht="14.4" x14ac:dyDescent="0.3"/>
    <row r="80" s="61" customFormat="1" ht="14.4" x14ac:dyDescent="0.3"/>
    <row r="81" s="61" customFormat="1" ht="14.4" x14ac:dyDescent="0.3"/>
    <row r="82" s="61" customFormat="1" ht="14.4" x14ac:dyDescent="0.3"/>
    <row r="83" s="61" customFormat="1" ht="14.4" x14ac:dyDescent="0.3"/>
    <row r="84" s="61" customFormat="1" ht="14.4" x14ac:dyDescent="0.3"/>
    <row r="85" s="61" customFormat="1" ht="14.4" x14ac:dyDescent="0.3"/>
    <row r="86" s="61" customFormat="1" ht="14.4" x14ac:dyDescent="0.3"/>
    <row r="87" s="63" customFormat="1" ht="14.4" x14ac:dyDescent="0.3"/>
    <row r="88" s="60" customFormat="1" ht="14.4" x14ac:dyDescent="0.3"/>
    <row r="89" s="61" customFormat="1" ht="14.4" x14ac:dyDescent="0.3"/>
    <row r="90" s="61" customFormat="1" ht="14.4" x14ac:dyDescent="0.3"/>
    <row r="91" s="61" customFormat="1" ht="14.4" x14ac:dyDescent="0.3"/>
    <row r="92" s="61" customFormat="1" ht="14.4" x14ac:dyDescent="0.3"/>
    <row r="93" s="61" customFormat="1" ht="14.4" x14ac:dyDescent="0.3"/>
    <row r="94" s="61" customFormat="1" ht="14.4" x14ac:dyDescent="0.3"/>
    <row r="95" s="61" customFormat="1" ht="14.4" x14ac:dyDescent="0.3"/>
    <row r="96" s="61" customFormat="1" ht="14.4" x14ac:dyDescent="0.3"/>
    <row r="97" s="61" customFormat="1" ht="14.4" x14ac:dyDescent="0.3"/>
    <row r="98" s="61" customFormat="1" ht="14.4" x14ac:dyDescent="0.3"/>
    <row r="99" s="61" customFormat="1" ht="14.4" x14ac:dyDescent="0.3"/>
    <row r="100" s="61" customFormat="1" ht="14.4" x14ac:dyDescent="0.3"/>
    <row r="101" s="61" customFormat="1" ht="14.4" x14ac:dyDescent="0.3"/>
    <row r="102" s="61" customFormat="1" ht="14.4" x14ac:dyDescent="0.3"/>
    <row r="103" s="61" customFormat="1" ht="14.4" x14ac:dyDescent="0.3"/>
    <row r="104" s="61" customFormat="1" ht="14.4" x14ac:dyDescent="0.3"/>
    <row r="105" s="61" customFormat="1" ht="14.4" x14ac:dyDescent="0.3"/>
    <row r="106" s="61" customFormat="1" ht="14.4" x14ac:dyDescent="0.3"/>
    <row r="107" s="61" customFormat="1" ht="14.4" x14ac:dyDescent="0.3"/>
    <row r="108" s="61" customFormat="1" ht="14.4" x14ac:dyDescent="0.3"/>
    <row r="109" s="60" customFormat="1" ht="14.4" x14ac:dyDescent="0.3"/>
    <row r="110" s="61" customFormat="1" ht="14.4" x14ac:dyDescent="0.3"/>
    <row r="111" s="61" customFormat="1" ht="14.4" x14ac:dyDescent="0.3"/>
    <row r="112" s="61" customFormat="1" ht="14.4" x14ac:dyDescent="0.3"/>
    <row r="113" s="61" customFormat="1" ht="14.4" x14ac:dyDescent="0.3"/>
    <row r="114" s="61" customFormat="1" ht="14.4" x14ac:dyDescent="0.3"/>
    <row r="115" s="61" customFormat="1" ht="14.4" x14ac:dyDescent="0.3"/>
    <row r="116" s="61" customFormat="1" ht="14.4" x14ac:dyDescent="0.3"/>
    <row r="117" s="61" customFormat="1" ht="14.4" x14ac:dyDescent="0.3"/>
    <row r="118" s="61" customFormat="1" ht="14.4" x14ac:dyDescent="0.3"/>
    <row r="119" s="61" customFormat="1" ht="14.4" x14ac:dyDescent="0.3"/>
    <row r="120" s="61" customFormat="1" ht="14.4" x14ac:dyDescent="0.3"/>
    <row r="121" s="61" customFormat="1" ht="14.4" x14ac:dyDescent="0.3"/>
    <row r="122" s="61" customFormat="1" ht="14.4" x14ac:dyDescent="0.3"/>
    <row r="123" s="61" customFormat="1" ht="14.4" x14ac:dyDescent="0.3"/>
    <row r="124" s="61" customFormat="1" ht="14.4" x14ac:dyDescent="0.3"/>
    <row r="125" s="61" customFormat="1" ht="14.4" x14ac:dyDescent="0.3"/>
    <row r="126" s="61" customFormat="1" ht="14.4" x14ac:dyDescent="0.3"/>
    <row r="127" s="61" customFormat="1" ht="14.4" x14ac:dyDescent="0.3"/>
    <row r="128" s="61" customFormat="1" ht="14.4" x14ac:dyDescent="0.3"/>
    <row r="129" s="61" customFormat="1" ht="14.4" x14ac:dyDescent="0.3"/>
    <row r="130" s="61" customFormat="1" ht="14.4" x14ac:dyDescent="0.3"/>
    <row r="131" s="61" customFormat="1" ht="14.4" x14ac:dyDescent="0.3"/>
    <row r="132" s="61" customFormat="1" ht="14.4" x14ac:dyDescent="0.3"/>
    <row r="133" s="61" customFormat="1" ht="14.4" x14ac:dyDescent="0.3"/>
    <row r="134" s="61" customFormat="1" ht="14.4" x14ac:dyDescent="0.3"/>
    <row r="135" s="61" customFormat="1" ht="14.4" x14ac:dyDescent="0.3"/>
    <row r="136" s="61" customFormat="1" ht="14.4" x14ac:dyDescent="0.3"/>
    <row r="137" s="61" customFormat="1" ht="14.4" x14ac:dyDescent="0.3"/>
    <row r="138" s="61" customFormat="1" ht="14.4" x14ac:dyDescent="0.3"/>
    <row r="139" s="61" customFormat="1" ht="14.4" x14ac:dyDescent="0.3"/>
    <row r="140" s="61" customFormat="1" ht="14.4" x14ac:dyDescent="0.3"/>
    <row r="141" s="61" customFormat="1" ht="14.4" x14ac:dyDescent="0.3"/>
    <row r="142" s="61" customFormat="1" ht="14.4" x14ac:dyDescent="0.3"/>
    <row r="143" s="61" customFormat="1" ht="14.4" x14ac:dyDescent="0.3"/>
    <row r="144" s="61" customFormat="1" ht="14.4" x14ac:dyDescent="0.3"/>
    <row r="145" s="61" customFormat="1" ht="14.4" x14ac:dyDescent="0.3"/>
    <row r="146" s="61" customFormat="1" ht="14.4" x14ac:dyDescent="0.3"/>
    <row r="147" s="61" customFormat="1" ht="14.4" x14ac:dyDescent="0.3"/>
    <row r="148" s="61" customFormat="1" ht="14.4" x14ac:dyDescent="0.3"/>
    <row r="149" s="61" customFormat="1" ht="14.4" x14ac:dyDescent="0.3"/>
    <row r="150" s="61" customFormat="1" ht="14.4" x14ac:dyDescent="0.3"/>
    <row r="151" s="61" customFormat="1" ht="14.4" x14ac:dyDescent="0.3"/>
    <row r="152" s="61" customFormat="1" ht="14.4" x14ac:dyDescent="0.3"/>
    <row r="153" s="61" customFormat="1" ht="14.4" x14ac:dyDescent="0.3"/>
    <row r="154" s="61" customFormat="1" ht="14.4" x14ac:dyDescent="0.3"/>
    <row r="155" s="61" customFormat="1" ht="14.4" x14ac:dyDescent="0.3"/>
    <row r="156" s="61" customFormat="1" ht="14.4" x14ac:dyDescent="0.3"/>
    <row r="157" s="61" customFormat="1" ht="14.4" x14ac:dyDescent="0.3"/>
    <row r="158" s="61" customFormat="1" ht="14.4" x14ac:dyDescent="0.3"/>
    <row r="159" s="61" customFormat="1" ht="14.4" x14ac:dyDescent="0.3"/>
    <row r="160" s="61" customFormat="1" ht="14.4" x14ac:dyDescent="0.3"/>
    <row r="161" s="61" customFormat="1" ht="14.4" x14ac:dyDescent="0.3"/>
    <row r="162" s="61" customFormat="1" ht="14.4" x14ac:dyDescent="0.3"/>
    <row r="163" s="61" customFormat="1" ht="14.4" x14ac:dyDescent="0.3"/>
    <row r="164" s="61" customFormat="1" ht="14.4" x14ac:dyDescent="0.3"/>
    <row r="165" s="61" customFormat="1" ht="14.4" x14ac:dyDescent="0.3"/>
    <row r="166" s="61" customFormat="1" ht="14.4" x14ac:dyDescent="0.3"/>
    <row r="167" s="61" customFormat="1" ht="14.4" x14ac:dyDescent="0.3"/>
    <row r="168" s="61" customFormat="1" ht="14.4" x14ac:dyDescent="0.3"/>
    <row r="169" s="61" customFormat="1" ht="14.4" x14ac:dyDescent="0.3"/>
    <row r="170" s="61" customFormat="1" ht="14.4" x14ac:dyDescent="0.3"/>
    <row r="171" s="61" customFormat="1" ht="14.4" x14ac:dyDescent="0.3"/>
    <row r="172" s="61" customFormat="1" ht="14.4" x14ac:dyDescent="0.3"/>
    <row r="173" s="61" customFormat="1" ht="14.4" x14ac:dyDescent="0.3"/>
    <row r="174" s="61" customFormat="1" ht="14.4" x14ac:dyDescent="0.3"/>
    <row r="175" s="61" customFormat="1" ht="14.4" x14ac:dyDescent="0.3"/>
    <row r="176" s="61" customFormat="1" ht="14.4" x14ac:dyDescent="0.3"/>
    <row r="177" s="61" customFormat="1" ht="14.4" x14ac:dyDescent="0.3"/>
    <row r="178" s="61" customFormat="1" ht="14.4" x14ac:dyDescent="0.3"/>
    <row r="179" s="61" customFormat="1" ht="14.4" x14ac:dyDescent="0.3"/>
    <row r="180" s="61" customFormat="1" ht="14.4" x14ac:dyDescent="0.3"/>
    <row r="181" s="61" customFormat="1" ht="14.4" x14ac:dyDescent="0.3"/>
    <row r="182" s="61" customFormat="1" ht="14.4" x14ac:dyDescent="0.3"/>
    <row r="183" s="61" customFormat="1" ht="14.4" x14ac:dyDescent="0.3"/>
    <row r="184" s="61" customFormat="1" ht="14.4" x14ac:dyDescent="0.3"/>
    <row r="185" s="61" customFormat="1" ht="14.4" x14ac:dyDescent="0.3"/>
    <row r="186" s="61" customFormat="1" ht="14.4" x14ac:dyDescent="0.3"/>
    <row r="187" s="61" customFormat="1" ht="14.4" x14ac:dyDescent="0.3"/>
    <row r="188" s="61" customFormat="1" ht="14.4" x14ac:dyDescent="0.3"/>
    <row r="189" s="61" customFormat="1" ht="14.4" x14ac:dyDescent="0.3"/>
    <row r="190" s="61" customFormat="1" ht="14.4" x14ac:dyDescent="0.3"/>
    <row r="191" s="61" customFormat="1" ht="14.4" x14ac:dyDescent="0.3"/>
    <row r="192" s="61" customFormat="1" ht="14.4" x14ac:dyDescent="0.3"/>
    <row r="193" s="61" customFormat="1" ht="14.4" x14ac:dyDescent="0.3"/>
    <row r="194" s="61" customFormat="1" ht="14.4" x14ac:dyDescent="0.3"/>
    <row r="195" s="61" customFormat="1" ht="14.4" x14ac:dyDescent="0.3"/>
    <row r="196" s="61" customFormat="1" ht="14.4" x14ac:dyDescent="0.3"/>
    <row r="197" s="61" customFormat="1" ht="14.4" x14ac:dyDescent="0.3"/>
    <row r="198" s="61" customFormat="1" ht="14.4" x14ac:dyDescent="0.3"/>
    <row r="199" s="61" customFormat="1" ht="14.4" x14ac:dyDescent="0.3"/>
    <row r="200" s="61" customFormat="1" ht="14.4" x14ac:dyDescent="0.3"/>
    <row r="201" s="61" customFormat="1" ht="14.4" x14ac:dyDescent="0.3"/>
    <row r="202" s="61" customFormat="1" ht="14.4" x14ac:dyDescent="0.3"/>
    <row r="203" s="61" customFormat="1" ht="14.4" x14ac:dyDescent="0.3"/>
    <row r="204" s="61" customFormat="1" ht="14.4" x14ac:dyDescent="0.3"/>
    <row r="205" s="61" customFormat="1" ht="14.4" x14ac:dyDescent="0.3"/>
    <row r="206" s="61" customFormat="1" ht="14.4" x14ac:dyDescent="0.3"/>
    <row r="207" s="61" customFormat="1" ht="14.4" x14ac:dyDescent="0.3"/>
    <row r="208" s="61" customFormat="1" ht="14.4" x14ac:dyDescent="0.3"/>
    <row r="209" s="61" customFormat="1" ht="14.4" x14ac:dyDescent="0.3"/>
    <row r="210" s="61" customFormat="1" ht="14.4" x14ac:dyDescent="0.3"/>
    <row r="211" s="61" customFormat="1" ht="14.4" x14ac:dyDescent="0.3"/>
    <row r="212" s="61" customFormat="1" ht="14.4" x14ac:dyDescent="0.3"/>
    <row r="213" s="61" customFormat="1" ht="14.4" x14ac:dyDescent="0.3"/>
    <row r="214" s="61" customFormat="1" ht="14.4" x14ac:dyDescent="0.3"/>
    <row r="215" s="61" customFormat="1" ht="14.4" x14ac:dyDescent="0.3"/>
    <row r="216" s="61" customFormat="1" ht="14.4" x14ac:dyDescent="0.3"/>
    <row r="217" s="61" customFormat="1" ht="14.4" x14ac:dyDescent="0.3"/>
    <row r="218" s="60" customFormat="1" ht="14.4" x14ac:dyDescent="0.3"/>
    <row r="219" s="61" customFormat="1" ht="14.4" x14ac:dyDescent="0.3"/>
    <row r="220" s="61" customFormat="1" ht="14.4" x14ac:dyDescent="0.3"/>
    <row r="221" s="61" customFormat="1" ht="14.4" x14ac:dyDescent="0.3"/>
    <row r="222" s="61" customFormat="1" ht="14.4" x14ac:dyDescent="0.3"/>
    <row r="223" s="61" customFormat="1" ht="14.4" x14ac:dyDescent="0.3"/>
    <row r="224" s="61" customFormat="1" ht="14.4" x14ac:dyDescent="0.3"/>
    <row r="225" s="61" customFormat="1" ht="14.4" x14ac:dyDescent="0.3"/>
    <row r="226" s="61" customFormat="1" ht="14.4" x14ac:dyDescent="0.3"/>
    <row r="227" s="61" customFormat="1" ht="14.4" x14ac:dyDescent="0.3"/>
    <row r="228" s="61" customFormat="1" ht="14.4" x14ac:dyDescent="0.3"/>
    <row r="229" s="61" customFormat="1" ht="14.4" x14ac:dyDescent="0.3"/>
    <row r="230" s="61" customFormat="1" ht="14.4" x14ac:dyDescent="0.3"/>
    <row r="231" s="60" customFormat="1" ht="14.4" x14ac:dyDescent="0.3"/>
    <row r="232" s="61" customFormat="1" ht="14.4" x14ac:dyDescent="0.3"/>
    <row r="233" s="61" customFormat="1" ht="14.4" x14ac:dyDescent="0.3"/>
    <row r="234" s="61" customFormat="1" ht="14.4" x14ac:dyDescent="0.3"/>
    <row r="235" s="61" customFormat="1" ht="14.4" x14ac:dyDescent="0.3"/>
    <row r="236" s="60" customFormat="1" ht="14.4" x14ac:dyDescent="0.3"/>
    <row r="237" s="61" customFormat="1" ht="14.4" x14ac:dyDescent="0.3"/>
    <row r="238" s="61" customFormat="1" ht="14.4" x14ac:dyDescent="0.3"/>
    <row r="239" s="61" customFormat="1" ht="14.4" x14ac:dyDescent="0.3"/>
    <row r="240" s="61" customFormat="1" ht="14.4" x14ac:dyDescent="0.3"/>
    <row r="241" s="61" customFormat="1" ht="14.4" x14ac:dyDescent="0.3"/>
    <row r="242" s="60" customFormat="1" ht="14.4" x14ac:dyDescent="0.3"/>
    <row r="243" s="61" customFormat="1" ht="14.4" x14ac:dyDescent="0.3"/>
    <row r="244" s="61" customFormat="1" ht="14.4" x14ac:dyDescent="0.3"/>
    <row r="245" s="61" customFormat="1" ht="14.4" x14ac:dyDescent="0.3"/>
    <row r="246" s="61" customFormat="1" ht="14.4" x14ac:dyDescent="0.3"/>
    <row r="247" s="61" customFormat="1" ht="14.4" x14ac:dyDescent="0.3"/>
    <row r="248" s="61" customFormat="1" ht="14.4" x14ac:dyDescent="0.3"/>
    <row r="249" s="61" customFormat="1" ht="14.4" x14ac:dyDescent="0.3"/>
    <row r="250" s="61" customFormat="1" ht="14.4" x14ac:dyDescent="0.3"/>
    <row r="251" s="61" customFormat="1" ht="14.4" x14ac:dyDescent="0.3"/>
    <row r="252" s="61" customFormat="1" ht="14.4" x14ac:dyDescent="0.3"/>
    <row r="253" s="61" customFormat="1" ht="14.4" x14ac:dyDescent="0.3"/>
    <row r="254" s="61" customFormat="1" ht="14.4" x14ac:dyDescent="0.3"/>
    <row r="255" s="61" customFormat="1" ht="14.4" x14ac:dyDescent="0.3"/>
    <row r="256" s="61" customFormat="1" ht="14.4" x14ac:dyDescent="0.3"/>
    <row r="257" s="61" customFormat="1" ht="14.4" x14ac:dyDescent="0.3"/>
    <row r="258" s="61" customFormat="1" ht="14.4" x14ac:dyDescent="0.3"/>
    <row r="259" s="61" customFormat="1" ht="14.4" x14ac:dyDescent="0.3"/>
    <row r="260" s="61" customFormat="1" ht="14.4" x14ac:dyDescent="0.3"/>
    <row r="261" s="61" customFormat="1" ht="14.4" x14ac:dyDescent="0.3"/>
    <row r="262" s="61" customFormat="1" ht="14.4" x14ac:dyDescent="0.3"/>
    <row r="263" s="60" customFormat="1" ht="14.4" x14ac:dyDescent="0.3"/>
    <row r="264" s="61" customFormat="1" ht="14.4" x14ac:dyDescent="0.3"/>
    <row r="265" s="60" customFormat="1" ht="14.4" x14ac:dyDescent="0.3"/>
    <row r="266" s="63" customFormat="1" ht="14.4" x14ac:dyDescent="0.3"/>
    <row r="267" s="63" customFormat="1" ht="14.4" x14ac:dyDescent="0.3"/>
    <row r="268" s="63" customFormat="1" ht="14.4" x14ac:dyDescent="0.3"/>
    <row r="269" s="63" customFormat="1" ht="14.4" x14ac:dyDescent="0.3"/>
    <row r="270" s="63" customFormat="1" ht="14.4" x14ac:dyDescent="0.3"/>
    <row r="271" s="63" customFormat="1" ht="14.4" x14ac:dyDescent="0.3"/>
    <row r="272" s="63" customFormat="1" ht="14.4" x14ac:dyDescent="0.3"/>
    <row r="273" s="63" customFormat="1" ht="14.4" x14ac:dyDescent="0.3"/>
    <row r="274" s="63" customFormat="1" ht="14.4" x14ac:dyDescent="0.3"/>
    <row r="275" s="63" customFormat="1" ht="14.4" x14ac:dyDescent="0.3"/>
    <row r="276" s="63" customFormat="1" ht="14.4" x14ac:dyDescent="0.3"/>
    <row r="277" s="63" customFormat="1" ht="14.4" x14ac:dyDescent="0.3"/>
    <row r="278" s="63" customFormat="1" ht="14.4" x14ac:dyDescent="0.3"/>
    <row r="279" s="63" customFormat="1" ht="14.4" x14ac:dyDescent="0.3"/>
    <row r="280" s="63" customFormat="1" ht="14.4" x14ac:dyDescent="0.3"/>
    <row r="281" s="63" customFormat="1" ht="14.4" x14ac:dyDescent="0.3"/>
    <row r="282" s="63" customFormat="1" ht="14.4" x14ac:dyDescent="0.3"/>
    <row r="283" s="63" customFormat="1" ht="14.4" x14ac:dyDescent="0.3"/>
    <row r="284" s="63" customFormat="1" ht="14.4" x14ac:dyDescent="0.3"/>
    <row r="285" s="63" customFormat="1" ht="14.4" x14ac:dyDescent="0.3"/>
    <row r="286" s="63" customFormat="1" ht="14.4" x14ac:dyDescent="0.3"/>
    <row r="287" s="63" customFormat="1" ht="14.4" x14ac:dyDescent="0.3"/>
    <row r="288" s="63" customFormat="1" ht="14.4" x14ac:dyDescent="0.3"/>
    <row r="289" s="63" customFormat="1" ht="14.4" x14ac:dyDescent="0.3"/>
    <row r="290" s="60" customFormat="1" ht="14.4" x14ac:dyDescent="0.3"/>
    <row r="291" s="63" customFormat="1" ht="14.4" x14ac:dyDescent="0.3"/>
    <row r="292" s="63" customFormat="1" ht="14.4" x14ac:dyDescent="0.3"/>
    <row r="293" s="63" customFormat="1" ht="14.4" x14ac:dyDescent="0.3"/>
    <row r="294" s="63" customFormat="1" ht="14.4" x14ac:dyDescent="0.3"/>
    <row r="295" s="63" customFormat="1" ht="14.4" x14ac:dyDescent="0.3"/>
    <row r="296" s="63" customFormat="1" ht="14.4" x14ac:dyDescent="0.3"/>
    <row r="297" s="60" customFormat="1" ht="14.4" x14ac:dyDescent="0.3"/>
    <row r="298" s="61" customFormat="1" ht="14.4" x14ac:dyDescent="0.3"/>
    <row r="299" s="61" customFormat="1" ht="14.4" x14ac:dyDescent="0.3"/>
    <row r="300" s="60" customFormat="1" ht="14.4" x14ac:dyDescent="0.3"/>
    <row r="301" s="61" customFormat="1" ht="14.4" x14ac:dyDescent="0.3"/>
    <row r="302" s="61" customFormat="1" ht="14.4" x14ac:dyDescent="0.3"/>
    <row r="303" s="61" customFormat="1" ht="14.4" x14ac:dyDescent="0.3"/>
    <row r="304" s="61" customFormat="1" ht="14.4" x14ac:dyDescent="0.3"/>
    <row r="305" s="61" customFormat="1" ht="14.4" x14ac:dyDescent="0.3"/>
    <row r="306" s="61" customFormat="1" ht="14.4" x14ac:dyDescent="0.3"/>
    <row r="307" s="61" customFormat="1" ht="14.4" x14ac:dyDescent="0.3"/>
    <row r="308" s="61" customFormat="1" ht="14.4" x14ac:dyDescent="0.3"/>
    <row r="309" s="61" customFormat="1" ht="14.4" x14ac:dyDescent="0.3"/>
    <row r="310" s="61" customFormat="1" ht="14.4" x14ac:dyDescent="0.3"/>
    <row r="311" s="61" customFormat="1" ht="14.4" x14ac:dyDescent="0.3"/>
    <row r="312" s="61" customFormat="1" ht="14.4" x14ac:dyDescent="0.3"/>
    <row r="313" s="60" customFormat="1" ht="14.4" x14ac:dyDescent="0.3"/>
    <row r="314" s="61" customFormat="1" ht="14.4" x14ac:dyDescent="0.3"/>
    <row r="315" s="61" customFormat="1" ht="14.4" x14ac:dyDescent="0.3"/>
    <row r="316" s="61" customFormat="1" ht="14.4" x14ac:dyDescent="0.3"/>
    <row r="317" s="60" customFormat="1" ht="14.4" x14ac:dyDescent="0.3"/>
    <row r="318" s="61" customFormat="1" ht="14.4" x14ac:dyDescent="0.3"/>
    <row r="319" s="60" customFormat="1" ht="14.4" x14ac:dyDescent="0.3"/>
    <row r="320" s="63" customFormat="1" ht="14.4" x14ac:dyDescent="0.3"/>
    <row r="321" s="61" customFormat="1" ht="14.4" x14ac:dyDescent="0.3"/>
    <row r="322" s="61" customFormat="1" ht="14.4" x14ac:dyDescent="0.3"/>
    <row r="323" s="61" customFormat="1" ht="14.4" x14ac:dyDescent="0.3"/>
    <row r="324" s="61" customFormat="1" ht="14.4" x14ac:dyDescent="0.3"/>
    <row r="325" s="60" customFormat="1" ht="14.4" x14ac:dyDescent="0.3"/>
    <row r="326" s="63" customFormat="1" ht="14.4" x14ac:dyDescent="0.3"/>
    <row r="327" s="61" customFormat="1" ht="14.4" x14ac:dyDescent="0.3"/>
    <row r="328" s="61" customFormat="1" ht="14.4" x14ac:dyDescent="0.3"/>
    <row r="329" s="61" customFormat="1" ht="14.4" x14ac:dyDescent="0.3"/>
    <row r="330" s="61" customFormat="1" ht="14.4" x14ac:dyDescent="0.3"/>
    <row r="331" s="61" customFormat="1" ht="14.4" x14ac:dyDescent="0.3"/>
    <row r="332" s="61" customFormat="1" ht="14.4" x14ac:dyDescent="0.3"/>
    <row r="333" s="61" customFormat="1" ht="14.4" x14ac:dyDescent="0.3"/>
    <row r="334" s="61" customFormat="1" ht="14.4" x14ac:dyDescent="0.3"/>
    <row r="335" s="60" customFormat="1" ht="14.4" x14ac:dyDescent="0.3"/>
    <row r="336" s="63" customFormat="1" ht="14.4" x14ac:dyDescent="0.3"/>
    <row r="337" s="63" customFormat="1" ht="14.4" x14ac:dyDescent="0.3"/>
    <row r="338" s="63" customFormat="1" ht="14.4" x14ac:dyDescent="0.3"/>
    <row r="339" s="61" customFormat="1" ht="14.4" x14ac:dyDescent="0.3"/>
    <row r="340" s="61" customFormat="1" ht="14.4" x14ac:dyDescent="0.3"/>
    <row r="341" s="60" customFormat="1" ht="14.4" x14ac:dyDescent="0.3"/>
    <row r="342" s="63" customFormat="1" ht="14.4" x14ac:dyDescent="0.3"/>
    <row r="343" s="63" customFormat="1" ht="14.4" x14ac:dyDescent="0.3"/>
    <row r="344" s="63" customFormat="1" ht="14.4" x14ac:dyDescent="0.3"/>
    <row r="345" s="63" customFormat="1" ht="14.4" x14ac:dyDescent="0.3"/>
    <row r="346" s="60" customFormat="1" ht="14.4" x14ac:dyDescent="0.3"/>
    <row r="347" s="63" customFormat="1" ht="14.4" x14ac:dyDescent="0.3"/>
    <row r="348" s="60" customFormat="1" ht="14.4" x14ac:dyDescent="0.3"/>
    <row r="349" s="63" customFormat="1" ht="14.4" x14ac:dyDescent="0.3"/>
    <row r="350" s="60" customFormat="1" ht="14.4" x14ac:dyDescent="0.3"/>
    <row r="351" s="63" customFormat="1" ht="14.4" x14ac:dyDescent="0.3"/>
    <row r="354" s="60" customFormat="1" ht="14.4" x14ac:dyDescent="0.3"/>
    <row r="355" s="63" customFormat="1" ht="14.4" x14ac:dyDescent="0.3"/>
    <row r="356" s="63" customFormat="1" ht="14.4" x14ac:dyDescent="0.3"/>
    <row r="357" s="63" customFormat="1" ht="14.4" x14ac:dyDescent="0.3"/>
    <row r="358" s="63" customFormat="1" ht="14.4" x14ac:dyDescent="0.3"/>
    <row r="359" s="63" customFormat="1" ht="14.4" x14ac:dyDescent="0.3"/>
    <row r="360" s="63" customFormat="1" ht="14.4" x14ac:dyDescent="0.3"/>
  </sheetData>
  <mergeCells count="15">
    <mergeCell ref="A10:B10"/>
    <mergeCell ref="A15:B15"/>
    <mergeCell ref="A16:B16"/>
    <mergeCell ref="A2:B2"/>
    <mergeCell ref="A3:B3"/>
    <mergeCell ref="A4:B4"/>
    <mergeCell ref="A5:B5"/>
    <mergeCell ref="A6:B6"/>
    <mergeCell ref="A7:B7"/>
    <mergeCell ref="A8:B8"/>
    <mergeCell ref="A9:B9"/>
    <mergeCell ref="A11:B11"/>
    <mergeCell ref="A12:B12"/>
    <mergeCell ref="A13:B13"/>
    <mergeCell ref="A14:B14"/>
  </mergeCells>
  <printOptions horizontalCentered="1"/>
  <pageMargins left="0.70866141732283472" right="0.70866141732283472" top="0.86614173228346458" bottom="1.299212598425197" header="0.31496062992125984" footer="0.31496062992125984"/>
  <pageSetup paperSize="9" scale="52" fitToHeight="0" orientation="portrait" r:id="rId1"/>
  <headerFooter alignWithMargins="0">
    <oddHeader>&amp;L&amp;"Arial,Fett"&amp;14&amp;G&amp;R&amp;"Arial,Fett"&amp;12SE TI SES HS</oddHeader>
    <oddFooter>&amp;L&amp;8&amp;UDocument Information:&amp;10&amp;U
&amp;8Doc-No: &amp;F
Restricted © Siemens Energy AG 2023. All Rights Reserved. &amp;C&amp;8
Filled 10 Years
&amp;R&amp;8Page &amp;P / &amp;N
 HY_V_385_bi / V1.0 / Freigegeben / NEB ENG
Siemens Energy is a trademark licensed by Siemens AG.</oddFooter>
    <evenFooter xml:space="preserve">&amp;LIntern </evenFooter>
    <firstFooter xml:space="preserve">&amp;LIntern </firstFooter>
  </headerFooter>
  <legacyDrawingHF r:id="rId2"/>
  <picture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5b20487-b59a-4bcf-a266-402b3b272b94">
      <Terms xmlns="http://schemas.microsoft.com/office/infopath/2007/PartnerControls"/>
    </lcf76f155ced4ddcb4097134ff3c332f>
    <TaxCatchAll xmlns="1de0de76-404e-4f82-a1c4-34f624b218b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08829A80062A940A16D29E1592352F0" ma:contentTypeVersion="16" ma:contentTypeDescription="Create a new document." ma:contentTypeScope="" ma:versionID="e8e30ccee2c994714e23cd8c86a5f111">
  <xsd:schema xmlns:xsd="http://www.w3.org/2001/XMLSchema" xmlns:xs="http://www.w3.org/2001/XMLSchema" xmlns:p="http://schemas.microsoft.com/office/2006/metadata/properties" xmlns:ns2="35b20487-b59a-4bcf-a266-402b3b272b94" xmlns:ns3="1de0de76-404e-4f82-a1c4-34f624b218b8" targetNamespace="http://schemas.microsoft.com/office/2006/metadata/properties" ma:root="true" ma:fieldsID="4036b749391fad06cb71f9298c099cc1" ns2:_="" ns3:_="">
    <xsd:import namespace="35b20487-b59a-4bcf-a266-402b3b272b94"/>
    <xsd:import namespace="1de0de76-404e-4f82-a1c4-34f624b218b8"/>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LengthInSeconds"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b20487-b59a-4bcf-a266-402b3b272b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fc99958-89fd-40bf-a91d-c8fefae10c5b"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e0de76-404e-4f82-a1c4-34f624b218b8"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97a2b4a-8ef4-4e24-baa1-89411ae05803}" ma:internalName="TaxCatchAll" ma:showField="CatchAllData" ma:web="1de0de76-404e-4f82-a1c4-34f624b218b8">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684EE7-8AF4-4E2F-9659-362B5B0DAED5}">
  <ds:schemaRefs>
    <ds:schemaRef ds:uri="http://schemas.microsoft.com/sharepoint/v3/contenttype/forms"/>
  </ds:schemaRefs>
</ds:datastoreItem>
</file>

<file path=customXml/itemProps2.xml><?xml version="1.0" encoding="utf-8"?>
<ds:datastoreItem xmlns:ds="http://schemas.openxmlformats.org/officeDocument/2006/customXml" ds:itemID="{87A939C2-EC5C-4CB2-BC8A-57A38D4E96E7}">
  <ds:schemaRefs>
    <ds:schemaRef ds:uri="http://schemas.microsoft.com/office/2006/metadata/properties"/>
    <ds:schemaRef ds:uri="http://schemas.microsoft.com/office/infopath/2007/PartnerControls"/>
    <ds:schemaRef ds:uri="35b20487-b59a-4bcf-a266-402b3b272b94"/>
    <ds:schemaRef ds:uri="1de0de76-404e-4f82-a1c4-34f624b218b8"/>
  </ds:schemaRefs>
</ds:datastoreItem>
</file>

<file path=customXml/itemProps3.xml><?xml version="1.0" encoding="utf-8"?>
<ds:datastoreItem xmlns:ds="http://schemas.openxmlformats.org/officeDocument/2006/customXml" ds:itemID="{2965CFBA-D310-474E-B3E7-A339BE2C61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b20487-b59a-4bcf-a266-402b3b272b94"/>
    <ds:schemaRef ds:uri="1de0de76-404e-4f82-a1c4-34f624b218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11</vt:i4>
      </vt:variant>
    </vt:vector>
  </HeadingPairs>
  <TitlesOfParts>
    <vt:vector size="19" baseType="lpstr">
      <vt:lpstr>Cover Sheet</vt:lpstr>
      <vt:lpstr>Version History</vt:lpstr>
      <vt:lpstr>Ely System - SIS</vt:lpstr>
      <vt:lpstr>Ely System - Operational</vt:lpstr>
      <vt:lpstr>Ely System - Message only</vt:lpstr>
      <vt:lpstr>var. level limits (intern)</vt:lpstr>
      <vt:lpstr>Query</vt:lpstr>
      <vt:lpstr>Remarks &amp; Abbreviations</vt:lpstr>
      <vt:lpstr>'Cover Sheet'!Druckbereich</vt:lpstr>
      <vt:lpstr>'Ely System - Message only'!Druckbereich</vt:lpstr>
      <vt:lpstr>'Ely System - Operational'!Druckbereich</vt:lpstr>
      <vt:lpstr>'Ely System - SIS'!Druckbereich</vt:lpstr>
      <vt:lpstr>'Version History'!Druckbereich</vt:lpstr>
      <vt:lpstr>'Cover Sheet'!Drucktitel</vt:lpstr>
      <vt:lpstr>'Ely System - Message only'!Drucktitel</vt:lpstr>
      <vt:lpstr>'Ely System - Operational'!Drucktitel</vt:lpstr>
      <vt:lpstr>'Ely System - SIS'!Drucktitel</vt:lpstr>
      <vt:lpstr>'Remarks &amp; Abbreviations'!Drucktitel</vt:lpstr>
      <vt:lpstr>Query</vt:lpstr>
    </vt:vector>
  </TitlesOfParts>
  <Manager/>
  <Company>Siemens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Silyzer 300 Safety Matrix</dc:title>
  <dc:subject/>
  <dc:creator>lokal_Admin</dc:creator>
  <cp:keywords>C_Restricted</cp:keywords>
  <dc:description/>
  <cp:lastModifiedBy>Kneppe, Florian</cp:lastModifiedBy>
  <cp:revision/>
  <dcterms:created xsi:type="dcterms:W3CDTF">2012-01-30T08:16:04Z</dcterms:created>
  <dcterms:modified xsi:type="dcterms:W3CDTF">2026-04-29T10:43:05Z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1798198461</vt:i4>
  </property>
  <property fmtid="{D5CDD505-2E9C-101B-9397-08002B2CF9AE}" pid="3" name="_NewReviewCycle">
    <vt:lpwstr/>
  </property>
  <property fmtid="{D5CDD505-2E9C-101B-9397-08002B2CF9AE}" pid="4" name="_EmailSubject">
    <vt:lpwstr>Abschaltmatrix </vt:lpwstr>
  </property>
  <property fmtid="{D5CDD505-2E9C-101B-9397-08002B2CF9AE}" pid="5" name="_AuthorEmail">
    <vt:lpwstr>bernd.hopf@siemens.com</vt:lpwstr>
  </property>
  <property fmtid="{D5CDD505-2E9C-101B-9397-08002B2CF9AE}" pid="6" name="_AuthorEmailDisplayName">
    <vt:lpwstr>Hopf, Bernd</vt:lpwstr>
  </property>
  <property fmtid="{D5CDD505-2E9C-101B-9397-08002B2CF9AE}" pid="7" name="_PreviousAdHocReviewCycleID">
    <vt:i4>2145330220</vt:i4>
  </property>
  <property fmtid="{D5CDD505-2E9C-101B-9397-08002B2CF9AE}" pid="8" name="_ReviewingToolsShownOnce">
    <vt:lpwstr/>
  </property>
  <property fmtid="{D5CDD505-2E9C-101B-9397-08002B2CF9AE}" pid="9" name="Document Confidentiality">
    <vt:lpwstr>Restricted</vt:lpwstr>
  </property>
  <property fmtid="{D5CDD505-2E9C-101B-9397-08002B2CF9AE}" pid="10" name="sodocoClasLang">
    <vt:lpwstr>Intern</vt:lpwstr>
  </property>
  <property fmtid="{D5CDD505-2E9C-101B-9397-08002B2CF9AE}" pid="11" name="sodocoClasLangId">
    <vt:i4>0</vt:i4>
  </property>
  <property fmtid="{D5CDD505-2E9C-101B-9397-08002B2CF9AE}" pid="12" name="sodocoClasId">
    <vt:i4>1</vt:i4>
  </property>
  <property fmtid="{D5CDD505-2E9C-101B-9397-08002B2CF9AE}" pid="13" name="Document_Confidentiality">
    <vt:lpwstr>Restricted</vt:lpwstr>
  </property>
  <property fmtid="{D5CDD505-2E9C-101B-9397-08002B2CF9AE}" pid="14" name="MSIP_Label_36791f77-3d39-4d72-9277-ac879ec799ed_Enabled">
    <vt:lpwstr>true</vt:lpwstr>
  </property>
  <property fmtid="{D5CDD505-2E9C-101B-9397-08002B2CF9AE}" pid="15" name="MSIP_Label_36791f77-3d39-4d72-9277-ac879ec799ed_SetDate">
    <vt:lpwstr>2022-04-26T08:49:04Z</vt:lpwstr>
  </property>
  <property fmtid="{D5CDD505-2E9C-101B-9397-08002B2CF9AE}" pid="16" name="MSIP_Label_36791f77-3d39-4d72-9277-ac879ec799ed_Method">
    <vt:lpwstr>Privileged</vt:lpwstr>
  </property>
  <property fmtid="{D5CDD505-2E9C-101B-9397-08002B2CF9AE}" pid="17" name="MSIP_Label_36791f77-3d39-4d72-9277-ac879ec799ed_Name">
    <vt:lpwstr>restricted-default</vt:lpwstr>
  </property>
  <property fmtid="{D5CDD505-2E9C-101B-9397-08002B2CF9AE}" pid="18" name="MSIP_Label_36791f77-3d39-4d72-9277-ac879ec799ed_SiteId">
    <vt:lpwstr>254ba93e-1f6f-48f3-90e6-e2766664b477</vt:lpwstr>
  </property>
  <property fmtid="{D5CDD505-2E9C-101B-9397-08002B2CF9AE}" pid="19" name="MSIP_Label_36791f77-3d39-4d72-9277-ac879ec799ed_ActionId">
    <vt:lpwstr>df962844-f29d-4160-9d40-9046c5f35005</vt:lpwstr>
  </property>
  <property fmtid="{D5CDD505-2E9C-101B-9397-08002B2CF9AE}" pid="20" name="MSIP_Label_36791f77-3d39-4d72-9277-ac879ec799ed_ContentBits">
    <vt:lpwstr>0</vt:lpwstr>
  </property>
  <property fmtid="{D5CDD505-2E9C-101B-9397-08002B2CF9AE}" pid="21" name="MediaServiceImageTags">
    <vt:lpwstr/>
  </property>
  <property fmtid="{D5CDD505-2E9C-101B-9397-08002B2CF9AE}" pid="22" name="ContentTypeId">
    <vt:lpwstr>0x010100E08829A80062A940A16D29E1592352F0</vt:lpwstr>
  </property>
</Properties>
</file>